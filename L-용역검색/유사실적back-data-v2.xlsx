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lands2\팀별 수행사업\★ 프로젝트별 프롬프트 (제미나이 GPT)\★ Ai관련 프로그램\260520 유사용역 검색 및 추출\"/>
    </mc:Choice>
  </mc:AlternateContent>
  <bookViews>
    <workbookView xWindow="-135" yWindow="330" windowWidth="24795" windowHeight="12315" tabRatio="794"/>
  </bookViews>
  <sheets>
    <sheet name="data1" sheetId="30" r:id="rId1"/>
  </sheets>
  <definedNames>
    <definedName name="_xlnm._FilterDatabase" localSheetId="0" hidden="1">data1!$A$1:$AW$645</definedName>
  </definedNames>
  <calcPr calcId="162913"/>
</workbook>
</file>

<file path=xl/calcChain.xml><?xml version="1.0" encoding="utf-8"?>
<calcChain xmlns="http://schemas.openxmlformats.org/spreadsheetml/2006/main">
  <c r="T34" i="30" l="1"/>
  <c r="S8" i="30"/>
  <c r="T8" i="30"/>
  <c r="S9" i="30"/>
  <c r="T9" i="30"/>
  <c r="S10" i="30"/>
  <c r="T10" i="30"/>
  <c r="S11" i="30"/>
  <c r="T11" i="30"/>
  <c r="S12" i="30"/>
  <c r="T12" i="30"/>
  <c r="S13" i="30"/>
  <c r="T13" i="30"/>
  <c r="S14" i="30"/>
  <c r="T14" i="30"/>
  <c r="S15" i="30"/>
  <c r="T15" i="30"/>
  <c r="S16" i="30"/>
  <c r="T16" i="30"/>
  <c r="S17" i="30"/>
  <c r="T17" i="30"/>
  <c r="S18" i="30"/>
  <c r="T18" i="30"/>
  <c r="S19" i="30"/>
  <c r="T19" i="30"/>
  <c r="S20" i="30"/>
  <c r="T20" i="30"/>
  <c r="S21" i="30"/>
  <c r="T21" i="30"/>
  <c r="S22" i="30"/>
  <c r="T22" i="30"/>
  <c r="S23" i="30"/>
  <c r="T23" i="30"/>
  <c r="S24" i="30"/>
  <c r="T24" i="30"/>
  <c r="S25" i="30"/>
  <c r="T25" i="30"/>
  <c r="S26" i="30"/>
  <c r="T26" i="30"/>
  <c r="S27" i="30"/>
  <c r="T27" i="30"/>
  <c r="S28" i="30"/>
  <c r="T28" i="30"/>
  <c r="S29" i="30"/>
  <c r="T29" i="30"/>
  <c r="S30" i="30"/>
  <c r="T30" i="30"/>
  <c r="S31" i="30"/>
  <c r="T31" i="30"/>
  <c r="S32" i="30"/>
  <c r="T32" i="30"/>
  <c r="S33" i="30"/>
  <c r="T33" i="30"/>
  <c r="S34" i="30"/>
  <c r="S35" i="30"/>
  <c r="T35" i="30"/>
  <c r="S36" i="30"/>
  <c r="T36" i="30"/>
  <c r="S37" i="30"/>
  <c r="T37" i="30"/>
  <c r="S38" i="30"/>
  <c r="T38" i="30"/>
  <c r="S39" i="30"/>
  <c r="T39" i="30"/>
  <c r="S40" i="30"/>
  <c r="T40" i="30"/>
  <c r="S41" i="30"/>
  <c r="T41" i="30"/>
  <c r="S42" i="30"/>
  <c r="T42" i="30"/>
  <c r="S43" i="30"/>
  <c r="T43" i="30"/>
  <c r="S44" i="30"/>
  <c r="T44" i="30"/>
  <c r="S45" i="30"/>
  <c r="T45" i="30"/>
  <c r="S46" i="30"/>
  <c r="T46" i="30"/>
  <c r="S47" i="30"/>
  <c r="T47" i="30"/>
  <c r="S48" i="30"/>
  <c r="T48" i="30"/>
  <c r="S49" i="30"/>
  <c r="T49" i="30"/>
  <c r="S50" i="30"/>
  <c r="T50" i="30"/>
  <c r="S51" i="30"/>
  <c r="T51" i="30"/>
  <c r="S52" i="30"/>
  <c r="T52" i="30"/>
  <c r="S53" i="30"/>
  <c r="T53" i="30"/>
  <c r="S54" i="30"/>
  <c r="T54" i="30"/>
  <c r="S55" i="30"/>
  <c r="T55" i="30"/>
  <c r="S56" i="30"/>
  <c r="T56" i="30"/>
  <c r="S57" i="30"/>
  <c r="T57" i="30"/>
  <c r="S58" i="30"/>
  <c r="T58" i="30"/>
  <c r="S59" i="30"/>
  <c r="T59" i="30"/>
  <c r="S60" i="30"/>
  <c r="T60" i="30"/>
  <c r="S61" i="30"/>
  <c r="T61" i="30"/>
  <c r="S62" i="30"/>
  <c r="T62" i="30"/>
  <c r="S63" i="30"/>
  <c r="T63" i="30"/>
  <c r="S64" i="30"/>
  <c r="T64" i="30"/>
  <c r="S65" i="30"/>
  <c r="T65" i="30"/>
  <c r="S66" i="30"/>
  <c r="T66" i="30"/>
  <c r="S67" i="30"/>
  <c r="T67" i="30"/>
  <c r="S68" i="30"/>
  <c r="T68" i="30"/>
  <c r="S69" i="30"/>
  <c r="T69" i="30"/>
  <c r="S70" i="30"/>
  <c r="T70" i="30"/>
  <c r="S71" i="30"/>
  <c r="T71" i="30"/>
  <c r="S72" i="30"/>
  <c r="T72" i="30"/>
  <c r="S73" i="30"/>
  <c r="T73" i="30"/>
  <c r="S74" i="30"/>
  <c r="T74" i="30"/>
  <c r="S75" i="30"/>
  <c r="T75" i="30"/>
  <c r="S76" i="30"/>
  <c r="T76" i="30"/>
  <c r="S77" i="30"/>
  <c r="T77" i="30"/>
  <c r="S78" i="30"/>
  <c r="T78" i="30"/>
  <c r="S79" i="30"/>
  <c r="T79" i="30"/>
  <c r="S80" i="30"/>
  <c r="T80" i="30"/>
  <c r="S81" i="30"/>
  <c r="T81" i="30"/>
  <c r="S82" i="30"/>
  <c r="T82" i="30"/>
  <c r="S83" i="30"/>
  <c r="T83" i="30"/>
  <c r="S84" i="30"/>
  <c r="T84" i="30"/>
  <c r="S85" i="30"/>
  <c r="T85" i="30"/>
  <c r="S86" i="30"/>
  <c r="T86" i="30"/>
  <c r="S87" i="30"/>
  <c r="T87" i="30"/>
  <c r="S88" i="30"/>
  <c r="T88" i="30"/>
  <c r="S89" i="30"/>
  <c r="T89" i="30"/>
  <c r="S90" i="30"/>
  <c r="T90" i="30"/>
  <c r="S91" i="30"/>
  <c r="T91" i="30"/>
  <c r="S92" i="30"/>
  <c r="T92" i="30"/>
  <c r="S93" i="30"/>
  <c r="T93" i="30"/>
  <c r="S94" i="30"/>
  <c r="T94" i="30"/>
  <c r="S95" i="30"/>
  <c r="T95" i="30"/>
  <c r="S96" i="30"/>
  <c r="T96" i="30"/>
  <c r="S97" i="30"/>
  <c r="T97" i="30"/>
  <c r="S98" i="30"/>
  <c r="T98" i="30"/>
  <c r="S99" i="30"/>
  <c r="T99" i="30"/>
  <c r="S100" i="30"/>
  <c r="T100" i="30"/>
  <c r="S101" i="30"/>
  <c r="T101" i="30"/>
  <c r="S102" i="30"/>
  <c r="T102" i="30"/>
  <c r="S103" i="30"/>
  <c r="T103" i="30"/>
  <c r="S104" i="30"/>
  <c r="T104" i="30"/>
  <c r="S105" i="30"/>
  <c r="T105" i="30"/>
  <c r="S106" i="30"/>
  <c r="T106" i="30"/>
  <c r="S107" i="30"/>
  <c r="T107" i="30"/>
  <c r="S108" i="30"/>
  <c r="T108" i="30"/>
  <c r="S109" i="30"/>
  <c r="T109" i="30"/>
  <c r="S110" i="30"/>
  <c r="T110" i="30"/>
  <c r="S111" i="30"/>
  <c r="T111" i="30"/>
  <c r="S112" i="30"/>
  <c r="T112" i="30"/>
  <c r="S113" i="30"/>
  <c r="T113" i="30"/>
  <c r="S114" i="30"/>
  <c r="T114" i="30"/>
  <c r="S115" i="30"/>
  <c r="T115" i="30"/>
  <c r="S116" i="30"/>
  <c r="T116" i="30"/>
  <c r="S117" i="30"/>
  <c r="T117" i="30"/>
  <c r="S118" i="30"/>
  <c r="T118" i="30"/>
  <c r="S119" i="30"/>
  <c r="T119" i="30"/>
  <c r="S120" i="30"/>
  <c r="T120" i="30"/>
  <c r="S121" i="30"/>
  <c r="T121" i="30"/>
  <c r="S122" i="30"/>
  <c r="T122" i="30"/>
  <c r="S123" i="30"/>
  <c r="T123" i="30"/>
  <c r="S124" i="30"/>
  <c r="T124" i="30"/>
  <c r="S125" i="30"/>
  <c r="T125" i="30"/>
  <c r="S126" i="30"/>
  <c r="T126" i="30"/>
  <c r="S127" i="30"/>
  <c r="T127" i="30"/>
  <c r="S128" i="30"/>
  <c r="T128" i="30"/>
  <c r="S129" i="30"/>
  <c r="T129" i="30"/>
  <c r="S130" i="30"/>
  <c r="T130" i="30"/>
  <c r="S131" i="30"/>
  <c r="T131" i="30"/>
  <c r="S132" i="30"/>
  <c r="T132" i="30"/>
  <c r="S133" i="30"/>
  <c r="T133" i="30"/>
  <c r="S134" i="30"/>
  <c r="T134" i="30"/>
  <c r="S135" i="30"/>
  <c r="T135" i="30"/>
  <c r="S136" i="30"/>
  <c r="T136" i="30"/>
  <c r="S137" i="30"/>
  <c r="T137" i="30"/>
  <c r="S138" i="30"/>
  <c r="T138" i="30"/>
  <c r="S139" i="30"/>
  <c r="T139" i="30"/>
  <c r="S140" i="30"/>
  <c r="T140" i="30"/>
  <c r="S141" i="30"/>
  <c r="T141" i="30"/>
  <c r="S142" i="30"/>
  <c r="T142" i="30"/>
  <c r="S143" i="30"/>
  <c r="T143" i="30"/>
  <c r="S144" i="30"/>
  <c r="T144" i="30"/>
  <c r="S145" i="30"/>
  <c r="T145" i="30"/>
  <c r="S146" i="30"/>
  <c r="T146" i="30"/>
  <c r="S147" i="30"/>
  <c r="T147" i="30"/>
  <c r="S149" i="30"/>
  <c r="T149" i="30"/>
  <c r="S150" i="30"/>
  <c r="T150" i="30"/>
  <c r="S151" i="30"/>
  <c r="T151" i="30"/>
  <c r="S152" i="30"/>
  <c r="T152" i="30"/>
  <c r="S153" i="30"/>
  <c r="T153" i="30"/>
  <c r="S154" i="30"/>
  <c r="T154" i="30"/>
  <c r="S155" i="30"/>
  <c r="T155" i="30"/>
  <c r="S156" i="30"/>
  <c r="T156" i="30"/>
  <c r="S157" i="30"/>
  <c r="T157" i="30"/>
  <c r="S158" i="30"/>
  <c r="T158" i="30"/>
  <c r="S159" i="30"/>
  <c r="T159" i="30"/>
  <c r="S160" i="30"/>
  <c r="T160" i="30"/>
  <c r="S161" i="30"/>
  <c r="T161" i="30"/>
  <c r="S162" i="30"/>
  <c r="T162" i="30"/>
  <c r="S163" i="30"/>
  <c r="T163" i="30"/>
  <c r="S164" i="30"/>
  <c r="T164" i="30"/>
  <c r="S165" i="30"/>
  <c r="T165" i="30"/>
  <c r="S166" i="30"/>
  <c r="T166" i="30"/>
  <c r="S167" i="30"/>
  <c r="T167" i="30"/>
  <c r="S168" i="30"/>
  <c r="T168" i="30"/>
  <c r="S169" i="30"/>
  <c r="T169" i="30"/>
  <c r="S170" i="30"/>
  <c r="T170" i="30"/>
  <c r="S171" i="30"/>
  <c r="T171" i="30"/>
  <c r="S172" i="30"/>
  <c r="T172" i="30"/>
  <c r="S173" i="30"/>
  <c r="T173" i="30"/>
  <c r="S174" i="30"/>
  <c r="T174" i="30"/>
  <c r="S175" i="30"/>
  <c r="T175" i="30"/>
  <c r="S176" i="30"/>
  <c r="T176" i="30"/>
  <c r="S177" i="30"/>
  <c r="T177" i="30"/>
  <c r="S178" i="30"/>
  <c r="T178" i="30"/>
  <c r="S179" i="30"/>
  <c r="T179" i="30"/>
  <c r="S180" i="30"/>
  <c r="T180" i="30"/>
  <c r="S181" i="30"/>
  <c r="T181" i="30"/>
  <c r="S182" i="30"/>
  <c r="T182" i="30"/>
  <c r="S183" i="30"/>
  <c r="T183" i="30"/>
  <c r="S184" i="30"/>
  <c r="T184" i="30"/>
  <c r="S185" i="30"/>
  <c r="T185" i="30"/>
  <c r="S186" i="30"/>
  <c r="T186" i="30"/>
  <c r="S187" i="30"/>
  <c r="T187" i="30"/>
  <c r="S188" i="30"/>
  <c r="T188" i="30"/>
  <c r="S189" i="30"/>
  <c r="T189" i="30"/>
  <c r="S190" i="30"/>
  <c r="T190" i="30"/>
  <c r="S191" i="30"/>
  <c r="T191" i="30"/>
  <c r="S192" i="30"/>
  <c r="T192" i="30"/>
  <c r="S193" i="30"/>
  <c r="T193" i="30"/>
  <c r="S194" i="30"/>
  <c r="T194" i="30"/>
  <c r="S195" i="30"/>
  <c r="T195" i="30"/>
  <c r="S196" i="30"/>
  <c r="T196" i="30"/>
  <c r="S197" i="30"/>
  <c r="T197" i="30"/>
  <c r="S198" i="30"/>
  <c r="T198" i="30"/>
  <c r="S199" i="30"/>
  <c r="T199" i="30"/>
  <c r="S200" i="30"/>
  <c r="T200" i="30"/>
  <c r="S201" i="30"/>
  <c r="T201" i="30"/>
  <c r="S202" i="30"/>
  <c r="T202" i="30"/>
  <c r="S203" i="30"/>
  <c r="T203" i="30"/>
  <c r="S204" i="30"/>
  <c r="T204" i="30"/>
  <c r="S205" i="30"/>
  <c r="T205" i="30"/>
  <c r="S206" i="30"/>
  <c r="T206" i="30"/>
  <c r="S207" i="30"/>
  <c r="T207" i="30"/>
  <c r="S208" i="30"/>
  <c r="T208" i="30"/>
  <c r="S209" i="30"/>
  <c r="T209" i="30"/>
  <c r="S210" i="30"/>
  <c r="T210" i="30"/>
  <c r="S211" i="30"/>
  <c r="T211" i="30"/>
  <c r="S212" i="30"/>
  <c r="T212" i="30"/>
  <c r="S213" i="30"/>
  <c r="T213" i="30"/>
  <c r="S214" i="30"/>
  <c r="T214" i="30"/>
  <c r="S215" i="30"/>
  <c r="T215" i="30"/>
  <c r="S216" i="30"/>
  <c r="T216" i="30"/>
  <c r="S217" i="30"/>
  <c r="T217" i="30"/>
  <c r="S218" i="30"/>
  <c r="T218" i="30"/>
  <c r="S219" i="30"/>
  <c r="T219" i="30"/>
  <c r="S220" i="30"/>
  <c r="T220" i="30"/>
  <c r="S221" i="30"/>
  <c r="T221" i="30"/>
  <c r="S222" i="30"/>
  <c r="T222" i="30"/>
  <c r="S223" i="30"/>
  <c r="T223" i="30"/>
  <c r="S224" i="30"/>
  <c r="T224" i="30"/>
  <c r="S225" i="30"/>
  <c r="T225" i="30"/>
  <c r="S226" i="30"/>
  <c r="T226" i="30"/>
  <c r="S227" i="30"/>
  <c r="T227" i="30"/>
  <c r="S228" i="30"/>
  <c r="T228" i="30"/>
  <c r="S229" i="30"/>
  <c r="T229" i="30"/>
  <c r="S230" i="30"/>
  <c r="T230" i="30"/>
  <c r="S231" i="30"/>
  <c r="T231" i="30"/>
  <c r="S232" i="30"/>
  <c r="T232" i="30"/>
  <c r="S233" i="30"/>
  <c r="T233" i="30"/>
  <c r="S234" i="30"/>
  <c r="T234" i="30"/>
  <c r="S235" i="30"/>
  <c r="T235" i="30"/>
  <c r="S236" i="30"/>
  <c r="T236" i="30"/>
  <c r="S237" i="30"/>
  <c r="T237" i="30"/>
  <c r="S238" i="30"/>
  <c r="T238" i="30"/>
  <c r="S239" i="30"/>
  <c r="T239" i="30"/>
  <c r="S240" i="30"/>
  <c r="T240" i="30"/>
  <c r="S241" i="30"/>
  <c r="T241" i="30"/>
  <c r="S242" i="30"/>
  <c r="T242" i="30"/>
  <c r="S243" i="30"/>
  <c r="T243" i="30"/>
  <c r="S244" i="30"/>
  <c r="T244" i="30"/>
  <c r="S245" i="30"/>
  <c r="T245" i="30"/>
  <c r="S246" i="30"/>
  <c r="T246" i="30"/>
  <c r="S247" i="30"/>
  <c r="T247" i="30"/>
  <c r="S248" i="30"/>
  <c r="T248" i="30"/>
  <c r="S249" i="30"/>
  <c r="T249" i="30"/>
  <c r="S250" i="30"/>
  <c r="T250" i="30"/>
  <c r="S251" i="30"/>
  <c r="T251" i="30"/>
  <c r="S252" i="30"/>
  <c r="T252" i="30"/>
  <c r="S253" i="30"/>
  <c r="T253" i="30"/>
  <c r="S254" i="30"/>
  <c r="T254" i="30"/>
  <c r="S255" i="30"/>
  <c r="T255" i="30"/>
  <c r="S256" i="30"/>
  <c r="T256" i="30"/>
  <c r="S257" i="30"/>
  <c r="T257" i="30"/>
  <c r="S258" i="30"/>
  <c r="T258" i="30"/>
  <c r="S259" i="30"/>
  <c r="T259" i="30"/>
  <c r="S260" i="30"/>
  <c r="T260" i="30"/>
  <c r="S261" i="30"/>
  <c r="T261" i="30"/>
  <c r="S262" i="30"/>
  <c r="T262" i="30"/>
  <c r="S263" i="30"/>
  <c r="T263" i="30"/>
  <c r="S264" i="30"/>
  <c r="T264" i="30"/>
  <c r="S265" i="30"/>
  <c r="T265" i="30"/>
  <c r="S266" i="30"/>
  <c r="T266" i="30"/>
  <c r="S267" i="30"/>
  <c r="T267" i="30"/>
  <c r="S268" i="30"/>
  <c r="T268" i="30"/>
  <c r="S269" i="30"/>
  <c r="T269" i="30"/>
  <c r="S270" i="30"/>
  <c r="T270" i="30"/>
  <c r="S271" i="30"/>
  <c r="T271" i="30"/>
  <c r="S272" i="30"/>
  <c r="T272" i="30"/>
  <c r="S273" i="30"/>
  <c r="T273" i="30"/>
  <c r="S274" i="30"/>
  <c r="T274" i="30"/>
  <c r="S275" i="30"/>
  <c r="T275" i="30"/>
  <c r="S276" i="30"/>
  <c r="T276" i="30"/>
  <c r="S277" i="30"/>
  <c r="T277" i="30"/>
  <c r="S278" i="30"/>
  <c r="T278" i="30"/>
  <c r="S279" i="30"/>
  <c r="T279" i="30"/>
  <c r="S280" i="30"/>
  <c r="T280" i="30"/>
  <c r="S281" i="30"/>
  <c r="T281" i="30"/>
  <c r="S282" i="30"/>
  <c r="T282" i="30"/>
  <c r="S283" i="30"/>
  <c r="T283" i="30"/>
  <c r="S284" i="30"/>
  <c r="T284" i="30"/>
  <c r="S285" i="30"/>
  <c r="T285" i="30"/>
  <c r="S286" i="30"/>
  <c r="T286" i="30"/>
  <c r="S287" i="30"/>
  <c r="T287" i="30"/>
  <c r="S288" i="30"/>
  <c r="T288" i="30"/>
  <c r="S289" i="30"/>
  <c r="T289" i="30"/>
  <c r="S290" i="30"/>
  <c r="T290" i="30"/>
  <c r="S291" i="30"/>
  <c r="T291" i="30"/>
  <c r="S292" i="30"/>
  <c r="T292" i="30"/>
  <c r="S293" i="30"/>
  <c r="T293" i="30"/>
  <c r="S294" i="30"/>
  <c r="T294" i="30"/>
  <c r="S295" i="30"/>
  <c r="T295" i="30"/>
  <c r="S296" i="30"/>
  <c r="T296" i="30"/>
  <c r="S297" i="30"/>
  <c r="T297" i="30"/>
  <c r="S298" i="30"/>
  <c r="T298" i="30"/>
  <c r="S299" i="30"/>
  <c r="T299" i="30"/>
  <c r="S300" i="30"/>
  <c r="T300" i="30"/>
  <c r="S301" i="30"/>
  <c r="T301" i="30"/>
  <c r="S302" i="30"/>
  <c r="T302" i="30"/>
  <c r="S303" i="30"/>
  <c r="T303" i="30"/>
  <c r="S304" i="30"/>
  <c r="T304" i="30"/>
  <c r="S305" i="30"/>
  <c r="T305" i="30"/>
  <c r="S306" i="30"/>
  <c r="T306" i="30"/>
  <c r="S307" i="30"/>
  <c r="T307" i="30"/>
  <c r="S308" i="30"/>
  <c r="T308" i="30"/>
  <c r="S309" i="30"/>
  <c r="T309" i="30"/>
  <c r="S310" i="30"/>
  <c r="T310" i="30"/>
  <c r="S311" i="30"/>
  <c r="T311" i="30"/>
  <c r="S312" i="30"/>
  <c r="T312" i="30"/>
  <c r="S313" i="30"/>
  <c r="T313" i="30"/>
  <c r="S314" i="30"/>
  <c r="T314" i="30"/>
  <c r="S315" i="30"/>
  <c r="T315" i="30"/>
  <c r="S316" i="30"/>
  <c r="T316" i="30"/>
  <c r="S317" i="30"/>
  <c r="T317" i="30"/>
  <c r="S318" i="30"/>
  <c r="T318" i="30"/>
  <c r="S319" i="30"/>
  <c r="T319" i="30"/>
  <c r="S320" i="30"/>
  <c r="T320" i="30"/>
  <c r="S321" i="30"/>
  <c r="T321" i="30"/>
  <c r="S322" i="30"/>
  <c r="T322" i="30"/>
  <c r="S323" i="30"/>
  <c r="T323" i="30"/>
  <c r="S324" i="30"/>
  <c r="T324" i="30"/>
  <c r="S325" i="30"/>
  <c r="T325" i="30"/>
  <c r="S326" i="30"/>
  <c r="T326" i="30"/>
  <c r="S327" i="30"/>
  <c r="T327" i="30"/>
  <c r="S328" i="30"/>
  <c r="T328" i="30"/>
  <c r="S329" i="30"/>
  <c r="T329" i="30"/>
  <c r="S330" i="30"/>
  <c r="T330" i="30"/>
  <c r="S331" i="30"/>
  <c r="T331" i="30"/>
  <c r="S332" i="30"/>
  <c r="T332" i="30"/>
  <c r="S333" i="30"/>
  <c r="T333" i="30"/>
  <c r="S334" i="30"/>
  <c r="T334" i="30"/>
  <c r="S335" i="30"/>
  <c r="T335" i="30"/>
  <c r="S336" i="30"/>
  <c r="T336" i="30"/>
  <c r="S337" i="30"/>
  <c r="T337" i="30"/>
  <c r="S338" i="30"/>
  <c r="T338" i="30"/>
  <c r="S339" i="30"/>
  <c r="T339" i="30"/>
  <c r="S340" i="30"/>
  <c r="T340" i="30"/>
  <c r="S341" i="30"/>
  <c r="T341" i="30"/>
  <c r="S342" i="30"/>
  <c r="T342" i="30"/>
  <c r="S343" i="30"/>
  <c r="T343" i="30"/>
  <c r="S344" i="30"/>
  <c r="T344" i="30"/>
  <c r="S345" i="30"/>
  <c r="T345" i="30"/>
  <c r="S346" i="30"/>
  <c r="T346" i="30"/>
  <c r="S347" i="30"/>
  <c r="T347" i="30"/>
  <c r="S348" i="30"/>
  <c r="T348" i="30"/>
  <c r="S349" i="30"/>
  <c r="T349" i="30"/>
  <c r="S350" i="30"/>
  <c r="T350" i="30"/>
  <c r="S351" i="30"/>
  <c r="T351" i="30"/>
  <c r="S352" i="30"/>
  <c r="T352" i="30"/>
  <c r="S353" i="30"/>
  <c r="T353" i="30"/>
  <c r="S354" i="30"/>
  <c r="T354" i="30"/>
  <c r="S355" i="30"/>
  <c r="T355" i="30"/>
  <c r="S356" i="30"/>
  <c r="T356" i="30"/>
  <c r="S357" i="30"/>
  <c r="T357" i="30"/>
  <c r="S358" i="30"/>
  <c r="T358" i="30"/>
  <c r="S359" i="30"/>
  <c r="T359" i="30"/>
  <c r="S360" i="30"/>
  <c r="T360" i="30"/>
  <c r="S361" i="30"/>
  <c r="T361" i="30"/>
  <c r="S362" i="30"/>
  <c r="T362" i="30"/>
  <c r="S363" i="30"/>
  <c r="T363" i="30"/>
  <c r="S364" i="30"/>
  <c r="T364" i="30"/>
  <c r="S365" i="30"/>
  <c r="T365" i="30"/>
  <c r="S366" i="30"/>
  <c r="T366" i="30"/>
  <c r="S367" i="30"/>
  <c r="T367" i="30"/>
  <c r="S368" i="30"/>
  <c r="T368" i="30"/>
  <c r="S369" i="30"/>
  <c r="T369" i="30"/>
  <c r="S370" i="30"/>
  <c r="T370" i="30"/>
  <c r="S371" i="30"/>
  <c r="T371" i="30"/>
  <c r="S372" i="30"/>
  <c r="T372" i="30"/>
  <c r="S373" i="30"/>
  <c r="T373" i="30"/>
  <c r="S374" i="30"/>
  <c r="T374" i="30"/>
  <c r="S375" i="30"/>
  <c r="T375" i="30"/>
  <c r="S376" i="30"/>
  <c r="T376" i="30"/>
  <c r="S377" i="30"/>
  <c r="T377" i="30"/>
  <c r="S378" i="30"/>
  <c r="T378" i="30"/>
  <c r="S379" i="30"/>
  <c r="T379" i="30"/>
  <c r="S380" i="30"/>
  <c r="T380" i="30"/>
  <c r="S381" i="30"/>
  <c r="T381" i="30"/>
  <c r="S382" i="30"/>
  <c r="T382" i="30"/>
  <c r="S383" i="30"/>
  <c r="T383" i="30"/>
  <c r="S384" i="30"/>
  <c r="T384" i="30"/>
  <c r="S385" i="30"/>
  <c r="T385" i="30"/>
  <c r="S386" i="30"/>
  <c r="T386" i="30"/>
  <c r="S387" i="30"/>
  <c r="T387" i="30"/>
  <c r="S388" i="30"/>
  <c r="T388" i="30"/>
  <c r="S389" i="30"/>
  <c r="T389" i="30"/>
  <c r="S390" i="30"/>
  <c r="T390" i="30"/>
  <c r="S391" i="30"/>
  <c r="T391" i="30"/>
  <c r="S392" i="30"/>
  <c r="T392" i="30"/>
  <c r="S393" i="30"/>
  <c r="T393" i="30"/>
  <c r="S394" i="30"/>
  <c r="T394" i="30"/>
  <c r="S395" i="30"/>
  <c r="T395" i="30"/>
  <c r="S396" i="30"/>
  <c r="T396" i="30"/>
  <c r="S397" i="30"/>
  <c r="T397" i="30"/>
  <c r="S398" i="30"/>
  <c r="T398" i="30"/>
  <c r="S399" i="30"/>
  <c r="T399" i="30"/>
  <c r="S400" i="30"/>
  <c r="T400" i="30"/>
  <c r="S401" i="30"/>
  <c r="T401" i="30"/>
  <c r="S402" i="30"/>
  <c r="T402" i="30"/>
  <c r="S403" i="30"/>
  <c r="T403" i="30"/>
  <c r="S404" i="30"/>
  <c r="T404" i="30"/>
  <c r="S405" i="30"/>
  <c r="T405" i="30"/>
  <c r="S406" i="30"/>
  <c r="T406" i="30"/>
  <c r="S407" i="30"/>
  <c r="T407" i="30"/>
  <c r="S408" i="30"/>
  <c r="T408" i="30"/>
  <c r="S409" i="30"/>
  <c r="T409" i="30"/>
  <c r="S410" i="30"/>
  <c r="T410" i="30"/>
  <c r="S411" i="30"/>
  <c r="T411" i="30"/>
  <c r="S412" i="30"/>
  <c r="T412" i="30"/>
  <c r="S413" i="30"/>
  <c r="T413" i="30"/>
  <c r="S414" i="30"/>
  <c r="T414" i="30"/>
  <c r="S415" i="30"/>
  <c r="T415" i="30"/>
  <c r="S416" i="30"/>
  <c r="T416" i="30"/>
  <c r="S417" i="30"/>
  <c r="T417" i="30"/>
  <c r="S418" i="30"/>
  <c r="T418" i="30"/>
  <c r="S419" i="30"/>
  <c r="T419" i="30"/>
  <c r="S420" i="30"/>
  <c r="T420" i="30"/>
  <c r="S421" i="30"/>
  <c r="T421" i="30"/>
  <c r="S422" i="30"/>
  <c r="T422" i="30"/>
  <c r="S423" i="30"/>
  <c r="T423" i="30"/>
  <c r="S424" i="30"/>
  <c r="T424" i="30"/>
  <c r="S425" i="30"/>
  <c r="T425" i="30"/>
  <c r="S426" i="30"/>
  <c r="T426" i="30"/>
  <c r="S427" i="30"/>
  <c r="T427" i="30"/>
  <c r="S428" i="30"/>
  <c r="T428" i="30"/>
  <c r="S429" i="30"/>
  <c r="T429" i="30"/>
  <c r="S430" i="30"/>
  <c r="T430" i="30"/>
  <c r="S431" i="30"/>
  <c r="T431" i="30"/>
  <c r="S432" i="30"/>
  <c r="T432" i="30"/>
  <c r="S433" i="30"/>
  <c r="T433" i="30"/>
  <c r="S434" i="30"/>
  <c r="T434" i="30"/>
  <c r="S435" i="30"/>
  <c r="T435" i="30"/>
  <c r="S436" i="30"/>
  <c r="T436" i="30"/>
  <c r="S437" i="30"/>
  <c r="T437" i="30"/>
  <c r="S438" i="30"/>
  <c r="T438" i="30"/>
  <c r="S439" i="30"/>
  <c r="T439" i="30"/>
  <c r="S440" i="30"/>
  <c r="T440" i="30"/>
  <c r="S441" i="30"/>
  <c r="T441" i="30"/>
  <c r="S442" i="30"/>
  <c r="T442" i="30"/>
  <c r="S443" i="30"/>
  <c r="T443" i="30"/>
  <c r="S444" i="30"/>
  <c r="T444" i="30"/>
  <c r="S445" i="30"/>
  <c r="T445" i="30"/>
  <c r="S446" i="30"/>
  <c r="T446" i="30"/>
  <c r="S447" i="30"/>
  <c r="T447" i="30"/>
  <c r="S448" i="30"/>
  <c r="T448" i="30"/>
  <c r="S449" i="30"/>
  <c r="T449" i="30"/>
  <c r="S450" i="30"/>
  <c r="T450" i="30"/>
  <c r="S451" i="30"/>
  <c r="T451" i="30"/>
  <c r="S452" i="30"/>
  <c r="T452" i="30"/>
  <c r="S453" i="30"/>
  <c r="T453" i="30"/>
  <c r="S454" i="30"/>
  <c r="T454" i="30"/>
  <c r="S455" i="30"/>
  <c r="T455" i="30"/>
  <c r="S456" i="30"/>
  <c r="T456" i="30"/>
  <c r="S457" i="30"/>
  <c r="T457" i="30"/>
  <c r="S458" i="30"/>
  <c r="T458" i="30"/>
  <c r="S459" i="30"/>
  <c r="T459" i="30"/>
  <c r="S460" i="30"/>
  <c r="T460" i="30"/>
  <c r="S461" i="30"/>
  <c r="T461" i="30"/>
  <c r="S462" i="30"/>
  <c r="T462" i="30"/>
  <c r="S463" i="30"/>
  <c r="T463" i="30"/>
  <c r="S464" i="30"/>
  <c r="T464" i="30"/>
  <c r="S465" i="30"/>
  <c r="T465" i="30"/>
  <c r="S466" i="30"/>
  <c r="T466" i="30"/>
  <c r="S467" i="30"/>
  <c r="T467" i="30"/>
  <c r="S468" i="30"/>
  <c r="T468" i="30"/>
  <c r="S469" i="30"/>
  <c r="T469" i="30"/>
  <c r="S470" i="30"/>
  <c r="T470" i="30"/>
  <c r="S471" i="30"/>
  <c r="T471" i="30"/>
  <c r="S472" i="30"/>
  <c r="T472" i="30"/>
  <c r="S473" i="30"/>
  <c r="T473" i="30"/>
  <c r="S474" i="30"/>
  <c r="T474" i="30"/>
  <c r="S475" i="30"/>
  <c r="T475" i="30"/>
  <c r="S476" i="30"/>
  <c r="T476" i="30"/>
  <c r="S477" i="30"/>
  <c r="T477" i="30"/>
  <c r="S478" i="30"/>
  <c r="T478" i="30"/>
  <c r="S479" i="30"/>
  <c r="T479" i="30"/>
  <c r="S480" i="30"/>
  <c r="T480" i="30"/>
  <c r="S481" i="30"/>
  <c r="T481" i="30"/>
  <c r="S482" i="30"/>
  <c r="T482" i="30"/>
  <c r="S483" i="30"/>
  <c r="T483" i="30"/>
  <c r="S484" i="30"/>
  <c r="T484" i="30"/>
  <c r="S485" i="30"/>
  <c r="T485" i="30"/>
  <c r="S486" i="30"/>
  <c r="T486" i="30"/>
  <c r="S487" i="30"/>
  <c r="T487" i="30"/>
  <c r="S488" i="30"/>
  <c r="T488" i="30"/>
  <c r="S493" i="30"/>
  <c r="T493" i="30"/>
  <c r="S494" i="30"/>
  <c r="T494" i="30"/>
  <c r="S495" i="30"/>
  <c r="T495" i="30"/>
  <c r="S501" i="30"/>
  <c r="T501" i="30"/>
  <c r="S502" i="30"/>
  <c r="T502" i="30"/>
  <c r="S503" i="30"/>
  <c r="T503" i="30"/>
  <c r="S504" i="30"/>
  <c r="T504" i="30"/>
  <c r="S505" i="30"/>
  <c r="T505" i="30"/>
  <c r="S506" i="30"/>
  <c r="T506" i="30"/>
  <c r="S507" i="30"/>
  <c r="T507" i="30"/>
  <c r="S508" i="30"/>
  <c r="T508" i="30"/>
  <c r="S509" i="30"/>
  <c r="T509" i="30"/>
  <c r="S510" i="30"/>
  <c r="T510" i="30"/>
  <c r="S511" i="30"/>
  <c r="T511" i="30"/>
  <c r="S512" i="30"/>
  <c r="T512" i="30"/>
  <c r="S513" i="30"/>
  <c r="T513" i="30"/>
  <c r="S514" i="30"/>
  <c r="T514" i="30"/>
  <c r="S515" i="30"/>
  <c r="T515" i="30"/>
  <c r="S518" i="30"/>
  <c r="T518" i="30"/>
  <c r="S524" i="30"/>
  <c r="T524" i="30"/>
  <c r="S525" i="30"/>
  <c r="T525" i="30"/>
  <c r="S526" i="30"/>
  <c r="T526" i="30"/>
  <c r="S527" i="30"/>
  <c r="T527" i="30"/>
  <c r="S528" i="30"/>
  <c r="T528" i="30"/>
  <c r="S529" i="30"/>
  <c r="T529" i="30"/>
  <c r="S530" i="30"/>
  <c r="T530" i="30"/>
  <c r="S531" i="30"/>
  <c r="T531" i="30"/>
  <c r="S532" i="30"/>
  <c r="T532" i="30"/>
  <c r="S533" i="30"/>
  <c r="T533" i="30"/>
  <c r="S534" i="30"/>
  <c r="T534" i="30"/>
  <c r="S535" i="30"/>
  <c r="T535" i="30"/>
  <c r="S536" i="30"/>
  <c r="T536" i="30"/>
  <c r="S537" i="30"/>
  <c r="T537" i="30"/>
  <c r="S538" i="30"/>
  <c r="T538" i="30"/>
  <c r="S539" i="30"/>
  <c r="T539" i="30"/>
  <c r="S540" i="30"/>
  <c r="T540" i="30"/>
  <c r="S541" i="30"/>
  <c r="T541" i="30"/>
  <c r="S542" i="30"/>
  <c r="T542" i="30"/>
  <c r="S543" i="30"/>
  <c r="T543" i="30"/>
  <c r="S544" i="30"/>
  <c r="T544" i="30"/>
  <c r="S545" i="30"/>
  <c r="T545" i="30"/>
  <c r="S546" i="30"/>
  <c r="T546" i="30"/>
  <c r="S547" i="30"/>
  <c r="T547" i="30"/>
  <c r="S550" i="30"/>
  <c r="T550" i="30"/>
  <c r="S551" i="30"/>
  <c r="T551" i="30"/>
  <c r="S552" i="30"/>
  <c r="T552" i="30"/>
  <c r="S553" i="30"/>
  <c r="T553" i="30"/>
  <c r="S554" i="30"/>
  <c r="T554" i="30"/>
  <c r="S555" i="30"/>
  <c r="T555" i="30"/>
  <c r="S556" i="30"/>
  <c r="T556" i="30"/>
  <c r="S557" i="30"/>
  <c r="T557" i="30"/>
  <c r="S558" i="30"/>
  <c r="T558" i="30"/>
  <c r="S559" i="30"/>
  <c r="T559" i="30"/>
  <c r="S560" i="30"/>
  <c r="T560" i="30"/>
  <c r="S561" i="30"/>
  <c r="T561" i="30"/>
  <c r="S562" i="30"/>
  <c r="T562" i="30"/>
  <c r="S563" i="30"/>
  <c r="T563" i="30"/>
  <c r="S564" i="30"/>
  <c r="T564" i="30"/>
  <c r="S565" i="30"/>
  <c r="T565" i="30"/>
  <c r="S566" i="30"/>
  <c r="T566" i="30"/>
  <c r="S567" i="30"/>
  <c r="T567" i="30"/>
  <c r="S568" i="30"/>
  <c r="T568" i="30"/>
  <c r="S569" i="30"/>
  <c r="T569" i="30"/>
  <c r="S570" i="30"/>
  <c r="T570" i="30"/>
  <c r="S571" i="30"/>
  <c r="T571" i="30"/>
  <c r="S572" i="30"/>
  <c r="T572" i="30"/>
  <c r="S573" i="30"/>
  <c r="T573" i="30"/>
  <c r="S574" i="30"/>
  <c r="T574" i="30"/>
  <c r="S575" i="30"/>
  <c r="T575" i="30"/>
  <c r="S576" i="30"/>
  <c r="T576" i="30"/>
  <c r="S577" i="30"/>
  <c r="T577" i="30"/>
  <c r="S578" i="30"/>
  <c r="T578" i="30"/>
  <c r="S579" i="30"/>
  <c r="T579" i="30"/>
  <c r="S580" i="30"/>
  <c r="T580" i="30"/>
  <c r="S581" i="30"/>
  <c r="T581" i="30"/>
  <c r="S582" i="30"/>
  <c r="T582" i="30"/>
  <c r="S583" i="30"/>
  <c r="T583" i="30"/>
  <c r="S584" i="30"/>
  <c r="T584" i="30"/>
  <c r="S585" i="30"/>
  <c r="T585" i="30"/>
  <c r="S586" i="30"/>
  <c r="T586" i="30"/>
  <c r="S587" i="30"/>
  <c r="T587" i="30"/>
  <c r="S588" i="30"/>
  <c r="T588" i="30"/>
  <c r="S589" i="30"/>
  <c r="T589" i="30"/>
  <c r="S590" i="30"/>
  <c r="T590" i="30"/>
  <c r="S591" i="30"/>
  <c r="T591" i="30"/>
  <c r="S592" i="30"/>
  <c r="T592" i="30"/>
  <c r="S593" i="30"/>
  <c r="T593" i="30"/>
  <c r="S594" i="30"/>
  <c r="T594" i="30"/>
  <c r="S595" i="30"/>
  <c r="T595" i="30"/>
  <c r="S596" i="30"/>
  <c r="T596" i="30"/>
  <c r="S597" i="30"/>
  <c r="T597" i="30"/>
  <c r="S598" i="30"/>
  <c r="T598" i="30"/>
  <c r="S599" i="30"/>
  <c r="T599" i="30"/>
  <c r="S600" i="30"/>
  <c r="T600" i="30"/>
  <c r="S601" i="30"/>
  <c r="T601" i="30"/>
  <c r="S602" i="30"/>
  <c r="T602" i="30"/>
  <c r="S603" i="30"/>
  <c r="T603" i="30"/>
  <c r="S604" i="30"/>
  <c r="T604" i="30"/>
  <c r="S613" i="30"/>
  <c r="T613" i="30"/>
  <c r="S614" i="30"/>
  <c r="T614" i="30"/>
  <c r="S615" i="30"/>
  <c r="T615" i="30"/>
  <c r="S616" i="30"/>
  <c r="T616" i="30"/>
  <c r="S617" i="30"/>
  <c r="T617" i="30"/>
  <c r="S618" i="30"/>
  <c r="T618" i="30"/>
  <c r="S619" i="30"/>
  <c r="T619" i="30"/>
  <c r="S620" i="30"/>
  <c r="T620" i="30"/>
  <c r="S621" i="30"/>
  <c r="T621" i="30"/>
  <c r="S622" i="30"/>
  <c r="T622" i="30"/>
  <c r="S623" i="30"/>
  <c r="T623" i="30"/>
  <c r="S624" i="30"/>
  <c r="T624" i="30"/>
  <c r="S625" i="30"/>
  <c r="T625" i="30"/>
  <c r="S626" i="30"/>
  <c r="T626" i="30"/>
  <c r="S627" i="30"/>
  <c r="T627" i="30"/>
  <c r="S628" i="30"/>
  <c r="T628" i="30"/>
  <c r="S629" i="30"/>
  <c r="T629" i="30"/>
  <c r="S630" i="30"/>
  <c r="T630" i="30"/>
  <c r="S631" i="30"/>
  <c r="T631" i="30"/>
  <c r="S632" i="30"/>
  <c r="T632" i="30"/>
  <c r="S633" i="30"/>
  <c r="T633" i="30"/>
  <c r="S634" i="30"/>
  <c r="T634" i="30"/>
  <c r="S635" i="30"/>
  <c r="T635" i="30"/>
  <c r="S636" i="30"/>
  <c r="T636" i="30"/>
  <c r="S637" i="30"/>
  <c r="T637" i="30"/>
  <c r="S638" i="30"/>
  <c r="T638" i="30"/>
  <c r="S639" i="30"/>
  <c r="T639" i="30"/>
  <c r="S640" i="30"/>
  <c r="T640" i="30"/>
  <c r="S644" i="30"/>
  <c r="T644" i="30"/>
  <c r="S645" i="30"/>
  <c r="T645" i="30"/>
  <c r="S646" i="30"/>
  <c r="T646" i="30"/>
  <c r="S647" i="30"/>
  <c r="T647" i="30"/>
  <c r="S648" i="30"/>
  <c r="T648" i="30"/>
  <c r="S656" i="30"/>
  <c r="T656" i="30"/>
  <c r="S657" i="30"/>
  <c r="T657" i="30"/>
  <c r="S658" i="30"/>
  <c r="T658" i="30"/>
  <c r="S659" i="30"/>
  <c r="T659" i="30"/>
  <c r="S660" i="30"/>
  <c r="T660" i="30"/>
  <c r="S649" i="30"/>
  <c r="T649" i="30"/>
  <c r="E649" i="30" s="1"/>
  <c r="S650" i="30"/>
  <c r="T650" i="30"/>
  <c r="S651" i="30"/>
  <c r="T651" i="30"/>
  <c r="E651" i="30" s="1"/>
  <c r="S652" i="30"/>
  <c r="T652" i="30"/>
  <c r="E652" i="30" s="1"/>
  <c r="S653" i="30"/>
  <c r="T653" i="30"/>
  <c r="S654" i="30"/>
  <c r="T654" i="30"/>
  <c r="S655" i="30"/>
  <c r="T655" i="30"/>
  <c r="E655" i="30" s="1"/>
  <c r="S641" i="30"/>
  <c r="T641" i="30"/>
  <c r="E641" i="30" s="1"/>
  <c r="S642" i="30"/>
  <c r="T642" i="30"/>
  <c r="E642" i="30" s="1"/>
  <c r="T643" i="30"/>
  <c r="E643" i="30" s="1"/>
  <c r="S643" i="30"/>
  <c r="P649" i="30"/>
  <c r="O649" i="30"/>
  <c r="V649" i="30"/>
  <c r="U649" i="30"/>
  <c r="R649" i="30"/>
  <c r="Q649" i="30"/>
  <c r="W649" i="30"/>
  <c r="X649" i="30" s="1"/>
  <c r="O650" i="30"/>
  <c r="P650" i="30"/>
  <c r="Q650" i="30"/>
  <c r="R650" i="30"/>
  <c r="E650" i="30"/>
  <c r="U650" i="30"/>
  <c r="V650" i="30"/>
  <c r="W650" i="30"/>
  <c r="X650" i="30" s="1"/>
  <c r="O651" i="30"/>
  <c r="P651" i="30"/>
  <c r="Q651" i="30"/>
  <c r="R651" i="30"/>
  <c r="U651" i="30"/>
  <c r="V651" i="30"/>
  <c r="W651" i="30"/>
  <c r="X651" i="30" s="1"/>
  <c r="O652" i="30"/>
  <c r="P652" i="30"/>
  <c r="Q652" i="30"/>
  <c r="R652" i="30"/>
  <c r="U652" i="30"/>
  <c r="V652" i="30"/>
  <c r="W652" i="30"/>
  <c r="X652" i="30"/>
  <c r="O653" i="30"/>
  <c r="P653" i="30"/>
  <c r="Q653" i="30"/>
  <c r="R653" i="30"/>
  <c r="U653" i="30"/>
  <c r="V653" i="30"/>
  <c r="W653" i="30"/>
  <c r="X653" i="30"/>
  <c r="O654" i="30"/>
  <c r="P654" i="30"/>
  <c r="Q654" i="30"/>
  <c r="R654" i="30"/>
  <c r="E654" i="30"/>
  <c r="U654" i="30"/>
  <c r="V654" i="30"/>
  <c r="W654" i="30"/>
  <c r="X654" i="30" s="1"/>
  <c r="O655" i="30"/>
  <c r="P655" i="30"/>
  <c r="Q655" i="30"/>
  <c r="R655" i="30"/>
  <c r="U655" i="30"/>
  <c r="V655" i="30"/>
  <c r="W655" i="30"/>
  <c r="X655" i="30" s="1"/>
  <c r="O641" i="30"/>
  <c r="P641" i="30"/>
  <c r="Q641" i="30"/>
  <c r="R641" i="30"/>
  <c r="U641" i="30"/>
  <c r="V641" i="30"/>
  <c r="W641" i="30"/>
  <c r="X641" i="30" s="1"/>
  <c r="O642" i="30"/>
  <c r="P642" i="30"/>
  <c r="Q642" i="30"/>
  <c r="R642" i="30"/>
  <c r="U642" i="30"/>
  <c r="V642" i="30"/>
  <c r="W642" i="30"/>
  <c r="X642" i="30" s="1"/>
  <c r="O643" i="30"/>
  <c r="P643" i="30"/>
  <c r="Q643" i="30"/>
  <c r="R643" i="30"/>
  <c r="U643" i="30"/>
  <c r="V643" i="30"/>
  <c r="W643" i="30"/>
  <c r="X643" i="30" s="1"/>
  <c r="C649" i="30"/>
  <c r="C650" i="30"/>
  <c r="C651" i="30"/>
  <c r="C652" i="30"/>
  <c r="C653" i="30"/>
  <c r="C654" i="30"/>
  <c r="C655" i="30"/>
  <c r="C641" i="30"/>
  <c r="C642" i="30"/>
  <c r="C643" i="30"/>
  <c r="E653" i="30"/>
  <c r="O5" i="30"/>
  <c r="P5" i="30"/>
  <c r="S5" i="30" s="1"/>
  <c r="Q5" i="30"/>
  <c r="R5" i="30"/>
  <c r="T5" i="30"/>
  <c r="U5" i="30"/>
  <c r="V5" i="30"/>
  <c r="O6" i="30"/>
  <c r="P6" i="30"/>
  <c r="S6" i="30" s="1"/>
  <c r="Q6" i="30"/>
  <c r="R6" i="30"/>
  <c r="T6" i="30"/>
  <c r="U6" i="30"/>
  <c r="V6" i="30"/>
  <c r="O7" i="30"/>
  <c r="P7" i="30"/>
  <c r="S7" i="30" s="1"/>
  <c r="Q7" i="30"/>
  <c r="R7" i="30"/>
  <c r="T7" i="30"/>
  <c r="U7" i="30"/>
  <c r="V7" i="30"/>
  <c r="O8" i="30"/>
  <c r="P8" i="30"/>
  <c r="Q8" i="30"/>
  <c r="R8" i="30"/>
  <c r="U8" i="30"/>
  <c r="V8" i="30"/>
  <c r="O9" i="30"/>
  <c r="P9" i="30"/>
  <c r="Q9" i="30"/>
  <c r="R9" i="30"/>
  <c r="U9" i="30"/>
  <c r="V9" i="30"/>
  <c r="O10" i="30"/>
  <c r="P10" i="30"/>
  <c r="Q10" i="30"/>
  <c r="R10" i="30"/>
  <c r="U10" i="30"/>
  <c r="V10" i="30"/>
  <c r="O11" i="30"/>
  <c r="P11" i="30"/>
  <c r="Q11" i="30"/>
  <c r="R11" i="30"/>
  <c r="U11" i="30"/>
  <c r="V11" i="30"/>
  <c r="O12" i="30"/>
  <c r="P12" i="30"/>
  <c r="Q12" i="30"/>
  <c r="R12" i="30"/>
  <c r="U12" i="30"/>
  <c r="V12" i="30"/>
  <c r="O13" i="30"/>
  <c r="P13" i="30"/>
  <c r="Q13" i="30"/>
  <c r="R13" i="30"/>
  <c r="U13" i="30"/>
  <c r="V13" i="30"/>
  <c r="O14" i="30"/>
  <c r="P14" i="30"/>
  <c r="Q14" i="30"/>
  <c r="R14" i="30"/>
  <c r="U14" i="30"/>
  <c r="V14" i="30"/>
  <c r="O15" i="30"/>
  <c r="P15" i="30"/>
  <c r="Q15" i="30"/>
  <c r="R15" i="30"/>
  <c r="U15" i="30"/>
  <c r="V15" i="30"/>
  <c r="O16" i="30"/>
  <c r="P16" i="30"/>
  <c r="Q16" i="30"/>
  <c r="R16" i="30"/>
  <c r="U16" i="30"/>
  <c r="V16" i="30"/>
  <c r="O17" i="30"/>
  <c r="P17" i="30"/>
  <c r="Q17" i="30"/>
  <c r="R17" i="30"/>
  <c r="U17" i="30"/>
  <c r="V17" i="30"/>
  <c r="O18" i="30"/>
  <c r="P18" i="30"/>
  <c r="Q18" i="30"/>
  <c r="R18" i="30"/>
  <c r="U18" i="30"/>
  <c r="V18" i="30"/>
  <c r="O19" i="30"/>
  <c r="P19" i="30"/>
  <c r="Q19" i="30"/>
  <c r="R19" i="30"/>
  <c r="U19" i="30"/>
  <c r="V19" i="30"/>
  <c r="O20" i="30"/>
  <c r="P20" i="30"/>
  <c r="Q20" i="30"/>
  <c r="R20" i="30"/>
  <c r="U20" i="30"/>
  <c r="V20" i="30"/>
  <c r="O21" i="30"/>
  <c r="P21" i="30"/>
  <c r="Q21" i="30"/>
  <c r="R21" i="30"/>
  <c r="U21" i="30"/>
  <c r="V21" i="30"/>
  <c r="O22" i="30"/>
  <c r="P22" i="30"/>
  <c r="Q22" i="30"/>
  <c r="R22" i="30"/>
  <c r="U22" i="30"/>
  <c r="V22" i="30"/>
  <c r="O23" i="30"/>
  <c r="P23" i="30"/>
  <c r="Q23" i="30"/>
  <c r="R23" i="30"/>
  <c r="U23" i="30"/>
  <c r="V23" i="30"/>
  <c r="O24" i="30"/>
  <c r="P24" i="30"/>
  <c r="Q24" i="30"/>
  <c r="R24" i="30"/>
  <c r="U24" i="30"/>
  <c r="V24" i="30"/>
  <c r="O25" i="30"/>
  <c r="P25" i="30"/>
  <c r="Q25" i="30"/>
  <c r="R25" i="30"/>
  <c r="U25" i="30"/>
  <c r="V25" i="30"/>
  <c r="O26" i="30"/>
  <c r="P26" i="30"/>
  <c r="Q26" i="30"/>
  <c r="R26" i="30"/>
  <c r="U26" i="30"/>
  <c r="V26" i="30"/>
  <c r="O27" i="30"/>
  <c r="P27" i="30"/>
  <c r="Q27" i="30"/>
  <c r="R27" i="30"/>
  <c r="U27" i="30"/>
  <c r="V27" i="30"/>
  <c r="O28" i="30"/>
  <c r="P28" i="30"/>
  <c r="Q28" i="30"/>
  <c r="R28" i="30"/>
  <c r="U28" i="30"/>
  <c r="V28" i="30"/>
  <c r="O29" i="30"/>
  <c r="P29" i="30"/>
  <c r="Q29" i="30"/>
  <c r="R29" i="30"/>
  <c r="U29" i="30"/>
  <c r="V29" i="30"/>
  <c r="O30" i="30"/>
  <c r="P30" i="30"/>
  <c r="Q30" i="30"/>
  <c r="R30" i="30"/>
  <c r="U30" i="30"/>
  <c r="V30" i="30"/>
  <c r="O31" i="30"/>
  <c r="P31" i="30"/>
  <c r="Q31" i="30"/>
  <c r="R31" i="30"/>
  <c r="U31" i="30"/>
  <c r="V31" i="30"/>
  <c r="O32" i="30"/>
  <c r="P32" i="30"/>
  <c r="Q32" i="30"/>
  <c r="R32" i="30"/>
  <c r="U32" i="30"/>
  <c r="V32" i="30"/>
  <c r="O33" i="30"/>
  <c r="P33" i="30"/>
  <c r="Q33" i="30"/>
  <c r="R33" i="30"/>
  <c r="U33" i="30"/>
  <c r="V33" i="30"/>
  <c r="O34" i="30"/>
  <c r="P34" i="30"/>
  <c r="Q34" i="30"/>
  <c r="R34" i="30"/>
  <c r="U34" i="30"/>
  <c r="V34" i="30"/>
  <c r="O35" i="30"/>
  <c r="P35" i="30"/>
  <c r="Q35" i="30"/>
  <c r="R35" i="30"/>
  <c r="U35" i="30"/>
  <c r="V35" i="30"/>
  <c r="O36" i="30"/>
  <c r="P36" i="30"/>
  <c r="Q36" i="30"/>
  <c r="R36" i="30"/>
  <c r="U36" i="30"/>
  <c r="V36" i="30"/>
  <c r="O37" i="30"/>
  <c r="P37" i="30"/>
  <c r="Q37" i="30"/>
  <c r="R37" i="30"/>
  <c r="U37" i="30"/>
  <c r="V37" i="30"/>
  <c r="O38" i="30"/>
  <c r="P38" i="30"/>
  <c r="Q38" i="30"/>
  <c r="R38" i="30"/>
  <c r="U38" i="30"/>
  <c r="V38" i="30"/>
  <c r="O39" i="30"/>
  <c r="P39" i="30"/>
  <c r="Q39" i="30"/>
  <c r="R39" i="30"/>
  <c r="U39" i="30"/>
  <c r="V39" i="30"/>
  <c r="O40" i="30"/>
  <c r="P40" i="30"/>
  <c r="Q40" i="30"/>
  <c r="R40" i="30"/>
  <c r="U40" i="30"/>
  <c r="V40" i="30"/>
  <c r="O41" i="30"/>
  <c r="P41" i="30"/>
  <c r="Q41" i="30"/>
  <c r="R41" i="30"/>
  <c r="U41" i="30"/>
  <c r="V41" i="30"/>
  <c r="O42" i="30"/>
  <c r="P42" i="30"/>
  <c r="Q42" i="30"/>
  <c r="R42" i="30"/>
  <c r="U42" i="30"/>
  <c r="V42" i="30"/>
  <c r="O43" i="30"/>
  <c r="P43" i="30"/>
  <c r="Q43" i="30"/>
  <c r="R43" i="30"/>
  <c r="U43" i="30"/>
  <c r="V43" i="30"/>
  <c r="O44" i="30"/>
  <c r="P44" i="30"/>
  <c r="Q44" i="30"/>
  <c r="R44" i="30"/>
  <c r="U44" i="30"/>
  <c r="V44" i="30"/>
  <c r="O45" i="30"/>
  <c r="P45" i="30"/>
  <c r="Q45" i="30"/>
  <c r="R45" i="30"/>
  <c r="U45" i="30"/>
  <c r="V45" i="30"/>
  <c r="O46" i="30"/>
  <c r="P46" i="30"/>
  <c r="Q46" i="30"/>
  <c r="R46" i="30"/>
  <c r="U46" i="30"/>
  <c r="V46" i="30"/>
  <c r="O47" i="30"/>
  <c r="P47" i="30"/>
  <c r="Q47" i="30"/>
  <c r="R47" i="30"/>
  <c r="U47" i="30"/>
  <c r="V47" i="30"/>
  <c r="O48" i="30"/>
  <c r="P48" i="30"/>
  <c r="Q48" i="30"/>
  <c r="R48" i="30"/>
  <c r="U48" i="30"/>
  <c r="V48" i="30"/>
  <c r="O49" i="30"/>
  <c r="P49" i="30"/>
  <c r="Q49" i="30"/>
  <c r="R49" i="30"/>
  <c r="U49" i="30"/>
  <c r="V49" i="30"/>
  <c r="O50" i="30"/>
  <c r="P50" i="30"/>
  <c r="Q50" i="30"/>
  <c r="R50" i="30"/>
  <c r="U50" i="30"/>
  <c r="V50" i="30"/>
  <c r="O51" i="30"/>
  <c r="P51" i="30"/>
  <c r="Q51" i="30"/>
  <c r="R51" i="30"/>
  <c r="U51" i="30"/>
  <c r="V51" i="30"/>
  <c r="O52" i="30"/>
  <c r="P52" i="30"/>
  <c r="Q52" i="30"/>
  <c r="R52" i="30"/>
  <c r="U52" i="30"/>
  <c r="V52" i="30"/>
  <c r="O53" i="30"/>
  <c r="P53" i="30"/>
  <c r="Q53" i="30"/>
  <c r="R53" i="30"/>
  <c r="U53" i="30"/>
  <c r="V53" i="30"/>
  <c r="O54" i="30"/>
  <c r="P54" i="30"/>
  <c r="Q54" i="30"/>
  <c r="R54" i="30"/>
  <c r="U54" i="30"/>
  <c r="V54" i="30"/>
  <c r="O55" i="30"/>
  <c r="P55" i="30"/>
  <c r="Q55" i="30"/>
  <c r="R55" i="30"/>
  <c r="U55" i="30"/>
  <c r="V55" i="30"/>
  <c r="O56" i="30"/>
  <c r="P56" i="30"/>
  <c r="Q56" i="30"/>
  <c r="R56" i="30"/>
  <c r="U56" i="30"/>
  <c r="V56" i="30"/>
  <c r="O57" i="30"/>
  <c r="P57" i="30"/>
  <c r="Q57" i="30"/>
  <c r="R57" i="30"/>
  <c r="U57" i="30"/>
  <c r="V57" i="30"/>
  <c r="O58" i="30"/>
  <c r="P58" i="30"/>
  <c r="Q58" i="30"/>
  <c r="R58" i="30"/>
  <c r="U58" i="30"/>
  <c r="V58" i="30"/>
  <c r="O59" i="30"/>
  <c r="P59" i="30"/>
  <c r="Q59" i="30"/>
  <c r="R59" i="30"/>
  <c r="U59" i="30"/>
  <c r="V59" i="30"/>
  <c r="O60" i="30"/>
  <c r="P60" i="30"/>
  <c r="Q60" i="30"/>
  <c r="R60" i="30"/>
  <c r="U60" i="30"/>
  <c r="V60" i="30"/>
  <c r="O61" i="30"/>
  <c r="P61" i="30"/>
  <c r="Q61" i="30"/>
  <c r="R61" i="30"/>
  <c r="U61" i="30"/>
  <c r="V61" i="30"/>
  <c r="O62" i="30"/>
  <c r="P62" i="30"/>
  <c r="Q62" i="30"/>
  <c r="R62" i="30"/>
  <c r="U62" i="30"/>
  <c r="V62" i="30"/>
  <c r="O63" i="30"/>
  <c r="P63" i="30"/>
  <c r="Q63" i="30"/>
  <c r="R63" i="30"/>
  <c r="U63" i="30"/>
  <c r="V63" i="30"/>
  <c r="O64" i="30"/>
  <c r="P64" i="30"/>
  <c r="Q64" i="30"/>
  <c r="R64" i="30"/>
  <c r="U64" i="30"/>
  <c r="V64" i="30"/>
  <c r="O65" i="30"/>
  <c r="P65" i="30"/>
  <c r="Q65" i="30"/>
  <c r="R65" i="30"/>
  <c r="U65" i="30"/>
  <c r="V65" i="30"/>
  <c r="O66" i="30"/>
  <c r="P66" i="30"/>
  <c r="Q66" i="30"/>
  <c r="R66" i="30"/>
  <c r="U66" i="30"/>
  <c r="V66" i="30"/>
  <c r="O67" i="30"/>
  <c r="P67" i="30"/>
  <c r="Q67" i="30"/>
  <c r="R67" i="30"/>
  <c r="U67" i="30"/>
  <c r="V67" i="30"/>
  <c r="O68" i="30"/>
  <c r="P68" i="30"/>
  <c r="Q68" i="30"/>
  <c r="R68" i="30"/>
  <c r="U68" i="30"/>
  <c r="V68" i="30"/>
  <c r="O69" i="30"/>
  <c r="P69" i="30"/>
  <c r="Q69" i="30"/>
  <c r="R69" i="30"/>
  <c r="U69" i="30"/>
  <c r="V69" i="30"/>
  <c r="O70" i="30"/>
  <c r="P70" i="30"/>
  <c r="Q70" i="30"/>
  <c r="R70" i="30"/>
  <c r="U70" i="30"/>
  <c r="V70" i="30"/>
  <c r="O71" i="30"/>
  <c r="P71" i="30"/>
  <c r="Q71" i="30"/>
  <c r="R71" i="30"/>
  <c r="U71" i="30"/>
  <c r="V71" i="30"/>
  <c r="O72" i="30"/>
  <c r="P72" i="30"/>
  <c r="Q72" i="30"/>
  <c r="R72" i="30"/>
  <c r="U72" i="30"/>
  <c r="V72" i="30"/>
  <c r="O73" i="30"/>
  <c r="P73" i="30"/>
  <c r="Q73" i="30"/>
  <c r="R73" i="30"/>
  <c r="U73" i="30"/>
  <c r="V73" i="30"/>
  <c r="O74" i="30"/>
  <c r="P74" i="30"/>
  <c r="Q74" i="30"/>
  <c r="R74" i="30"/>
  <c r="U74" i="30"/>
  <c r="V74" i="30"/>
  <c r="O75" i="30"/>
  <c r="P75" i="30"/>
  <c r="Q75" i="30"/>
  <c r="R75" i="30"/>
  <c r="U75" i="30"/>
  <c r="V75" i="30"/>
  <c r="O76" i="30"/>
  <c r="P76" i="30"/>
  <c r="Q76" i="30"/>
  <c r="R76" i="30"/>
  <c r="U76" i="30"/>
  <c r="V76" i="30"/>
  <c r="O77" i="30"/>
  <c r="P77" i="30"/>
  <c r="Q77" i="30"/>
  <c r="R77" i="30"/>
  <c r="U77" i="30"/>
  <c r="V77" i="30"/>
  <c r="O78" i="30"/>
  <c r="P78" i="30"/>
  <c r="Q78" i="30"/>
  <c r="R78" i="30"/>
  <c r="U78" i="30"/>
  <c r="V78" i="30"/>
  <c r="O79" i="30"/>
  <c r="P79" i="30"/>
  <c r="Q79" i="30"/>
  <c r="R79" i="30"/>
  <c r="U79" i="30"/>
  <c r="V79" i="30"/>
  <c r="O80" i="30"/>
  <c r="P80" i="30"/>
  <c r="Q80" i="30"/>
  <c r="R80" i="30"/>
  <c r="U80" i="30"/>
  <c r="V80" i="30"/>
  <c r="O81" i="30"/>
  <c r="P81" i="30"/>
  <c r="Q81" i="30"/>
  <c r="R81" i="30"/>
  <c r="U81" i="30"/>
  <c r="V81" i="30"/>
  <c r="O82" i="30"/>
  <c r="P82" i="30"/>
  <c r="Q82" i="30"/>
  <c r="R82" i="30"/>
  <c r="U82" i="30"/>
  <c r="V82" i="30"/>
  <c r="O83" i="30"/>
  <c r="P83" i="30"/>
  <c r="Q83" i="30"/>
  <c r="R83" i="30"/>
  <c r="U83" i="30"/>
  <c r="V83" i="30"/>
  <c r="O84" i="30"/>
  <c r="P84" i="30"/>
  <c r="Q84" i="30"/>
  <c r="R84" i="30"/>
  <c r="U84" i="30"/>
  <c r="V84" i="30"/>
  <c r="O85" i="30"/>
  <c r="P85" i="30"/>
  <c r="Q85" i="30"/>
  <c r="R85" i="30"/>
  <c r="U85" i="30"/>
  <c r="V85" i="30"/>
  <c r="O86" i="30"/>
  <c r="P86" i="30"/>
  <c r="Q86" i="30"/>
  <c r="R86" i="30"/>
  <c r="U86" i="30"/>
  <c r="V86" i="30"/>
  <c r="O87" i="30"/>
  <c r="P87" i="30"/>
  <c r="Q87" i="30"/>
  <c r="R87" i="30"/>
  <c r="U87" i="30"/>
  <c r="V87" i="30"/>
  <c r="O88" i="30"/>
  <c r="P88" i="30"/>
  <c r="Q88" i="30"/>
  <c r="R88" i="30"/>
  <c r="U88" i="30"/>
  <c r="V88" i="30"/>
  <c r="O89" i="30"/>
  <c r="P89" i="30"/>
  <c r="Q89" i="30"/>
  <c r="R89" i="30"/>
  <c r="U89" i="30"/>
  <c r="V89" i="30"/>
  <c r="O90" i="30"/>
  <c r="P90" i="30"/>
  <c r="Q90" i="30"/>
  <c r="R90" i="30"/>
  <c r="U90" i="30"/>
  <c r="V90" i="30"/>
  <c r="O91" i="30"/>
  <c r="P91" i="30"/>
  <c r="Q91" i="30"/>
  <c r="R91" i="30"/>
  <c r="U91" i="30"/>
  <c r="V91" i="30"/>
  <c r="O92" i="30"/>
  <c r="P92" i="30"/>
  <c r="Q92" i="30"/>
  <c r="R92" i="30"/>
  <c r="U92" i="30"/>
  <c r="V92" i="30"/>
  <c r="O93" i="30"/>
  <c r="P93" i="30"/>
  <c r="Q93" i="30"/>
  <c r="R93" i="30"/>
  <c r="U93" i="30"/>
  <c r="V93" i="30"/>
  <c r="O94" i="30"/>
  <c r="P94" i="30"/>
  <c r="Q94" i="30"/>
  <c r="R94" i="30"/>
  <c r="U94" i="30"/>
  <c r="V94" i="30"/>
  <c r="O95" i="30"/>
  <c r="P95" i="30"/>
  <c r="Q95" i="30"/>
  <c r="R95" i="30"/>
  <c r="U95" i="30"/>
  <c r="V95" i="30"/>
  <c r="O96" i="30"/>
  <c r="P96" i="30"/>
  <c r="Q96" i="30"/>
  <c r="R96" i="30"/>
  <c r="U96" i="30"/>
  <c r="V96" i="30"/>
  <c r="O97" i="30"/>
  <c r="P97" i="30"/>
  <c r="Q97" i="30"/>
  <c r="R97" i="30"/>
  <c r="U97" i="30"/>
  <c r="V97" i="30"/>
  <c r="O98" i="30"/>
  <c r="P98" i="30"/>
  <c r="Q98" i="30"/>
  <c r="R98" i="30"/>
  <c r="U98" i="30"/>
  <c r="V98" i="30"/>
  <c r="O99" i="30"/>
  <c r="P99" i="30"/>
  <c r="Q99" i="30"/>
  <c r="R99" i="30"/>
  <c r="U99" i="30"/>
  <c r="V99" i="30"/>
  <c r="O100" i="30"/>
  <c r="P100" i="30"/>
  <c r="Q100" i="30"/>
  <c r="R100" i="30"/>
  <c r="U100" i="30"/>
  <c r="V100" i="30"/>
  <c r="O101" i="30"/>
  <c r="P101" i="30"/>
  <c r="Q101" i="30"/>
  <c r="R101" i="30"/>
  <c r="U101" i="30"/>
  <c r="V101" i="30"/>
  <c r="O102" i="30"/>
  <c r="P102" i="30"/>
  <c r="Q102" i="30"/>
  <c r="R102" i="30"/>
  <c r="U102" i="30"/>
  <c r="V102" i="30"/>
  <c r="O103" i="30"/>
  <c r="P103" i="30"/>
  <c r="Q103" i="30"/>
  <c r="R103" i="30"/>
  <c r="U103" i="30"/>
  <c r="V103" i="30"/>
  <c r="O104" i="30"/>
  <c r="P104" i="30"/>
  <c r="Q104" i="30"/>
  <c r="R104" i="30"/>
  <c r="U104" i="30"/>
  <c r="V104" i="30"/>
  <c r="O105" i="30"/>
  <c r="P105" i="30"/>
  <c r="Q105" i="30"/>
  <c r="R105" i="30"/>
  <c r="U105" i="30"/>
  <c r="V105" i="30"/>
  <c r="O106" i="30"/>
  <c r="P106" i="30"/>
  <c r="Q106" i="30"/>
  <c r="R106" i="30"/>
  <c r="U106" i="30"/>
  <c r="V106" i="30"/>
  <c r="O107" i="30"/>
  <c r="P107" i="30"/>
  <c r="Q107" i="30"/>
  <c r="R107" i="30"/>
  <c r="U107" i="30"/>
  <c r="V107" i="30"/>
  <c r="O108" i="30"/>
  <c r="P108" i="30"/>
  <c r="Q108" i="30"/>
  <c r="R108" i="30"/>
  <c r="U108" i="30"/>
  <c r="V108" i="30"/>
  <c r="O109" i="30"/>
  <c r="P109" i="30"/>
  <c r="Q109" i="30"/>
  <c r="R109" i="30"/>
  <c r="U109" i="30"/>
  <c r="V109" i="30"/>
  <c r="O110" i="30"/>
  <c r="P110" i="30"/>
  <c r="Q110" i="30"/>
  <c r="R110" i="30"/>
  <c r="U110" i="30"/>
  <c r="V110" i="30"/>
  <c r="O111" i="30"/>
  <c r="P111" i="30"/>
  <c r="Q111" i="30"/>
  <c r="R111" i="30"/>
  <c r="U111" i="30"/>
  <c r="V111" i="30"/>
  <c r="O112" i="30"/>
  <c r="P112" i="30"/>
  <c r="Q112" i="30"/>
  <c r="R112" i="30"/>
  <c r="U112" i="30"/>
  <c r="V112" i="30"/>
  <c r="O113" i="30"/>
  <c r="P113" i="30"/>
  <c r="Q113" i="30"/>
  <c r="R113" i="30"/>
  <c r="U113" i="30"/>
  <c r="V113" i="30"/>
  <c r="O114" i="30"/>
  <c r="P114" i="30"/>
  <c r="Q114" i="30"/>
  <c r="R114" i="30"/>
  <c r="U114" i="30"/>
  <c r="V114" i="30"/>
  <c r="O115" i="30"/>
  <c r="P115" i="30"/>
  <c r="Q115" i="30"/>
  <c r="R115" i="30"/>
  <c r="U115" i="30"/>
  <c r="V115" i="30"/>
  <c r="O116" i="30"/>
  <c r="P116" i="30"/>
  <c r="Q116" i="30"/>
  <c r="R116" i="30"/>
  <c r="U116" i="30"/>
  <c r="V116" i="30"/>
  <c r="O117" i="30"/>
  <c r="P117" i="30"/>
  <c r="Q117" i="30"/>
  <c r="R117" i="30"/>
  <c r="U117" i="30"/>
  <c r="V117" i="30"/>
  <c r="O118" i="30"/>
  <c r="P118" i="30"/>
  <c r="Q118" i="30"/>
  <c r="R118" i="30"/>
  <c r="U118" i="30"/>
  <c r="V118" i="30"/>
  <c r="O119" i="30"/>
  <c r="P119" i="30"/>
  <c r="Q119" i="30"/>
  <c r="R119" i="30"/>
  <c r="U119" i="30"/>
  <c r="V119" i="30"/>
  <c r="O120" i="30"/>
  <c r="P120" i="30"/>
  <c r="Q120" i="30"/>
  <c r="R120" i="30"/>
  <c r="U120" i="30"/>
  <c r="V120" i="30"/>
  <c r="O121" i="30"/>
  <c r="P121" i="30"/>
  <c r="Q121" i="30"/>
  <c r="R121" i="30"/>
  <c r="U121" i="30"/>
  <c r="V121" i="30"/>
  <c r="O122" i="30"/>
  <c r="P122" i="30"/>
  <c r="Q122" i="30"/>
  <c r="R122" i="30"/>
  <c r="U122" i="30"/>
  <c r="V122" i="30"/>
  <c r="O123" i="30"/>
  <c r="P123" i="30"/>
  <c r="Q123" i="30"/>
  <c r="R123" i="30"/>
  <c r="U123" i="30"/>
  <c r="V123" i="30"/>
  <c r="O124" i="30"/>
  <c r="P124" i="30"/>
  <c r="Q124" i="30"/>
  <c r="R124" i="30"/>
  <c r="U124" i="30"/>
  <c r="V124" i="30"/>
  <c r="O125" i="30"/>
  <c r="P125" i="30"/>
  <c r="Q125" i="30"/>
  <c r="R125" i="30"/>
  <c r="U125" i="30"/>
  <c r="V125" i="30"/>
  <c r="O126" i="30"/>
  <c r="P126" i="30"/>
  <c r="Q126" i="30"/>
  <c r="R126" i="30"/>
  <c r="U126" i="30"/>
  <c r="V126" i="30"/>
  <c r="O127" i="30"/>
  <c r="P127" i="30"/>
  <c r="Q127" i="30"/>
  <c r="R127" i="30"/>
  <c r="U127" i="30"/>
  <c r="V127" i="30"/>
  <c r="O128" i="30"/>
  <c r="P128" i="30"/>
  <c r="Q128" i="30"/>
  <c r="R128" i="30"/>
  <c r="U128" i="30"/>
  <c r="V128" i="30"/>
  <c r="O129" i="30"/>
  <c r="P129" i="30"/>
  <c r="Q129" i="30"/>
  <c r="R129" i="30"/>
  <c r="U129" i="30"/>
  <c r="V129" i="30"/>
  <c r="O130" i="30"/>
  <c r="P130" i="30"/>
  <c r="Q130" i="30"/>
  <c r="R130" i="30"/>
  <c r="U130" i="30"/>
  <c r="V130" i="30"/>
  <c r="O131" i="30"/>
  <c r="P131" i="30"/>
  <c r="Q131" i="30"/>
  <c r="R131" i="30"/>
  <c r="U131" i="30"/>
  <c r="V131" i="30"/>
  <c r="O132" i="30"/>
  <c r="P132" i="30"/>
  <c r="Q132" i="30"/>
  <c r="R132" i="30"/>
  <c r="U132" i="30"/>
  <c r="V132" i="30"/>
  <c r="O133" i="30"/>
  <c r="P133" i="30"/>
  <c r="Q133" i="30"/>
  <c r="R133" i="30"/>
  <c r="U133" i="30"/>
  <c r="V133" i="30"/>
  <c r="O134" i="30"/>
  <c r="P134" i="30"/>
  <c r="Q134" i="30"/>
  <c r="R134" i="30"/>
  <c r="U134" i="30"/>
  <c r="V134" i="30"/>
  <c r="O135" i="30"/>
  <c r="P135" i="30"/>
  <c r="Q135" i="30"/>
  <c r="R135" i="30"/>
  <c r="U135" i="30"/>
  <c r="V135" i="30"/>
  <c r="O136" i="30"/>
  <c r="P136" i="30"/>
  <c r="Q136" i="30"/>
  <c r="R136" i="30"/>
  <c r="U136" i="30"/>
  <c r="V136" i="30"/>
  <c r="O137" i="30"/>
  <c r="P137" i="30"/>
  <c r="Q137" i="30"/>
  <c r="R137" i="30"/>
  <c r="U137" i="30"/>
  <c r="V137" i="30"/>
  <c r="O138" i="30"/>
  <c r="P138" i="30"/>
  <c r="Q138" i="30"/>
  <c r="R138" i="30"/>
  <c r="U138" i="30"/>
  <c r="V138" i="30"/>
  <c r="O139" i="30"/>
  <c r="P139" i="30"/>
  <c r="Q139" i="30"/>
  <c r="R139" i="30"/>
  <c r="U139" i="30"/>
  <c r="V139" i="30"/>
  <c r="O140" i="30"/>
  <c r="P140" i="30"/>
  <c r="Q140" i="30"/>
  <c r="R140" i="30"/>
  <c r="U140" i="30"/>
  <c r="V140" i="30"/>
  <c r="O141" i="30"/>
  <c r="P141" i="30"/>
  <c r="Q141" i="30"/>
  <c r="R141" i="30"/>
  <c r="U141" i="30"/>
  <c r="V141" i="30"/>
  <c r="O142" i="30"/>
  <c r="P142" i="30"/>
  <c r="Q142" i="30"/>
  <c r="R142" i="30"/>
  <c r="U142" i="30"/>
  <c r="V142" i="30"/>
  <c r="O143" i="30"/>
  <c r="P143" i="30"/>
  <c r="Q143" i="30"/>
  <c r="R143" i="30"/>
  <c r="U143" i="30"/>
  <c r="V143" i="30"/>
  <c r="O144" i="30"/>
  <c r="P144" i="30"/>
  <c r="Q144" i="30"/>
  <c r="R144" i="30"/>
  <c r="U144" i="30"/>
  <c r="V144" i="30"/>
  <c r="O145" i="30"/>
  <c r="P145" i="30"/>
  <c r="Q145" i="30"/>
  <c r="R145" i="30"/>
  <c r="U145" i="30"/>
  <c r="V145" i="30"/>
  <c r="O146" i="30"/>
  <c r="P146" i="30"/>
  <c r="Q146" i="30"/>
  <c r="R146" i="30"/>
  <c r="U146" i="30"/>
  <c r="V146" i="30"/>
  <c r="O147" i="30"/>
  <c r="P147" i="30"/>
  <c r="Q147" i="30"/>
  <c r="R147" i="30"/>
  <c r="U147" i="30"/>
  <c r="V147" i="30"/>
  <c r="O148" i="30"/>
  <c r="P148" i="30"/>
  <c r="Q148" i="30"/>
  <c r="R148" i="30"/>
  <c r="O149" i="30"/>
  <c r="P149" i="30"/>
  <c r="Q149" i="30"/>
  <c r="R149" i="30"/>
  <c r="U149" i="30"/>
  <c r="V149" i="30"/>
  <c r="O150" i="30"/>
  <c r="P150" i="30"/>
  <c r="Q150" i="30"/>
  <c r="R150" i="30"/>
  <c r="U150" i="30"/>
  <c r="V150" i="30"/>
  <c r="O151" i="30"/>
  <c r="P151" i="30"/>
  <c r="Q151" i="30"/>
  <c r="R151" i="30"/>
  <c r="U151" i="30"/>
  <c r="V151" i="30"/>
  <c r="O152" i="30"/>
  <c r="P152" i="30"/>
  <c r="Q152" i="30"/>
  <c r="R152" i="30"/>
  <c r="U152" i="30"/>
  <c r="V152" i="30"/>
  <c r="O153" i="30"/>
  <c r="P153" i="30"/>
  <c r="Q153" i="30"/>
  <c r="R153" i="30"/>
  <c r="U153" i="30"/>
  <c r="V153" i="30"/>
  <c r="O154" i="30"/>
  <c r="P154" i="30"/>
  <c r="Q154" i="30"/>
  <c r="R154" i="30"/>
  <c r="U154" i="30"/>
  <c r="V154" i="30"/>
  <c r="O155" i="30"/>
  <c r="P155" i="30"/>
  <c r="Q155" i="30"/>
  <c r="R155" i="30"/>
  <c r="U155" i="30"/>
  <c r="V155" i="30"/>
  <c r="O156" i="30"/>
  <c r="P156" i="30"/>
  <c r="Q156" i="30"/>
  <c r="R156" i="30"/>
  <c r="U156" i="30"/>
  <c r="V156" i="30"/>
  <c r="O157" i="30"/>
  <c r="P157" i="30"/>
  <c r="Q157" i="30"/>
  <c r="R157" i="30"/>
  <c r="U157" i="30"/>
  <c r="V157" i="30"/>
  <c r="O158" i="30"/>
  <c r="P158" i="30"/>
  <c r="Q158" i="30"/>
  <c r="R158" i="30"/>
  <c r="U158" i="30"/>
  <c r="V158" i="30"/>
  <c r="O159" i="30"/>
  <c r="P159" i="30"/>
  <c r="Q159" i="30"/>
  <c r="R159" i="30"/>
  <c r="U159" i="30"/>
  <c r="V159" i="30"/>
  <c r="O160" i="30"/>
  <c r="P160" i="30"/>
  <c r="Q160" i="30"/>
  <c r="R160" i="30"/>
  <c r="U160" i="30"/>
  <c r="V160" i="30"/>
  <c r="O161" i="30"/>
  <c r="P161" i="30"/>
  <c r="Q161" i="30"/>
  <c r="R161" i="30"/>
  <c r="U161" i="30"/>
  <c r="V161" i="30"/>
  <c r="O162" i="30"/>
  <c r="P162" i="30"/>
  <c r="Q162" i="30"/>
  <c r="R162" i="30"/>
  <c r="U162" i="30"/>
  <c r="V162" i="30"/>
  <c r="O163" i="30"/>
  <c r="P163" i="30"/>
  <c r="Q163" i="30"/>
  <c r="R163" i="30"/>
  <c r="U163" i="30"/>
  <c r="V163" i="30"/>
  <c r="O164" i="30"/>
  <c r="P164" i="30"/>
  <c r="Q164" i="30"/>
  <c r="R164" i="30"/>
  <c r="U164" i="30"/>
  <c r="V164" i="30"/>
  <c r="O165" i="30"/>
  <c r="P165" i="30"/>
  <c r="Q165" i="30"/>
  <c r="R165" i="30"/>
  <c r="U165" i="30"/>
  <c r="V165" i="30"/>
  <c r="O166" i="30"/>
  <c r="P166" i="30"/>
  <c r="Q166" i="30"/>
  <c r="R166" i="30"/>
  <c r="U166" i="30"/>
  <c r="V166" i="30"/>
  <c r="O167" i="30"/>
  <c r="P167" i="30"/>
  <c r="Q167" i="30"/>
  <c r="R167" i="30"/>
  <c r="U167" i="30"/>
  <c r="V167" i="30"/>
  <c r="O168" i="30"/>
  <c r="P168" i="30"/>
  <c r="Q168" i="30"/>
  <c r="R168" i="30"/>
  <c r="U168" i="30"/>
  <c r="V168" i="30"/>
  <c r="O169" i="30"/>
  <c r="P169" i="30"/>
  <c r="Q169" i="30"/>
  <c r="R169" i="30"/>
  <c r="U169" i="30"/>
  <c r="V169" i="30"/>
  <c r="O170" i="30"/>
  <c r="P170" i="30"/>
  <c r="Q170" i="30"/>
  <c r="R170" i="30"/>
  <c r="U170" i="30"/>
  <c r="V170" i="30"/>
  <c r="O171" i="30"/>
  <c r="P171" i="30"/>
  <c r="Q171" i="30"/>
  <c r="R171" i="30"/>
  <c r="U171" i="30"/>
  <c r="V171" i="30"/>
  <c r="O172" i="30"/>
  <c r="P172" i="30"/>
  <c r="Q172" i="30"/>
  <c r="R172" i="30"/>
  <c r="U172" i="30"/>
  <c r="V172" i="30"/>
  <c r="O173" i="30"/>
  <c r="P173" i="30"/>
  <c r="Q173" i="30"/>
  <c r="R173" i="30"/>
  <c r="U173" i="30"/>
  <c r="V173" i="30"/>
  <c r="O174" i="30"/>
  <c r="P174" i="30"/>
  <c r="Q174" i="30"/>
  <c r="R174" i="30"/>
  <c r="U174" i="30"/>
  <c r="V174" i="30"/>
  <c r="O175" i="30"/>
  <c r="P175" i="30"/>
  <c r="Q175" i="30"/>
  <c r="R175" i="30"/>
  <c r="U175" i="30"/>
  <c r="V175" i="30"/>
  <c r="O176" i="30"/>
  <c r="P176" i="30"/>
  <c r="Q176" i="30"/>
  <c r="R176" i="30"/>
  <c r="U176" i="30"/>
  <c r="V176" i="30"/>
  <c r="O177" i="30"/>
  <c r="P177" i="30"/>
  <c r="Q177" i="30"/>
  <c r="R177" i="30"/>
  <c r="U177" i="30"/>
  <c r="V177" i="30"/>
  <c r="O178" i="30"/>
  <c r="P178" i="30"/>
  <c r="Q178" i="30"/>
  <c r="R178" i="30"/>
  <c r="U178" i="30"/>
  <c r="V178" i="30"/>
  <c r="O179" i="30"/>
  <c r="P179" i="30"/>
  <c r="Q179" i="30"/>
  <c r="R179" i="30"/>
  <c r="U179" i="30"/>
  <c r="V179" i="30"/>
  <c r="O180" i="30"/>
  <c r="P180" i="30"/>
  <c r="Q180" i="30"/>
  <c r="R180" i="30"/>
  <c r="U180" i="30"/>
  <c r="V180" i="30"/>
  <c r="O181" i="30"/>
  <c r="P181" i="30"/>
  <c r="Q181" i="30"/>
  <c r="R181" i="30"/>
  <c r="U181" i="30"/>
  <c r="V181" i="30"/>
  <c r="O182" i="30"/>
  <c r="P182" i="30"/>
  <c r="Q182" i="30"/>
  <c r="R182" i="30"/>
  <c r="U182" i="30"/>
  <c r="V182" i="30"/>
  <c r="O183" i="30"/>
  <c r="P183" i="30"/>
  <c r="Q183" i="30"/>
  <c r="R183" i="30"/>
  <c r="U183" i="30"/>
  <c r="V183" i="30"/>
  <c r="O184" i="30"/>
  <c r="P184" i="30"/>
  <c r="Q184" i="30"/>
  <c r="R184" i="30"/>
  <c r="U184" i="30"/>
  <c r="V184" i="30"/>
  <c r="O185" i="30"/>
  <c r="P185" i="30"/>
  <c r="Q185" i="30"/>
  <c r="R185" i="30"/>
  <c r="U185" i="30"/>
  <c r="V185" i="30"/>
  <c r="O186" i="30"/>
  <c r="P186" i="30"/>
  <c r="Q186" i="30"/>
  <c r="R186" i="30"/>
  <c r="U186" i="30"/>
  <c r="V186" i="30"/>
  <c r="O187" i="30"/>
  <c r="P187" i="30"/>
  <c r="Q187" i="30"/>
  <c r="R187" i="30"/>
  <c r="U187" i="30"/>
  <c r="V187" i="30"/>
  <c r="O188" i="30"/>
  <c r="P188" i="30"/>
  <c r="Q188" i="30"/>
  <c r="R188" i="30"/>
  <c r="U188" i="30"/>
  <c r="V188" i="30"/>
  <c r="O189" i="30"/>
  <c r="P189" i="30"/>
  <c r="Q189" i="30"/>
  <c r="R189" i="30"/>
  <c r="U189" i="30"/>
  <c r="V189" i="30"/>
  <c r="O190" i="30"/>
  <c r="P190" i="30"/>
  <c r="Q190" i="30"/>
  <c r="R190" i="30"/>
  <c r="U190" i="30"/>
  <c r="V190" i="30"/>
  <c r="O191" i="30"/>
  <c r="P191" i="30"/>
  <c r="Q191" i="30"/>
  <c r="R191" i="30"/>
  <c r="U191" i="30"/>
  <c r="V191" i="30"/>
  <c r="O192" i="30"/>
  <c r="P192" i="30"/>
  <c r="Q192" i="30"/>
  <c r="R192" i="30"/>
  <c r="U192" i="30"/>
  <c r="V192" i="30"/>
  <c r="O193" i="30"/>
  <c r="P193" i="30"/>
  <c r="Q193" i="30"/>
  <c r="R193" i="30"/>
  <c r="U193" i="30"/>
  <c r="V193" i="30"/>
  <c r="O194" i="30"/>
  <c r="P194" i="30"/>
  <c r="Q194" i="30"/>
  <c r="R194" i="30"/>
  <c r="U194" i="30"/>
  <c r="V194" i="30"/>
  <c r="O195" i="30"/>
  <c r="P195" i="30"/>
  <c r="Q195" i="30"/>
  <c r="R195" i="30"/>
  <c r="U195" i="30"/>
  <c r="V195" i="30"/>
  <c r="O196" i="30"/>
  <c r="P196" i="30"/>
  <c r="Q196" i="30"/>
  <c r="R196" i="30"/>
  <c r="U196" i="30"/>
  <c r="V196" i="30"/>
  <c r="O197" i="30"/>
  <c r="P197" i="30"/>
  <c r="Q197" i="30"/>
  <c r="R197" i="30"/>
  <c r="U197" i="30"/>
  <c r="V197" i="30"/>
  <c r="O198" i="30"/>
  <c r="P198" i="30"/>
  <c r="Q198" i="30"/>
  <c r="R198" i="30"/>
  <c r="U198" i="30"/>
  <c r="V198" i="30"/>
  <c r="O199" i="30"/>
  <c r="P199" i="30"/>
  <c r="Q199" i="30"/>
  <c r="R199" i="30"/>
  <c r="U199" i="30"/>
  <c r="V199" i="30"/>
  <c r="O200" i="30"/>
  <c r="P200" i="30"/>
  <c r="Q200" i="30"/>
  <c r="R200" i="30"/>
  <c r="U200" i="30"/>
  <c r="V200" i="30"/>
  <c r="O201" i="30"/>
  <c r="P201" i="30"/>
  <c r="Q201" i="30"/>
  <c r="R201" i="30"/>
  <c r="U201" i="30"/>
  <c r="V201" i="30"/>
  <c r="O202" i="30"/>
  <c r="P202" i="30"/>
  <c r="Q202" i="30"/>
  <c r="R202" i="30"/>
  <c r="U202" i="30"/>
  <c r="V202" i="30"/>
  <c r="O203" i="30"/>
  <c r="P203" i="30"/>
  <c r="Q203" i="30"/>
  <c r="R203" i="30"/>
  <c r="U203" i="30"/>
  <c r="V203" i="30"/>
  <c r="O204" i="30"/>
  <c r="P204" i="30"/>
  <c r="Q204" i="30"/>
  <c r="R204" i="30"/>
  <c r="U204" i="30"/>
  <c r="V204" i="30"/>
  <c r="O205" i="30"/>
  <c r="P205" i="30"/>
  <c r="Q205" i="30"/>
  <c r="R205" i="30"/>
  <c r="U205" i="30"/>
  <c r="V205" i="30"/>
  <c r="O206" i="30"/>
  <c r="P206" i="30"/>
  <c r="Q206" i="30"/>
  <c r="R206" i="30"/>
  <c r="U206" i="30"/>
  <c r="V206" i="30"/>
  <c r="O207" i="30"/>
  <c r="P207" i="30"/>
  <c r="Q207" i="30"/>
  <c r="R207" i="30"/>
  <c r="U207" i="30"/>
  <c r="V207" i="30"/>
  <c r="O208" i="30"/>
  <c r="P208" i="30"/>
  <c r="Q208" i="30"/>
  <c r="R208" i="30"/>
  <c r="U208" i="30"/>
  <c r="V208" i="30"/>
  <c r="O209" i="30"/>
  <c r="P209" i="30"/>
  <c r="Q209" i="30"/>
  <c r="R209" i="30"/>
  <c r="U209" i="30"/>
  <c r="V209" i="30"/>
  <c r="O210" i="30"/>
  <c r="P210" i="30"/>
  <c r="Q210" i="30"/>
  <c r="R210" i="30"/>
  <c r="U210" i="30"/>
  <c r="V210" i="30"/>
  <c r="O211" i="30"/>
  <c r="P211" i="30"/>
  <c r="Q211" i="30"/>
  <c r="R211" i="30"/>
  <c r="U211" i="30"/>
  <c r="V211" i="30"/>
  <c r="O212" i="30"/>
  <c r="P212" i="30"/>
  <c r="Q212" i="30"/>
  <c r="R212" i="30"/>
  <c r="U212" i="30"/>
  <c r="V212" i="30"/>
  <c r="O213" i="30"/>
  <c r="P213" i="30"/>
  <c r="Q213" i="30"/>
  <c r="R213" i="30"/>
  <c r="U213" i="30"/>
  <c r="V213" i="30"/>
  <c r="O214" i="30"/>
  <c r="P214" i="30"/>
  <c r="Q214" i="30"/>
  <c r="R214" i="30"/>
  <c r="U214" i="30"/>
  <c r="V214" i="30"/>
  <c r="O215" i="30"/>
  <c r="P215" i="30"/>
  <c r="Q215" i="30"/>
  <c r="R215" i="30"/>
  <c r="U215" i="30"/>
  <c r="V215" i="30"/>
  <c r="O216" i="30"/>
  <c r="P216" i="30"/>
  <c r="Q216" i="30"/>
  <c r="R216" i="30"/>
  <c r="U216" i="30"/>
  <c r="V216" i="30"/>
  <c r="O217" i="30"/>
  <c r="P217" i="30"/>
  <c r="Q217" i="30"/>
  <c r="R217" i="30"/>
  <c r="U217" i="30"/>
  <c r="V217" i="30"/>
  <c r="O218" i="30"/>
  <c r="P218" i="30"/>
  <c r="Q218" i="30"/>
  <c r="R218" i="30"/>
  <c r="U218" i="30"/>
  <c r="V218" i="30"/>
  <c r="O219" i="30"/>
  <c r="P219" i="30"/>
  <c r="Q219" i="30"/>
  <c r="R219" i="30"/>
  <c r="U219" i="30"/>
  <c r="V219" i="30"/>
  <c r="O220" i="30"/>
  <c r="P220" i="30"/>
  <c r="Q220" i="30"/>
  <c r="R220" i="30"/>
  <c r="U220" i="30"/>
  <c r="V220" i="30"/>
  <c r="O221" i="30"/>
  <c r="P221" i="30"/>
  <c r="Q221" i="30"/>
  <c r="R221" i="30"/>
  <c r="U221" i="30"/>
  <c r="V221" i="30"/>
  <c r="O222" i="30"/>
  <c r="P222" i="30"/>
  <c r="Q222" i="30"/>
  <c r="R222" i="30"/>
  <c r="U222" i="30"/>
  <c r="V222" i="30"/>
  <c r="O223" i="30"/>
  <c r="P223" i="30"/>
  <c r="Q223" i="30"/>
  <c r="R223" i="30"/>
  <c r="U223" i="30"/>
  <c r="V223" i="30"/>
  <c r="O224" i="30"/>
  <c r="P224" i="30"/>
  <c r="Q224" i="30"/>
  <c r="R224" i="30"/>
  <c r="U224" i="30"/>
  <c r="V224" i="30"/>
  <c r="O225" i="30"/>
  <c r="P225" i="30"/>
  <c r="Q225" i="30"/>
  <c r="R225" i="30"/>
  <c r="U225" i="30"/>
  <c r="V225" i="30"/>
  <c r="O226" i="30"/>
  <c r="P226" i="30"/>
  <c r="Q226" i="30"/>
  <c r="R226" i="30"/>
  <c r="U226" i="30"/>
  <c r="V226" i="30"/>
  <c r="O227" i="30"/>
  <c r="P227" i="30"/>
  <c r="Q227" i="30"/>
  <c r="R227" i="30"/>
  <c r="U227" i="30"/>
  <c r="V227" i="30"/>
  <c r="O228" i="30"/>
  <c r="P228" i="30"/>
  <c r="Q228" i="30"/>
  <c r="R228" i="30"/>
  <c r="U228" i="30"/>
  <c r="V228" i="30"/>
  <c r="O229" i="30"/>
  <c r="P229" i="30"/>
  <c r="Q229" i="30"/>
  <c r="R229" i="30"/>
  <c r="U229" i="30"/>
  <c r="V229" i="30"/>
  <c r="O230" i="30"/>
  <c r="P230" i="30"/>
  <c r="Q230" i="30"/>
  <c r="R230" i="30"/>
  <c r="U230" i="30"/>
  <c r="V230" i="30"/>
  <c r="O231" i="30"/>
  <c r="P231" i="30"/>
  <c r="Q231" i="30"/>
  <c r="R231" i="30"/>
  <c r="U231" i="30"/>
  <c r="V231" i="30"/>
  <c r="O232" i="30"/>
  <c r="P232" i="30"/>
  <c r="Q232" i="30"/>
  <c r="R232" i="30"/>
  <c r="U232" i="30"/>
  <c r="V232" i="30"/>
  <c r="O233" i="30"/>
  <c r="P233" i="30"/>
  <c r="Q233" i="30"/>
  <c r="R233" i="30"/>
  <c r="U233" i="30"/>
  <c r="V233" i="30"/>
  <c r="O234" i="30"/>
  <c r="P234" i="30"/>
  <c r="Q234" i="30"/>
  <c r="R234" i="30"/>
  <c r="U234" i="30"/>
  <c r="V234" i="30"/>
  <c r="O235" i="30"/>
  <c r="P235" i="30"/>
  <c r="Q235" i="30"/>
  <c r="R235" i="30"/>
  <c r="U235" i="30"/>
  <c r="V235" i="30"/>
  <c r="O236" i="30"/>
  <c r="P236" i="30"/>
  <c r="Q236" i="30"/>
  <c r="R236" i="30"/>
  <c r="U236" i="30"/>
  <c r="V236" i="30"/>
  <c r="O237" i="30"/>
  <c r="P237" i="30"/>
  <c r="Q237" i="30"/>
  <c r="R237" i="30"/>
  <c r="U237" i="30"/>
  <c r="V237" i="30"/>
  <c r="O238" i="30"/>
  <c r="P238" i="30"/>
  <c r="Q238" i="30"/>
  <c r="R238" i="30"/>
  <c r="U238" i="30"/>
  <c r="V238" i="30"/>
  <c r="O239" i="30"/>
  <c r="P239" i="30"/>
  <c r="Q239" i="30"/>
  <c r="R239" i="30"/>
  <c r="U239" i="30"/>
  <c r="V239" i="30"/>
  <c r="O240" i="30"/>
  <c r="P240" i="30"/>
  <c r="Q240" i="30"/>
  <c r="R240" i="30"/>
  <c r="U240" i="30"/>
  <c r="V240" i="30"/>
  <c r="O241" i="30"/>
  <c r="P241" i="30"/>
  <c r="Q241" i="30"/>
  <c r="R241" i="30"/>
  <c r="U241" i="30"/>
  <c r="V241" i="30"/>
  <c r="O242" i="30"/>
  <c r="P242" i="30"/>
  <c r="Q242" i="30"/>
  <c r="R242" i="30"/>
  <c r="U242" i="30"/>
  <c r="V242" i="30"/>
  <c r="O243" i="30"/>
  <c r="P243" i="30"/>
  <c r="Q243" i="30"/>
  <c r="R243" i="30"/>
  <c r="U243" i="30"/>
  <c r="V243" i="30"/>
  <c r="O244" i="30"/>
  <c r="P244" i="30"/>
  <c r="Q244" i="30"/>
  <c r="R244" i="30"/>
  <c r="U244" i="30"/>
  <c r="V244" i="30"/>
  <c r="O245" i="30"/>
  <c r="P245" i="30"/>
  <c r="Q245" i="30"/>
  <c r="R245" i="30"/>
  <c r="U245" i="30"/>
  <c r="V245" i="30"/>
  <c r="O246" i="30"/>
  <c r="P246" i="30"/>
  <c r="Q246" i="30"/>
  <c r="R246" i="30"/>
  <c r="U246" i="30"/>
  <c r="V246" i="30"/>
  <c r="O247" i="30"/>
  <c r="P247" i="30"/>
  <c r="Q247" i="30"/>
  <c r="R247" i="30"/>
  <c r="U247" i="30"/>
  <c r="V247" i="30"/>
  <c r="O248" i="30"/>
  <c r="P248" i="30"/>
  <c r="Q248" i="30"/>
  <c r="R248" i="30"/>
  <c r="U248" i="30"/>
  <c r="V248" i="30"/>
  <c r="O249" i="30"/>
  <c r="P249" i="30"/>
  <c r="Q249" i="30"/>
  <c r="R249" i="30"/>
  <c r="U249" i="30"/>
  <c r="V249" i="30"/>
  <c r="O250" i="30"/>
  <c r="P250" i="30"/>
  <c r="Q250" i="30"/>
  <c r="R250" i="30"/>
  <c r="U250" i="30"/>
  <c r="V250" i="30"/>
  <c r="O251" i="30"/>
  <c r="P251" i="30"/>
  <c r="Q251" i="30"/>
  <c r="R251" i="30"/>
  <c r="U251" i="30"/>
  <c r="V251" i="30"/>
  <c r="O252" i="30"/>
  <c r="P252" i="30"/>
  <c r="Q252" i="30"/>
  <c r="R252" i="30"/>
  <c r="U252" i="30"/>
  <c r="V252" i="30"/>
  <c r="O253" i="30"/>
  <c r="P253" i="30"/>
  <c r="Q253" i="30"/>
  <c r="R253" i="30"/>
  <c r="U253" i="30"/>
  <c r="V253" i="30"/>
  <c r="O254" i="30"/>
  <c r="P254" i="30"/>
  <c r="Q254" i="30"/>
  <c r="R254" i="30"/>
  <c r="U254" i="30"/>
  <c r="V254" i="30"/>
  <c r="O255" i="30"/>
  <c r="P255" i="30"/>
  <c r="Q255" i="30"/>
  <c r="R255" i="30"/>
  <c r="U255" i="30"/>
  <c r="V255" i="30"/>
  <c r="O256" i="30"/>
  <c r="P256" i="30"/>
  <c r="Q256" i="30"/>
  <c r="R256" i="30"/>
  <c r="U256" i="30"/>
  <c r="V256" i="30"/>
  <c r="O257" i="30"/>
  <c r="P257" i="30"/>
  <c r="Q257" i="30"/>
  <c r="R257" i="30"/>
  <c r="U257" i="30"/>
  <c r="V257" i="30"/>
  <c r="O258" i="30"/>
  <c r="P258" i="30"/>
  <c r="Q258" i="30"/>
  <c r="R258" i="30"/>
  <c r="U258" i="30"/>
  <c r="V258" i="30"/>
  <c r="O259" i="30"/>
  <c r="P259" i="30"/>
  <c r="Q259" i="30"/>
  <c r="R259" i="30"/>
  <c r="U259" i="30"/>
  <c r="V259" i="30"/>
  <c r="O260" i="30"/>
  <c r="P260" i="30"/>
  <c r="Q260" i="30"/>
  <c r="R260" i="30"/>
  <c r="U260" i="30"/>
  <c r="V260" i="30"/>
  <c r="O261" i="30"/>
  <c r="P261" i="30"/>
  <c r="Q261" i="30"/>
  <c r="R261" i="30"/>
  <c r="U261" i="30"/>
  <c r="V261" i="30"/>
  <c r="O262" i="30"/>
  <c r="P262" i="30"/>
  <c r="Q262" i="30"/>
  <c r="R262" i="30"/>
  <c r="U262" i="30"/>
  <c r="V262" i="30"/>
  <c r="O263" i="30"/>
  <c r="P263" i="30"/>
  <c r="Q263" i="30"/>
  <c r="R263" i="30"/>
  <c r="U263" i="30"/>
  <c r="V263" i="30"/>
  <c r="O264" i="30"/>
  <c r="P264" i="30"/>
  <c r="Q264" i="30"/>
  <c r="R264" i="30"/>
  <c r="U264" i="30"/>
  <c r="V264" i="30"/>
  <c r="O265" i="30"/>
  <c r="P265" i="30"/>
  <c r="Q265" i="30"/>
  <c r="R265" i="30"/>
  <c r="U265" i="30"/>
  <c r="V265" i="30"/>
  <c r="O266" i="30"/>
  <c r="P266" i="30"/>
  <c r="Q266" i="30"/>
  <c r="R266" i="30"/>
  <c r="U266" i="30"/>
  <c r="V266" i="30"/>
  <c r="O267" i="30"/>
  <c r="P267" i="30"/>
  <c r="Q267" i="30"/>
  <c r="R267" i="30"/>
  <c r="U267" i="30"/>
  <c r="V267" i="30"/>
  <c r="O268" i="30"/>
  <c r="P268" i="30"/>
  <c r="Q268" i="30"/>
  <c r="R268" i="30"/>
  <c r="U268" i="30"/>
  <c r="V268" i="30"/>
  <c r="O269" i="30"/>
  <c r="P269" i="30"/>
  <c r="Q269" i="30"/>
  <c r="R269" i="30"/>
  <c r="U269" i="30"/>
  <c r="V269" i="30"/>
  <c r="O270" i="30"/>
  <c r="P270" i="30"/>
  <c r="Q270" i="30"/>
  <c r="R270" i="30"/>
  <c r="U270" i="30"/>
  <c r="V270" i="30"/>
  <c r="O271" i="30"/>
  <c r="P271" i="30"/>
  <c r="Q271" i="30"/>
  <c r="R271" i="30"/>
  <c r="U271" i="30"/>
  <c r="V271" i="30"/>
  <c r="O272" i="30"/>
  <c r="P272" i="30"/>
  <c r="Q272" i="30"/>
  <c r="R272" i="30"/>
  <c r="U272" i="30"/>
  <c r="V272" i="30"/>
  <c r="O273" i="30"/>
  <c r="P273" i="30"/>
  <c r="Q273" i="30"/>
  <c r="R273" i="30"/>
  <c r="U273" i="30"/>
  <c r="V273" i="30"/>
  <c r="O274" i="30"/>
  <c r="P274" i="30"/>
  <c r="Q274" i="30"/>
  <c r="R274" i="30"/>
  <c r="U274" i="30"/>
  <c r="V274" i="30"/>
  <c r="O275" i="30"/>
  <c r="P275" i="30"/>
  <c r="Q275" i="30"/>
  <c r="R275" i="30"/>
  <c r="U275" i="30"/>
  <c r="V275" i="30"/>
  <c r="O276" i="30"/>
  <c r="P276" i="30"/>
  <c r="Q276" i="30"/>
  <c r="R276" i="30"/>
  <c r="U276" i="30"/>
  <c r="V276" i="30"/>
  <c r="O277" i="30"/>
  <c r="P277" i="30"/>
  <c r="Q277" i="30"/>
  <c r="R277" i="30"/>
  <c r="U277" i="30"/>
  <c r="V277" i="30"/>
  <c r="O278" i="30"/>
  <c r="P278" i="30"/>
  <c r="Q278" i="30"/>
  <c r="R278" i="30"/>
  <c r="U278" i="30"/>
  <c r="V278" i="30"/>
  <c r="O279" i="30"/>
  <c r="P279" i="30"/>
  <c r="Q279" i="30"/>
  <c r="R279" i="30"/>
  <c r="U279" i="30"/>
  <c r="V279" i="30"/>
  <c r="O280" i="30"/>
  <c r="P280" i="30"/>
  <c r="Q280" i="30"/>
  <c r="R280" i="30"/>
  <c r="U280" i="30"/>
  <c r="V280" i="30"/>
  <c r="O281" i="30"/>
  <c r="P281" i="30"/>
  <c r="Q281" i="30"/>
  <c r="R281" i="30"/>
  <c r="U281" i="30"/>
  <c r="V281" i="30"/>
  <c r="O282" i="30"/>
  <c r="P282" i="30"/>
  <c r="Q282" i="30"/>
  <c r="R282" i="30"/>
  <c r="U282" i="30"/>
  <c r="V282" i="30"/>
  <c r="O283" i="30"/>
  <c r="P283" i="30"/>
  <c r="Q283" i="30"/>
  <c r="R283" i="30"/>
  <c r="U283" i="30"/>
  <c r="V283" i="30"/>
  <c r="O284" i="30"/>
  <c r="P284" i="30"/>
  <c r="Q284" i="30"/>
  <c r="R284" i="30"/>
  <c r="U284" i="30"/>
  <c r="V284" i="30"/>
  <c r="O285" i="30"/>
  <c r="P285" i="30"/>
  <c r="Q285" i="30"/>
  <c r="R285" i="30"/>
  <c r="U285" i="30"/>
  <c r="V285" i="30"/>
  <c r="O286" i="30"/>
  <c r="P286" i="30"/>
  <c r="Q286" i="30"/>
  <c r="R286" i="30"/>
  <c r="U286" i="30"/>
  <c r="V286" i="30"/>
  <c r="O287" i="30"/>
  <c r="P287" i="30"/>
  <c r="Q287" i="30"/>
  <c r="R287" i="30"/>
  <c r="U287" i="30"/>
  <c r="V287" i="30"/>
  <c r="O288" i="30"/>
  <c r="P288" i="30"/>
  <c r="Q288" i="30"/>
  <c r="R288" i="30"/>
  <c r="U288" i="30"/>
  <c r="V288" i="30"/>
  <c r="O289" i="30"/>
  <c r="P289" i="30"/>
  <c r="Q289" i="30"/>
  <c r="R289" i="30"/>
  <c r="U289" i="30"/>
  <c r="V289" i="30"/>
  <c r="O290" i="30"/>
  <c r="P290" i="30"/>
  <c r="Q290" i="30"/>
  <c r="R290" i="30"/>
  <c r="U290" i="30"/>
  <c r="V290" i="30"/>
  <c r="O291" i="30"/>
  <c r="P291" i="30"/>
  <c r="Q291" i="30"/>
  <c r="R291" i="30"/>
  <c r="U291" i="30"/>
  <c r="V291" i="30"/>
  <c r="O292" i="30"/>
  <c r="P292" i="30"/>
  <c r="Q292" i="30"/>
  <c r="R292" i="30"/>
  <c r="U292" i="30"/>
  <c r="V292" i="30"/>
  <c r="O293" i="30"/>
  <c r="P293" i="30"/>
  <c r="Q293" i="30"/>
  <c r="R293" i="30"/>
  <c r="U293" i="30"/>
  <c r="V293" i="30"/>
  <c r="O294" i="30"/>
  <c r="P294" i="30"/>
  <c r="Q294" i="30"/>
  <c r="R294" i="30"/>
  <c r="U294" i="30"/>
  <c r="V294" i="30"/>
  <c r="O295" i="30"/>
  <c r="P295" i="30"/>
  <c r="Q295" i="30"/>
  <c r="R295" i="30"/>
  <c r="U295" i="30"/>
  <c r="V295" i="30"/>
  <c r="O296" i="30"/>
  <c r="P296" i="30"/>
  <c r="Q296" i="30"/>
  <c r="R296" i="30"/>
  <c r="U296" i="30"/>
  <c r="V296" i="30"/>
  <c r="O297" i="30"/>
  <c r="P297" i="30"/>
  <c r="Q297" i="30"/>
  <c r="R297" i="30"/>
  <c r="U297" i="30"/>
  <c r="V297" i="30"/>
  <c r="O298" i="30"/>
  <c r="P298" i="30"/>
  <c r="Q298" i="30"/>
  <c r="R298" i="30"/>
  <c r="U298" i="30"/>
  <c r="V298" i="30"/>
  <c r="O299" i="30"/>
  <c r="P299" i="30"/>
  <c r="Q299" i="30"/>
  <c r="R299" i="30"/>
  <c r="U299" i="30"/>
  <c r="V299" i="30"/>
  <c r="O300" i="30"/>
  <c r="P300" i="30"/>
  <c r="Q300" i="30"/>
  <c r="R300" i="30"/>
  <c r="U300" i="30"/>
  <c r="V300" i="30"/>
  <c r="O301" i="30"/>
  <c r="P301" i="30"/>
  <c r="Q301" i="30"/>
  <c r="R301" i="30"/>
  <c r="U301" i="30"/>
  <c r="V301" i="30"/>
  <c r="O302" i="30"/>
  <c r="P302" i="30"/>
  <c r="Q302" i="30"/>
  <c r="R302" i="30"/>
  <c r="U302" i="30"/>
  <c r="V302" i="30"/>
  <c r="O303" i="30"/>
  <c r="P303" i="30"/>
  <c r="Q303" i="30"/>
  <c r="R303" i="30"/>
  <c r="U303" i="30"/>
  <c r="V303" i="30"/>
  <c r="O304" i="30"/>
  <c r="P304" i="30"/>
  <c r="Q304" i="30"/>
  <c r="R304" i="30"/>
  <c r="U304" i="30"/>
  <c r="V304" i="30"/>
  <c r="O305" i="30"/>
  <c r="P305" i="30"/>
  <c r="Q305" i="30"/>
  <c r="R305" i="30"/>
  <c r="U305" i="30"/>
  <c r="V305" i="30"/>
  <c r="O306" i="30"/>
  <c r="P306" i="30"/>
  <c r="Q306" i="30"/>
  <c r="R306" i="30"/>
  <c r="U306" i="30"/>
  <c r="V306" i="30"/>
  <c r="O307" i="30"/>
  <c r="P307" i="30"/>
  <c r="Q307" i="30"/>
  <c r="R307" i="30"/>
  <c r="U307" i="30"/>
  <c r="V307" i="30"/>
  <c r="O308" i="30"/>
  <c r="P308" i="30"/>
  <c r="Q308" i="30"/>
  <c r="R308" i="30"/>
  <c r="U308" i="30"/>
  <c r="V308" i="30"/>
  <c r="O309" i="30"/>
  <c r="P309" i="30"/>
  <c r="Q309" i="30"/>
  <c r="R309" i="30"/>
  <c r="U309" i="30"/>
  <c r="V309" i="30"/>
  <c r="O310" i="30"/>
  <c r="P310" i="30"/>
  <c r="Q310" i="30"/>
  <c r="R310" i="30"/>
  <c r="U310" i="30"/>
  <c r="V310" i="30"/>
  <c r="O311" i="30"/>
  <c r="P311" i="30"/>
  <c r="Q311" i="30"/>
  <c r="R311" i="30"/>
  <c r="U311" i="30"/>
  <c r="V311" i="30"/>
  <c r="O312" i="30"/>
  <c r="P312" i="30"/>
  <c r="Q312" i="30"/>
  <c r="R312" i="30"/>
  <c r="U312" i="30"/>
  <c r="V312" i="30"/>
  <c r="O313" i="30"/>
  <c r="P313" i="30"/>
  <c r="Q313" i="30"/>
  <c r="R313" i="30"/>
  <c r="U313" i="30"/>
  <c r="V313" i="30"/>
  <c r="O314" i="30"/>
  <c r="P314" i="30"/>
  <c r="Q314" i="30"/>
  <c r="R314" i="30"/>
  <c r="U314" i="30"/>
  <c r="V314" i="30"/>
  <c r="O315" i="30"/>
  <c r="P315" i="30"/>
  <c r="Q315" i="30"/>
  <c r="R315" i="30"/>
  <c r="U315" i="30"/>
  <c r="V315" i="30"/>
  <c r="O316" i="30"/>
  <c r="P316" i="30"/>
  <c r="Q316" i="30"/>
  <c r="R316" i="30"/>
  <c r="U316" i="30"/>
  <c r="V316" i="30"/>
  <c r="O317" i="30"/>
  <c r="P317" i="30"/>
  <c r="Q317" i="30"/>
  <c r="R317" i="30"/>
  <c r="U317" i="30"/>
  <c r="V317" i="30"/>
  <c r="O318" i="30"/>
  <c r="P318" i="30"/>
  <c r="Q318" i="30"/>
  <c r="R318" i="30"/>
  <c r="U318" i="30"/>
  <c r="V318" i="30"/>
  <c r="O319" i="30"/>
  <c r="P319" i="30"/>
  <c r="Q319" i="30"/>
  <c r="R319" i="30"/>
  <c r="U319" i="30"/>
  <c r="V319" i="30"/>
  <c r="O320" i="30"/>
  <c r="P320" i="30"/>
  <c r="Q320" i="30"/>
  <c r="R320" i="30"/>
  <c r="U320" i="30"/>
  <c r="V320" i="30"/>
  <c r="O321" i="30"/>
  <c r="P321" i="30"/>
  <c r="Q321" i="30"/>
  <c r="R321" i="30"/>
  <c r="U321" i="30"/>
  <c r="V321" i="30"/>
  <c r="O322" i="30"/>
  <c r="P322" i="30"/>
  <c r="Q322" i="30"/>
  <c r="R322" i="30"/>
  <c r="U322" i="30"/>
  <c r="V322" i="30"/>
  <c r="O323" i="30"/>
  <c r="P323" i="30"/>
  <c r="Q323" i="30"/>
  <c r="R323" i="30"/>
  <c r="U323" i="30"/>
  <c r="V323" i="30"/>
  <c r="O324" i="30"/>
  <c r="P324" i="30"/>
  <c r="Q324" i="30"/>
  <c r="R324" i="30"/>
  <c r="U324" i="30"/>
  <c r="V324" i="30"/>
  <c r="O325" i="30"/>
  <c r="P325" i="30"/>
  <c r="Q325" i="30"/>
  <c r="R325" i="30"/>
  <c r="U325" i="30"/>
  <c r="V325" i="30"/>
  <c r="O326" i="30"/>
  <c r="P326" i="30"/>
  <c r="Q326" i="30"/>
  <c r="R326" i="30"/>
  <c r="U326" i="30"/>
  <c r="V326" i="30"/>
  <c r="O327" i="30"/>
  <c r="P327" i="30"/>
  <c r="Q327" i="30"/>
  <c r="R327" i="30"/>
  <c r="U327" i="30"/>
  <c r="V327" i="30"/>
  <c r="O328" i="30"/>
  <c r="P328" i="30"/>
  <c r="Q328" i="30"/>
  <c r="R328" i="30"/>
  <c r="U328" i="30"/>
  <c r="V328" i="30"/>
  <c r="O329" i="30"/>
  <c r="P329" i="30"/>
  <c r="Q329" i="30"/>
  <c r="R329" i="30"/>
  <c r="U329" i="30"/>
  <c r="V329" i="30"/>
  <c r="O330" i="30"/>
  <c r="P330" i="30"/>
  <c r="Q330" i="30"/>
  <c r="R330" i="30"/>
  <c r="U330" i="30"/>
  <c r="V330" i="30"/>
  <c r="O331" i="30"/>
  <c r="P331" i="30"/>
  <c r="Q331" i="30"/>
  <c r="R331" i="30"/>
  <c r="U331" i="30"/>
  <c r="V331" i="30"/>
  <c r="O332" i="30"/>
  <c r="P332" i="30"/>
  <c r="Q332" i="30"/>
  <c r="R332" i="30"/>
  <c r="U332" i="30"/>
  <c r="V332" i="30"/>
  <c r="O333" i="30"/>
  <c r="P333" i="30"/>
  <c r="Q333" i="30"/>
  <c r="R333" i="30"/>
  <c r="U333" i="30"/>
  <c r="V333" i="30"/>
  <c r="O334" i="30"/>
  <c r="P334" i="30"/>
  <c r="Q334" i="30"/>
  <c r="R334" i="30"/>
  <c r="U334" i="30"/>
  <c r="V334" i="30"/>
  <c r="O335" i="30"/>
  <c r="P335" i="30"/>
  <c r="Q335" i="30"/>
  <c r="R335" i="30"/>
  <c r="U335" i="30"/>
  <c r="V335" i="30"/>
  <c r="O336" i="30"/>
  <c r="P336" i="30"/>
  <c r="Q336" i="30"/>
  <c r="R336" i="30"/>
  <c r="U336" i="30"/>
  <c r="V336" i="30"/>
  <c r="O337" i="30"/>
  <c r="P337" i="30"/>
  <c r="Q337" i="30"/>
  <c r="R337" i="30"/>
  <c r="U337" i="30"/>
  <c r="V337" i="30"/>
  <c r="O338" i="30"/>
  <c r="P338" i="30"/>
  <c r="Q338" i="30"/>
  <c r="R338" i="30"/>
  <c r="U338" i="30"/>
  <c r="V338" i="30"/>
  <c r="O339" i="30"/>
  <c r="P339" i="30"/>
  <c r="Q339" i="30"/>
  <c r="R339" i="30"/>
  <c r="U339" i="30"/>
  <c r="V339" i="30"/>
  <c r="O340" i="30"/>
  <c r="P340" i="30"/>
  <c r="Q340" i="30"/>
  <c r="R340" i="30"/>
  <c r="U340" i="30"/>
  <c r="V340" i="30"/>
  <c r="O341" i="30"/>
  <c r="P341" i="30"/>
  <c r="Q341" i="30"/>
  <c r="R341" i="30"/>
  <c r="U341" i="30"/>
  <c r="V341" i="30"/>
  <c r="O342" i="30"/>
  <c r="P342" i="30"/>
  <c r="Q342" i="30"/>
  <c r="R342" i="30"/>
  <c r="U342" i="30"/>
  <c r="V342" i="30"/>
  <c r="O343" i="30"/>
  <c r="P343" i="30"/>
  <c r="Q343" i="30"/>
  <c r="R343" i="30"/>
  <c r="U343" i="30"/>
  <c r="V343" i="30"/>
  <c r="O344" i="30"/>
  <c r="P344" i="30"/>
  <c r="Q344" i="30"/>
  <c r="R344" i="30"/>
  <c r="U344" i="30"/>
  <c r="V344" i="30"/>
  <c r="O345" i="30"/>
  <c r="P345" i="30"/>
  <c r="Q345" i="30"/>
  <c r="R345" i="30"/>
  <c r="U345" i="30"/>
  <c r="V345" i="30"/>
  <c r="O346" i="30"/>
  <c r="P346" i="30"/>
  <c r="Q346" i="30"/>
  <c r="R346" i="30"/>
  <c r="U346" i="30"/>
  <c r="V346" i="30"/>
  <c r="O347" i="30"/>
  <c r="P347" i="30"/>
  <c r="Q347" i="30"/>
  <c r="R347" i="30"/>
  <c r="U347" i="30"/>
  <c r="V347" i="30"/>
  <c r="O348" i="30"/>
  <c r="P348" i="30"/>
  <c r="Q348" i="30"/>
  <c r="R348" i="30"/>
  <c r="U348" i="30"/>
  <c r="V348" i="30"/>
  <c r="O349" i="30"/>
  <c r="P349" i="30"/>
  <c r="Q349" i="30"/>
  <c r="R349" i="30"/>
  <c r="U349" i="30"/>
  <c r="V349" i="30"/>
  <c r="O350" i="30"/>
  <c r="P350" i="30"/>
  <c r="Q350" i="30"/>
  <c r="R350" i="30"/>
  <c r="U350" i="30"/>
  <c r="V350" i="30"/>
  <c r="O351" i="30"/>
  <c r="P351" i="30"/>
  <c r="Q351" i="30"/>
  <c r="R351" i="30"/>
  <c r="U351" i="30"/>
  <c r="V351" i="30"/>
  <c r="O352" i="30"/>
  <c r="P352" i="30"/>
  <c r="Q352" i="30"/>
  <c r="R352" i="30"/>
  <c r="U352" i="30"/>
  <c r="V352" i="30"/>
  <c r="O353" i="30"/>
  <c r="P353" i="30"/>
  <c r="Q353" i="30"/>
  <c r="R353" i="30"/>
  <c r="U353" i="30"/>
  <c r="V353" i="30"/>
  <c r="O354" i="30"/>
  <c r="P354" i="30"/>
  <c r="Q354" i="30"/>
  <c r="R354" i="30"/>
  <c r="U354" i="30"/>
  <c r="V354" i="30"/>
  <c r="O355" i="30"/>
  <c r="P355" i="30"/>
  <c r="Q355" i="30"/>
  <c r="R355" i="30"/>
  <c r="U355" i="30"/>
  <c r="V355" i="30"/>
  <c r="O356" i="30"/>
  <c r="P356" i="30"/>
  <c r="Q356" i="30"/>
  <c r="R356" i="30"/>
  <c r="U356" i="30"/>
  <c r="V356" i="30"/>
  <c r="O357" i="30"/>
  <c r="P357" i="30"/>
  <c r="Q357" i="30"/>
  <c r="R357" i="30"/>
  <c r="U357" i="30"/>
  <c r="V357" i="30"/>
  <c r="O358" i="30"/>
  <c r="P358" i="30"/>
  <c r="Q358" i="30"/>
  <c r="R358" i="30"/>
  <c r="U358" i="30"/>
  <c r="V358" i="30"/>
  <c r="O359" i="30"/>
  <c r="P359" i="30"/>
  <c r="Q359" i="30"/>
  <c r="R359" i="30"/>
  <c r="U359" i="30"/>
  <c r="V359" i="30"/>
  <c r="O360" i="30"/>
  <c r="P360" i="30"/>
  <c r="Q360" i="30"/>
  <c r="R360" i="30"/>
  <c r="U360" i="30"/>
  <c r="V360" i="30"/>
  <c r="O361" i="30"/>
  <c r="P361" i="30"/>
  <c r="Q361" i="30"/>
  <c r="R361" i="30"/>
  <c r="U361" i="30"/>
  <c r="V361" i="30"/>
  <c r="O362" i="30"/>
  <c r="P362" i="30"/>
  <c r="Q362" i="30"/>
  <c r="R362" i="30"/>
  <c r="U362" i="30"/>
  <c r="V362" i="30"/>
  <c r="O363" i="30"/>
  <c r="P363" i="30"/>
  <c r="Q363" i="30"/>
  <c r="R363" i="30"/>
  <c r="U363" i="30"/>
  <c r="V363" i="30"/>
  <c r="O364" i="30"/>
  <c r="P364" i="30"/>
  <c r="Q364" i="30"/>
  <c r="R364" i="30"/>
  <c r="U364" i="30"/>
  <c r="V364" i="30"/>
  <c r="O365" i="30"/>
  <c r="P365" i="30"/>
  <c r="Q365" i="30"/>
  <c r="R365" i="30"/>
  <c r="U365" i="30"/>
  <c r="V365" i="30"/>
  <c r="O366" i="30"/>
  <c r="P366" i="30"/>
  <c r="Q366" i="30"/>
  <c r="R366" i="30"/>
  <c r="U366" i="30"/>
  <c r="V366" i="30"/>
  <c r="O367" i="30"/>
  <c r="P367" i="30"/>
  <c r="Q367" i="30"/>
  <c r="R367" i="30"/>
  <c r="U367" i="30"/>
  <c r="V367" i="30"/>
  <c r="O368" i="30"/>
  <c r="P368" i="30"/>
  <c r="Q368" i="30"/>
  <c r="R368" i="30"/>
  <c r="U368" i="30"/>
  <c r="V368" i="30"/>
  <c r="O369" i="30"/>
  <c r="P369" i="30"/>
  <c r="Q369" i="30"/>
  <c r="R369" i="30"/>
  <c r="U369" i="30"/>
  <c r="V369" i="30"/>
  <c r="O370" i="30"/>
  <c r="P370" i="30"/>
  <c r="Q370" i="30"/>
  <c r="R370" i="30"/>
  <c r="U370" i="30"/>
  <c r="V370" i="30"/>
  <c r="O371" i="30"/>
  <c r="P371" i="30"/>
  <c r="Q371" i="30"/>
  <c r="R371" i="30"/>
  <c r="U371" i="30"/>
  <c r="V371" i="30"/>
  <c r="O372" i="30"/>
  <c r="P372" i="30"/>
  <c r="Q372" i="30"/>
  <c r="R372" i="30"/>
  <c r="U372" i="30"/>
  <c r="V372" i="30"/>
  <c r="O373" i="30"/>
  <c r="P373" i="30"/>
  <c r="Q373" i="30"/>
  <c r="R373" i="30"/>
  <c r="U373" i="30"/>
  <c r="V373" i="30"/>
  <c r="O374" i="30"/>
  <c r="P374" i="30"/>
  <c r="Q374" i="30"/>
  <c r="R374" i="30"/>
  <c r="U374" i="30"/>
  <c r="V374" i="30"/>
  <c r="O375" i="30"/>
  <c r="P375" i="30"/>
  <c r="Q375" i="30"/>
  <c r="R375" i="30"/>
  <c r="U375" i="30"/>
  <c r="V375" i="30"/>
  <c r="O376" i="30"/>
  <c r="P376" i="30"/>
  <c r="Q376" i="30"/>
  <c r="R376" i="30"/>
  <c r="U376" i="30"/>
  <c r="V376" i="30"/>
  <c r="O377" i="30"/>
  <c r="P377" i="30"/>
  <c r="Q377" i="30"/>
  <c r="R377" i="30"/>
  <c r="U377" i="30"/>
  <c r="V377" i="30"/>
  <c r="O378" i="30"/>
  <c r="P378" i="30"/>
  <c r="Q378" i="30"/>
  <c r="R378" i="30"/>
  <c r="U378" i="30"/>
  <c r="V378" i="30"/>
  <c r="O379" i="30"/>
  <c r="P379" i="30"/>
  <c r="Q379" i="30"/>
  <c r="R379" i="30"/>
  <c r="U379" i="30"/>
  <c r="V379" i="30"/>
  <c r="O380" i="30"/>
  <c r="P380" i="30"/>
  <c r="Q380" i="30"/>
  <c r="R380" i="30"/>
  <c r="U380" i="30"/>
  <c r="V380" i="30"/>
  <c r="O381" i="30"/>
  <c r="P381" i="30"/>
  <c r="Q381" i="30"/>
  <c r="R381" i="30"/>
  <c r="U381" i="30"/>
  <c r="V381" i="30"/>
  <c r="O382" i="30"/>
  <c r="P382" i="30"/>
  <c r="Q382" i="30"/>
  <c r="R382" i="30"/>
  <c r="U382" i="30"/>
  <c r="V382" i="30"/>
  <c r="O383" i="30"/>
  <c r="P383" i="30"/>
  <c r="Q383" i="30"/>
  <c r="R383" i="30"/>
  <c r="U383" i="30"/>
  <c r="V383" i="30"/>
  <c r="O384" i="30"/>
  <c r="P384" i="30"/>
  <c r="Q384" i="30"/>
  <c r="R384" i="30"/>
  <c r="U384" i="30"/>
  <c r="V384" i="30"/>
  <c r="O385" i="30"/>
  <c r="P385" i="30"/>
  <c r="Q385" i="30"/>
  <c r="R385" i="30"/>
  <c r="U385" i="30"/>
  <c r="V385" i="30"/>
  <c r="O386" i="30"/>
  <c r="P386" i="30"/>
  <c r="Q386" i="30"/>
  <c r="R386" i="30"/>
  <c r="U386" i="30"/>
  <c r="V386" i="30"/>
  <c r="O387" i="30"/>
  <c r="P387" i="30"/>
  <c r="Q387" i="30"/>
  <c r="R387" i="30"/>
  <c r="U387" i="30"/>
  <c r="V387" i="30"/>
  <c r="O388" i="30"/>
  <c r="P388" i="30"/>
  <c r="Q388" i="30"/>
  <c r="R388" i="30"/>
  <c r="U388" i="30"/>
  <c r="V388" i="30"/>
  <c r="O389" i="30"/>
  <c r="P389" i="30"/>
  <c r="Q389" i="30"/>
  <c r="R389" i="30"/>
  <c r="U389" i="30"/>
  <c r="V389" i="30"/>
  <c r="O390" i="30"/>
  <c r="P390" i="30"/>
  <c r="Q390" i="30"/>
  <c r="R390" i="30"/>
  <c r="U390" i="30"/>
  <c r="V390" i="30"/>
  <c r="O391" i="30"/>
  <c r="P391" i="30"/>
  <c r="Q391" i="30"/>
  <c r="R391" i="30"/>
  <c r="U391" i="30"/>
  <c r="V391" i="30"/>
  <c r="O392" i="30"/>
  <c r="P392" i="30"/>
  <c r="Q392" i="30"/>
  <c r="R392" i="30"/>
  <c r="U392" i="30"/>
  <c r="V392" i="30"/>
  <c r="O393" i="30"/>
  <c r="P393" i="30"/>
  <c r="Q393" i="30"/>
  <c r="R393" i="30"/>
  <c r="U393" i="30"/>
  <c r="V393" i="30"/>
  <c r="O394" i="30"/>
  <c r="P394" i="30"/>
  <c r="Q394" i="30"/>
  <c r="R394" i="30"/>
  <c r="U394" i="30"/>
  <c r="V394" i="30"/>
  <c r="O395" i="30"/>
  <c r="P395" i="30"/>
  <c r="Q395" i="30"/>
  <c r="R395" i="30"/>
  <c r="U395" i="30"/>
  <c r="V395" i="30"/>
  <c r="O396" i="30"/>
  <c r="P396" i="30"/>
  <c r="Q396" i="30"/>
  <c r="R396" i="30"/>
  <c r="U396" i="30"/>
  <c r="V396" i="30"/>
  <c r="O397" i="30"/>
  <c r="P397" i="30"/>
  <c r="Q397" i="30"/>
  <c r="R397" i="30"/>
  <c r="U397" i="30"/>
  <c r="V397" i="30"/>
  <c r="O398" i="30"/>
  <c r="P398" i="30"/>
  <c r="Q398" i="30"/>
  <c r="R398" i="30"/>
  <c r="U398" i="30"/>
  <c r="V398" i="30"/>
  <c r="O399" i="30"/>
  <c r="P399" i="30"/>
  <c r="Q399" i="30"/>
  <c r="R399" i="30"/>
  <c r="U399" i="30"/>
  <c r="V399" i="30"/>
  <c r="O400" i="30"/>
  <c r="P400" i="30"/>
  <c r="Q400" i="30"/>
  <c r="R400" i="30"/>
  <c r="U400" i="30"/>
  <c r="V400" i="30"/>
  <c r="O401" i="30"/>
  <c r="P401" i="30"/>
  <c r="Q401" i="30"/>
  <c r="R401" i="30"/>
  <c r="U401" i="30"/>
  <c r="V401" i="30"/>
  <c r="O402" i="30"/>
  <c r="P402" i="30"/>
  <c r="Q402" i="30"/>
  <c r="R402" i="30"/>
  <c r="U402" i="30"/>
  <c r="V402" i="30"/>
  <c r="O403" i="30"/>
  <c r="P403" i="30"/>
  <c r="Q403" i="30"/>
  <c r="R403" i="30"/>
  <c r="U403" i="30"/>
  <c r="V403" i="30"/>
  <c r="O404" i="30"/>
  <c r="P404" i="30"/>
  <c r="Q404" i="30"/>
  <c r="R404" i="30"/>
  <c r="U404" i="30"/>
  <c r="V404" i="30"/>
  <c r="O405" i="30"/>
  <c r="P405" i="30"/>
  <c r="Q405" i="30"/>
  <c r="R405" i="30"/>
  <c r="U405" i="30"/>
  <c r="V405" i="30"/>
  <c r="O406" i="30"/>
  <c r="P406" i="30"/>
  <c r="Q406" i="30"/>
  <c r="R406" i="30"/>
  <c r="U406" i="30"/>
  <c r="V406" i="30"/>
  <c r="O407" i="30"/>
  <c r="P407" i="30"/>
  <c r="Q407" i="30"/>
  <c r="R407" i="30"/>
  <c r="U407" i="30"/>
  <c r="V407" i="30"/>
  <c r="O408" i="30"/>
  <c r="P408" i="30"/>
  <c r="Q408" i="30"/>
  <c r="R408" i="30"/>
  <c r="U408" i="30"/>
  <c r="V408" i="30"/>
  <c r="O409" i="30"/>
  <c r="P409" i="30"/>
  <c r="Q409" i="30"/>
  <c r="R409" i="30"/>
  <c r="U409" i="30"/>
  <c r="V409" i="30"/>
  <c r="O410" i="30"/>
  <c r="P410" i="30"/>
  <c r="Q410" i="30"/>
  <c r="R410" i="30"/>
  <c r="U410" i="30"/>
  <c r="V410" i="30"/>
  <c r="O411" i="30"/>
  <c r="P411" i="30"/>
  <c r="Q411" i="30"/>
  <c r="R411" i="30"/>
  <c r="U411" i="30"/>
  <c r="V411" i="30"/>
  <c r="O412" i="30"/>
  <c r="P412" i="30"/>
  <c r="Q412" i="30"/>
  <c r="R412" i="30"/>
  <c r="U412" i="30"/>
  <c r="V412" i="30"/>
  <c r="O413" i="30"/>
  <c r="P413" i="30"/>
  <c r="Q413" i="30"/>
  <c r="R413" i="30"/>
  <c r="U413" i="30"/>
  <c r="V413" i="30"/>
  <c r="O414" i="30"/>
  <c r="P414" i="30"/>
  <c r="Q414" i="30"/>
  <c r="R414" i="30"/>
  <c r="U414" i="30"/>
  <c r="V414" i="30"/>
  <c r="O415" i="30"/>
  <c r="P415" i="30"/>
  <c r="Q415" i="30"/>
  <c r="R415" i="30"/>
  <c r="U415" i="30"/>
  <c r="V415" i="30"/>
  <c r="O416" i="30"/>
  <c r="P416" i="30"/>
  <c r="Q416" i="30"/>
  <c r="R416" i="30"/>
  <c r="U416" i="30"/>
  <c r="V416" i="30"/>
  <c r="O417" i="30"/>
  <c r="P417" i="30"/>
  <c r="Q417" i="30"/>
  <c r="R417" i="30"/>
  <c r="U417" i="30"/>
  <c r="V417" i="30"/>
  <c r="O418" i="30"/>
  <c r="P418" i="30"/>
  <c r="Q418" i="30"/>
  <c r="R418" i="30"/>
  <c r="U418" i="30"/>
  <c r="V418" i="30"/>
  <c r="O419" i="30"/>
  <c r="P419" i="30"/>
  <c r="Q419" i="30"/>
  <c r="R419" i="30"/>
  <c r="U419" i="30"/>
  <c r="V419" i="30"/>
  <c r="O420" i="30"/>
  <c r="P420" i="30"/>
  <c r="Q420" i="30"/>
  <c r="R420" i="30"/>
  <c r="U420" i="30"/>
  <c r="V420" i="30"/>
  <c r="O421" i="30"/>
  <c r="P421" i="30"/>
  <c r="Q421" i="30"/>
  <c r="R421" i="30"/>
  <c r="U421" i="30"/>
  <c r="V421" i="30"/>
  <c r="O422" i="30"/>
  <c r="P422" i="30"/>
  <c r="Q422" i="30"/>
  <c r="R422" i="30"/>
  <c r="U422" i="30"/>
  <c r="V422" i="30"/>
  <c r="O423" i="30"/>
  <c r="P423" i="30"/>
  <c r="Q423" i="30"/>
  <c r="R423" i="30"/>
  <c r="U423" i="30"/>
  <c r="V423" i="30"/>
  <c r="O424" i="30"/>
  <c r="P424" i="30"/>
  <c r="Q424" i="30"/>
  <c r="R424" i="30"/>
  <c r="U424" i="30"/>
  <c r="V424" i="30"/>
  <c r="O425" i="30"/>
  <c r="P425" i="30"/>
  <c r="Q425" i="30"/>
  <c r="R425" i="30"/>
  <c r="U425" i="30"/>
  <c r="V425" i="30"/>
  <c r="O426" i="30"/>
  <c r="P426" i="30"/>
  <c r="Q426" i="30"/>
  <c r="R426" i="30"/>
  <c r="U426" i="30"/>
  <c r="V426" i="30"/>
  <c r="O427" i="30"/>
  <c r="P427" i="30"/>
  <c r="Q427" i="30"/>
  <c r="R427" i="30"/>
  <c r="U427" i="30"/>
  <c r="V427" i="30"/>
  <c r="O428" i="30"/>
  <c r="P428" i="30"/>
  <c r="Q428" i="30"/>
  <c r="R428" i="30"/>
  <c r="U428" i="30"/>
  <c r="V428" i="30"/>
  <c r="O429" i="30"/>
  <c r="P429" i="30"/>
  <c r="Q429" i="30"/>
  <c r="R429" i="30"/>
  <c r="U429" i="30"/>
  <c r="V429" i="30"/>
  <c r="O430" i="30"/>
  <c r="P430" i="30"/>
  <c r="Q430" i="30"/>
  <c r="R430" i="30"/>
  <c r="U430" i="30"/>
  <c r="V430" i="30"/>
  <c r="O431" i="30"/>
  <c r="P431" i="30"/>
  <c r="Q431" i="30"/>
  <c r="R431" i="30"/>
  <c r="U431" i="30"/>
  <c r="V431" i="30"/>
  <c r="O432" i="30"/>
  <c r="P432" i="30"/>
  <c r="Q432" i="30"/>
  <c r="R432" i="30"/>
  <c r="U432" i="30"/>
  <c r="V432" i="30"/>
  <c r="O433" i="30"/>
  <c r="P433" i="30"/>
  <c r="Q433" i="30"/>
  <c r="R433" i="30"/>
  <c r="U433" i="30"/>
  <c r="V433" i="30"/>
  <c r="O434" i="30"/>
  <c r="P434" i="30"/>
  <c r="Q434" i="30"/>
  <c r="R434" i="30"/>
  <c r="U434" i="30"/>
  <c r="V434" i="30"/>
  <c r="O435" i="30"/>
  <c r="P435" i="30"/>
  <c r="Q435" i="30"/>
  <c r="R435" i="30"/>
  <c r="U435" i="30"/>
  <c r="V435" i="30"/>
  <c r="O436" i="30"/>
  <c r="P436" i="30"/>
  <c r="Q436" i="30"/>
  <c r="R436" i="30"/>
  <c r="U436" i="30"/>
  <c r="V436" i="30"/>
  <c r="O437" i="30"/>
  <c r="P437" i="30"/>
  <c r="Q437" i="30"/>
  <c r="R437" i="30"/>
  <c r="U437" i="30"/>
  <c r="V437" i="30"/>
  <c r="O438" i="30"/>
  <c r="P438" i="30"/>
  <c r="Q438" i="30"/>
  <c r="R438" i="30"/>
  <c r="U438" i="30"/>
  <c r="V438" i="30"/>
  <c r="O439" i="30"/>
  <c r="P439" i="30"/>
  <c r="Q439" i="30"/>
  <c r="R439" i="30"/>
  <c r="U439" i="30"/>
  <c r="V439" i="30"/>
  <c r="O440" i="30"/>
  <c r="P440" i="30"/>
  <c r="Q440" i="30"/>
  <c r="R440" i="30"/>
  <c r="U440" i="30"/>
  <c r="V440" i="30"/>
  <c r="O441" i="30"/>
  <c r="P441" i="30"/>
  <c r="Q441" i="30"/>
  <c r="R441" i="30"/>
  <c r="U441" i="30"/>
  <c r="V441" i="30"/>
  <c r="O442" i="30"/>
  <c r="P442" i="30"/>
  <c r="Q442" i="30"/>
  <c r="R442" i="30"/>
  <c r="U442" i="30"/>
  <c r="V442" i="30"/>
  <c r="O443" i="30"/>
  <c r="P443" i="30"/>
  <c r="Q443" i="30"/>
  <c r="R443" i="30"/>
  <c r="U443" i="30"/>
  <c r="V443" i="30"/>
  <c r="O444" i="30"/>
  <c r="P444" i="30"/>
  <c r="Q444" i="30"/>
  <c r="R444" i="30"/>
  <c r="U444" i="30"/>
  <c r="V444" i="30"/>
  <c r="O445" i="30"/>
  <c r="P445" i="30"/>
  <c r="Q445" i="30"/>
  <c r="R445" i="30"/>
  <c r="U445" i="30"/>
  <c r="V445" i="30"/>
  <c r="O446" i="30"/>
  <c r="P446" i="30"/>
  <c r="Q446" i="30"/>
  <c r="R446" i="30"/>
  <c r="U446" i="30"/>
  <c r="V446" i="30"/>
  <c r="O447" i="30"/>
  <c r="P447" i="30"/>
  <c r="Q447" i="30"/>
  <c r="R447" i="30"/>
  <c r="U447" i="30"/>
  <c r="V447" i="30"/>
  <c r="O448" i="30"/>
  <c r="P448" i="30"/>
  <c r="Q448" i="30"/>
  <c r="R448" i="30"/>
  <c r="U448" i="30"/>
  <c r="V448" i="30"/>
  <c r="O449" i="30"/>
  <c r="P449" i="30"/>
  <c r="Q449" i="30"/>
  <c r="R449" i="30"/>
  <c r="U449" i="30"/>
  <c r="V449" i="30"/>
  <c r="O450" i="30"/>
  <c r="P450" i="30"/>
  <c r="Q450" i="30"/>
  <c r="R450" i="30"/>
  <c r="U450" i="30"/>
  <c r="V450" i="30"/>
  <c r="O451" i="30"/>
  <c r="P451" i="30"/>
  <c r="Q451" i="30"/>
  <c r="R451" i="30"/>
  <c r="U451" i="30"/>
  <c r="V451" i="30"/>
  <c r="O452" i="30"/>
  <c r="P452" i="30"/>
  <c r="Q452" i="30"/>
  <c r="R452" i="30"/>
  <c r="U452" i="30"/>
  <c r="V452" i="30"/>
  <c r="O453" i="30"/>
  <c r="P453" i="30"/>
  <c r="Q453" i="30"/>
  <c r="R453" i="30"/>
  <c r="U453" i="30"/>
  <c r="V453" i="30"/>
  <c r="O454" i="30"/>
  <c r="P454" i="30"/>
  <c r="Q454" i="30"/>
  <c r="R454" i="30"/>
  <c r="U454" i="30"/>
  <c r="V454" i="30"/>
  <c r="O455" i="30"/>
  <c r="P455" i="30"/>
  <c r="Q455" i="30"/>
  <c r="R455" i="30"/>
  <c r="U455" i="30"/>
  <c r="V455" i="30"/>
  <c r="O456" i="30"/>
  <c r="P456" i="30"/>
  <c r="Q456" i="30"/>
  <c r="R456" i="30"/>
  <c r="U456" i="30"/>
  <c r="V456" i="30"/>
  <c r="O457" i="30"/>
  <c r="P457" i="30"/>
  <c r="Q457" i="30"/>
  <c r="R457" i="30"/>
  <c r="U457" i="30"/>
  <c r="V457" i="30"/>
  <c r="O458" i="30"/>
  <c r="P458" i="30"/>
  <c r="Q458" i="30"/>
  <c r="R458" i="30"/>
  <c r="U458" i="30"/>
  <c r="V458" i="30"/>
  <c r="O459" i="30"/>
  <c r="P459" i="30"/>
  <c r="Q459" i="30"/>
  <c r="R459" i="30"/>
  <c r="U459" i="30"/>
  <c r="V459" i="30"/>
  <c r="O460" i="30"/>
  <c r="P460" i="30"/>
  <c r="Q460" i="30"/>
  <c r="R460" i="30"/>
  <c r="U460" i="30"/>
  <c r="V460" i="30"/>
  <c r="O461" i="30"/>
  <c r="P461" i="30"/>
  <c r="Q461" i="30"/>
  <c r="R461" i="30"/>
  <c r="U461" i="30"/>
  <c r="V461" i="30"/>
  <c r="O462" i="30"/>
  <c r="P462" i="30"/>
  <c r="Q462" i="30"/>
  <c r="R462" i="30"/>
  <c r="U462" i="30"/>
  <c r="V462" i="30"/>
  <c r="O463" i="30"/>
  <c r="P463" i="30"/>
  <c r="Q463" i="30"/>
  <c r="R463" i="30"/>
  <c r="U463" i="30"/>
  <c r="V463" i="30"/>
  <c r="O464" i="30"/>
  <c r="P464" i="30"/>
  <c r="Q464" i="30"/>
  <c r="R464" i="30"/>
  <c r="U464" i="30"/>
  <c r="V464" i="30"/>
  <c r="O465" i="30"/>
  <c r="P465" i="30"/>
  <c r="Q465" i="30"/>
  <c r="R465" i="30"/>
  <c r="U465" i="30"/>
  <c r="V465" i="30"/>
  <c r="O466" i="30"/>
  <c r="P466" i="30"/>
  <c r="Q466" i="30"/>
  <c r="R466" i="30"/>
  <c r="U466" i="30"/>
  <c r="V466" i="30"/>
  <c r="O467" i="30"/>
  <c r="P467" i="30"/>
  <c r="Q467" i="30"/>
  <c r="R467" i="30"/>
  <c r="U467" i="30"/>
  <c r="V467" i="30"/>
  <c r="O468" i="30"/>
  <c r="P468" i="30"/>
  <c r="Q468" i="30"/>
  <c r="R468" i="30"/>
  <c r="U468" i="30"/>
  <c r="V468" i="30"/>
  <c r="O469" i="30"/>
  <c r="P469" i="30"/>
  <c r="Q469" i="30"/>
  <c r="R469" i="30"/>
  <c r="U469" i="30"/>
  <c r="V469" i="30"/>
  <c r="O470" i="30"/>
  <c r="P470" i="30"/>
  <c r="Q470" i="30"/>
  <c r="R470" i="30"/>
  <c r="U470" i="30"/>
  <c r="V470" i="30"/>
  <c r="O471" i="30"/>
  <c r="P471" i="30"/>
  <c r="Q471" i="30"/>
  <c r="R471" i="30"/>
  <c r="U471" i="30"/>
  <c r="V471" i="30"/>
  <c r="O472" i="30"/>
  <c r="P472" i="30"/>
  <c r="Q472" i="30"/>
  <c r="R472" i="30"/>
  <c r="U472" i="30"/>
  <c r="V472" i="30"/>
  <c r="O473" i="30"/>
  <c r="P473" i="30"/>
  <c r="Q473" i="30"/>
  <c r="R473" i="30"/>
  <c r="U473" i="30"/>
  <c r="V473" i="30"/>
  <c r="O474" i="30"/>
  <c r="P474" i="30"/>
  <c r="Q474" i="30"/>
  <c r="R474" i="30"/>
  <c r="U474" i="30"/>
  <c r="V474" i="30"/>
  <c r="O475" i="30"/>
  <c r="P475" i="30"/>
  <c r="Q475" i="30"/>
  <c r="R475" i="30"/>
  <c r="U475" i="30"/>
  <c r="V475" i="30"/>
  <c r="O476" i="30"/>
  <c r="P476" i="30"/>
  <c r="Q476" i="30"/>
  <c r="R476" i="30"/>
  <c r="U476" i="30"/>
  <c r="V476" i="30"/>
  <c r="O477" i="30"/>
  <c r="P477" i="30"/>
  <c r="Q477" i="30"/>
  <c r="R477" i="30"/>
  <c r="U477" i="30"/>
  <c r="V477" i="30"/>
  <c r="O478" i="30"/>
  <c r="P478" i="30"/>
  <c r="Q478" i="30"/>
  <c r="R478" i="30"/>
  <c r="U478" i="30"/>
  <c r="V478" i="30"/>
  <c r="O479" i="30"/>
  <c r="P479" i="30"/>
  <c r="Q479" i="30"/>
  <c r="R479" i="30"/>
  <c r="U479" i="30"/>
  <c r="V479" i="30"/>
  <c r="O480" i="30"/>
  <c r="P480" i="30"/>
  <c r="Q480" i="30"/>
  <c r="R480" i="30"/>
  <c r="U480" i="30"/>
  <c r="V480" i="30"/>
  <c r="O481" i="30"/>
  <c r="P481" i="30"/>
  <c r="Q481" i="30"/>
  <c r="R481" i="30"/>
  <c r="U481" i="30"/>
  <c r="V481" i="30"/>
  <c r="O482" i="30"/>
  <c r="P482" i="30"/>
  <c r="Q482" i="30"/>
  <c r="R482" i="30"/>
  <c r="U482" i="30"/>
  <c r="V482" i="30"/>
  <c r="O483" i="30"/>
  <c r="P483" i="30"/>
  <c r="Q483" i="30"/>
  <c r="R483" i="30"/>
  <c r="U483" i="30"/>
  <c r="V483" i="30"/>
  <c r="O484" i="30"/>
  <c r="P484" i="30"/>
  <c r="Q484" i="30"/>
  <c r="R484" i="30"/>
  <c r="U484" i="30"/>
  <c r="V484" i="30"/>
  <c r="O485" i="30"/>
  <c r="P485" i="30"/>
  <c r="Q485" i="30"/>
  <c r="R485" i="30"/>
  <c r="U485" i="30"/>
  <c r="V485" i="30"/>
  <c r="O486" i="30"/>
  <c r="P486" i="30"/>
  <c r="Q486" i="30"/>
  <c r="R486" i="30"/>
  <c r="U486" i="30"/>
  <c r="V486" i="30"/>
  <c r="O487" i="30"/>
  <c r="P487" i="30"/>
  <c r="Q487" i="30"/>
  <c r="R487" i="30"/>
  <c r="U487" i="30"/>
  <c r="V487" i="30"/>
  <c r="O488" i="30"/>
  <c r="P488" i="30"/>
  <c r="Q488" i="30"/>
  <c r="R488" i="30"/>
  <c r="U488" i="30"/>
  <c r="V488" i="30"/>
  <c r="O489" i="30"/>
  <c r="P489" i="30"/>
  <c r="Q489" i="30"/>
  <c r="R489" i="30"/>
  <c r="O490" i="30"/>
  <c r="P490" i="30"/>
  <c r="Q490" i="30"/>
  <c r="R490" i="30"/>
  <c r="O491" i="30"/>
  <c r="P491" i="30"/>
  <c r="Q491" i="30"/>
  <c r="R491" i="30"/>
  <c r="O492" i="30"/>
  <c r="P492" i="30"/>
  <c r="Q492" i="30"/>
  <c r="R492" i="30"/>
  <c r="O493" i="30"/>
  <c r="P493" i="30"/>
  <c r="Q493" i="30"/>
  <c r="R493" i="30"/>
  <c r="U493" i="30"/>
  <c r="V493" i="30"/>
  <c r="O494" i="30"/>
  <c r="P494" i="30"/>
  <c r="Q494" i="30"/>
  <c r="R494" i="30"/>
  <c r="U494" i="30"/>
  <c r="V494" i="30"/>
  <c r="O495" i="30"/>
  <c r="P495" i="30"/>
  <c r="Q495" i="30"/>
  <c r="R495" i="30"/>
  <c r="U495" i="30"/>
  <c r="V495" i="30"/>
  <c r="O496" i="30"/>
  <c r="P496" i="30"/>
  <c r="Q496" i="30"/>
  <c r="R496" i="30"/>
  <c r="O497" i="30"/>
  <c r="P497" i="30"/>
  <c r="Q497" i="30"/>
  <c r="R497" i="30"/>
  <c r="O498" i="30"/>
  <c r="P498" i="30"/>
  <c r="Q498" i="30"/>
  <c r="R498" i="30"/>
  <c r="O499" i="30"/>
  <c r="P499" i="30"/>
  <c r="Q499" i="30"/>
  <c r="R499" i="30"/>
  <c r="O500" i="30"/>
  <c r="P500" i="30"/>
  <c r="Q500" i="30"/>
  <c r="R500" i="30"/>
  <c r="O501" i="30"/>
  <c r="P501" i="30"/>
  <c r="Q501" i="30"/>
  <c r="R501" i="30"/>
  <c r="U501" i="30"/>
  <c r="V501" i="30"/>
  <c r="O502" i="30"/>
  <c r="P502" i="30"/>
  <c r="Q502" i="30"/>
  <c r="R502" i="30"/>
  <c r="U502" i="30"/>
  <c r="V502" i="30"/>
  <c r="O503" i="30"/>
  <c r="P503" i="30"/>
  <c r="Q503" i="30"/>
  <c r="R503" i="30"/>
  <c r="U503" i="30"/>
  <c r="V503" i="30"/>
  <c r="O504" i="30"/>
  <c r="P504" i="30"/>
  <c r="Q504" i="30"/>
  <c r="R504" i="30"/>
  <c r="U504" i="30"/>
  <c r="V504" i="30"/>
  <c r="O505" i="30"/>
  <c r="P505" i="30"/>
  <c r="Q505" i="30"/>
  <c r="R505" i="30"/>
  <c r="U505" i="30"/>
  <c r="V505" i="30"/>
  <c r="O506" i="30"/>
  <c r="P506" i="30"/>
  <c r="Q506" i="30"/>
  <c r="R506" i="30"/>
  <c r="U506" i="30"/>
  <c r="V506" i="30"/>
  <c r="O507" i="30"/>
  <c r="P507" i="30"/>
  <c r="Q507" i="30"/>
  <c r="R507" i="30"/>
  <c r="U507" i="30"/>
  <c r="V507" i="30"/>
  <c r="O508" i="30"/>
  <c r="P508" i="30"/>
  <c r="Q508" i="30"/>
  <c r="R508" i="30"/>
  <c r="U508" i="30"/>
  <c r="V508" i="30"/>
  <c r="O509" i="30"/>
  <c r="P509" i="30"/>
  <c r="Q509" i="30"/>
  <c r="R509" i="30"/>
  <c r="U509" i="30"/>
  <c r="V509" i="30"/>
  <c r="O510" i="30"/>
  <c r="P510" i="30"/>
  <c r="Q510" i="30"/>
  <c r="R510" i="30"/>
  <c r="U510" i="30"/>
  <c r="V510" i="30"/>
  <c r="O511" i="30"/>
  <c r="P511" i="30"/>
  <c r="Q511" i="30"/>
  <c r="R511" i="30"/>
  <c r="U511" i="30"/>
  <c r="V511" i="30"/>
  <c r="O512" i="30"/>
  <c r="P512" i="30"/>
  <c r="Q512" i="30"/>
  <c r="R512" i="30"/>
  <c r="U512" i="30"/>
  <c r="V512" i="30"/>
  <c r="U513" i="30"/>
  <c r="V513" i="30"/>
  <c r="U514" i="30"/>
  <c r="V514" i="30"/>
  <c r="U515" i="30"/>
  <c r="V515" i="30"/>
  <c r="O516" i="30"/>
  <c r="P516" i="30"/>
  <c r="Q516" i="30"/>
  <c r="R516" i="30"/>
  <c r="O517" i="30"/>
  <c r="P517" i="30"/>
  <c r="Q517" i="30"/>
  <c r="R517" i="30"/>
  <c r="O518" i="30"/>
  <c r="P518" i="30"/>
  <c r="Q518" i="30"/>
  <c r="R518" i="30"/>
  <c r="U518" i="30"/>
  <c r="V518" i="30"/>
  <c r="O519" i="30"/>
  <c r="P519" i="30"/>
  <c r="Q519" i="30"/>
  <c r="R519" i="30"/>
  <c r="O520" i="30"/>
  <c r="P520" i="30"/>
  <c r="Q520" i="30"/>
  <c r="R520" i="30"/>
  <c r="O521" i="30"/>
  <c r="P521" i="30"/>
  <c r="Q521" i="30"/>
  <c r="R521" i="30"/>
  <c r="O522" i="30"/>
  <c r="P522" i="30"/>
  <c r="Q522" i="30"/>
  <c r="R522" i="30"/>
  <c r="O523" i="30"/>
  <c r="P523" i="30"/>
  <c r="Q523" i="30"/>
  <c r="R523" i="30"/>
  <c r="O524" i="30"/>
  <c r="P524" i="30"/>
  <c r="Q524" i="30"/>
  <c r="R524" i="30"/>
  <c r="U524" i="30"/>
  <c r="V524" i="30"/>
  <c r="O525" i="30"/>
  <c r="P525" i="30"/>
  <c r="Q525" i="30"/>
  <c r="R525" i="30"/>
  <c r="U525" i="30"/>
  <c r="V525" i="30"/>
  <c r="O526" i="30"/>
  <c r="P526" i="30"/>
  <c r="Q526" i="30"/>
  <c r="R526" i="30"/>
  <c r="U526" i="30"/>
  <c r="V526" i="30"/>
  <c r="O527" i="30"/>
  <c r="P527" i="30"/>
  <c r="Q527" i="30"/>
  <c r="R527" i="30"/>
  <c r="U527" i="30"/>
  <c r="V527" i="30"/>
  <c r="O528" i="30"/>
  <c r="P528" i="30"/>
  <c r="Q528" i="30"/>
  <c r="R528" i="30"/>
  <c r="U528" i="30"/>
  <c r="V528" i="30"/>
  <c r="O529" i="30"/>
  <c r="P529" i="30"/>
  <c r="Q529" i="30"/>
  <c r="R529" i="30"/>
  <c r="U529" i="30"/>
  <c r="V529" i="30"/>
  <c r="O530" i="30"/>
  <c r="P530" i="30"/>
  <c r="Q530" i="30"/>
  <c r="R530" i="30"/>
  <c r="U530" i="30"/>
  <c r="V530" i="30"/>
  <c r="O531" i="30"/>
  <c r="P531" i="30"/>
  <c r="Q531" i="30"/>
  <c r="R531" i="30"/>
  <c r="U531" i="30"/>
  <c r="V531" i="30"/>
  <c r="O532" i="30"/>
  <c r="P532" i="30"/>
  <c r="Q532" i="30"/>
  <c r="R532" i="30"/>
  <c r="U532" i="30"/>
  <c r="V532" i="30"/>
  <c r="O533" i="30"/>
  <c r="P533" i="30"/>
  <c r="Q533" i="30"/>
  <c r="R533" i="30"/>
  <c r="U533" i="30"/>
  <c r="V533" i="30"/>
  <c r="O534" i="30"/>
  <c r="P534" i="30"/>
  <c r="Q534" i="30"/>
  <c r="R534" i="30"/>
  <c r="U534" i="30"/>
  <c r="V534" i="30"/>
  <c r="O535" i="30"/>
  <c r="P535" i="30"/>
  <c r="Q535" i="30"/>
  <c r="R535" i="30"/>
  <c r="U535" i="30"/>
  <c r="V535" i="30"/>
  <c r="O536" i="30"/>
  <c r="P536" i="30"/>
  <c r="Q536" i="30"/>
  <c r="R536" i="30"/>
  <c r="U536" i="30"/>
  <c r="V536" i="30"/>
  <c r="O537" i="30"/>
  <c r="P537" i="30"/>
  <c r="Q537" i="30"/>
  <c r="R537" i="30"/>
  <c r="U537" i="30"/>
  <c r="V537" i="30"/>
  <c r="U538" i="30"/>
  <c r="V538" i="30"/>
  <c r="U539" i="30"/>
  <c r="V539" i="30"/>
  <c r="O540" i="30"/>
  <c r="P540" i="30"/>
  <c r="Q540" i="30"/>
  <c r="R540" i="30"/>
  <c r="U540" i="30"/>
  <c r="V540" i="30"/>
  <c r="O541" i="30"/>
  <c r="P541" i="30"/>
  <c r="Q541" i="30"/>
  <c r="R541" i="30"/>
  <c r="U541" i="30"/>
  <c r="V541" i="30"/>
  <c r="O542" i="30"/>
  <c r="P542" i="30"/>
  <c r="Q542" i="30"/>
  <c r="R542" i="30"/>
  <c r="U542" i="30"/>
  <c r="V542" i="30"/>
  <c r="O543" i="30"/>
  <c r="P543" i="30"/>
  <c r="Q543" i="30"/>
  <c r="R543" i="30"/>
  <c r="U543" i="30"/>
  <c r="V543" i="30"/>
  <c r="O544" i="30"/>
  <c r="P544" i="30"/>
  <c r="Q544" i="30"/>
  <c r="R544" i="30"/>
  <c r="U544" i="30"/>
  <c r="V544" i="30"/>
  <c r="O545" i="30"/>
  <c r="P545" i="30"/>
  <c r="Q545" i="30"/>
  <c r="R545" i="30"/>
  <c r="U545" i="30"/>
  <c r="V545" i="30"/>
  <c r="O546" i="30"/>
  <c r="P546" i="30"/>
  <c r="Q546" i="30"/>
  <c r="R546" i="30"/>
  <c r="U546" i="30"/>
  <c r="V546" i="30"/>
  <c r="O547" i="30"/>
  <c r="P547" i="30"/>
  <c r="Q547" i="30"/>
  <c r="R547" i="30"/>
  <c r="U547" i="30"/>
  <c r="V547" i="30"/>
  <c r="O548" i="30"/>
  <c r="P548" i="30"/>
  <c r="Q548" i="30"/>
  <c r="R548" i="30"/>
  <c r="O549" i="30"/>
  <c r="P549" i="30"/>
  <c r="Q549" i="30"/>
  <c r="R549" i="30"/>
  <c r="O550" i="30"/>
  <c r="P550" i="30"/>
  <c r="Q550" i="30"/>
  <c r="R550" i="30"/>
  <c r="U550" i="30"/>
  <c r="V550" i="30"/>
  <c r="O551" i="30"/>
  <c r="P551" i="30"/>
  <c r="Q551" i="30"/>
  <c r="R551" i="30"/>
  <c r="U551" i="30"/>
  <c r="V551" i="30"/>
  <c r="O552" i="30"/>
  <c r="P552" i="30"/>
  <c r="Q552" i="30"/>
  <c r="R552" i="30"/>
  <c r="U552" i="30"/>
  <c r="V552" i="30"/>
  <c r="O553" i="30"/>
  <c r="P553" i="30"/>
  <c r="Q553" i="30"/>
  <c r="R553" i="30"/>
  <c r="U553" i="30"/>
  <c r="V553" i="30"/>
  <c r="O554" i="30"/>
  <c r="P554" i="30"/>
  <c r="Q554" i="30"/>
  <c r="R554" i="30"/>
  <c r="U554" i="30"/>
  <c r="V554" i="30"/>
  <c r="O555" i="30"/>
  <c r="P555" i="30"/>
  <c r="Q555" i="30"/>
  <c r="R555" i="30"/>
  <c r="U555" i="30"/>
  <c r="V555" i="30"/>
  <c r="O556" i="30"/>
  <c r="P556" i="30"/>
  <c r="Q556" i="30"/>
  <c r="R556" i="30"/>
  <c r="U556" i="30"/>
  <c r="V556" i="30"/>
  <c r="O557" i="30"/>
  <c r="P557" i="30"/>
  <c r="Q557" i="30"/>
  <c r="R557" i="30"/>
  <c r="U557" i="30"/>
  <c r="V557" i="30"/>
  <c r="O558" i="30"/>
  <c r="P558" i="30"/>
  <c r="Q558" i="30"/>
  <c r="R558" i="30"/>
  <c r="U558" i="30"/>
  <c r="V558" i="30"/>
  <c r="O559" i="30"/>
  <c r="P559" i="30"/>
  <c r="Q559" i="30"/>
  <c r="R559" i="30"/>
  <c r="U559" i="30"/>
  <c r="V559" i="30"/>
  <c r="O560" i="30"/>
  <c r="P560" i="30"/>
  <c r="Q560" i="30"/>
  <c r="R560" i="30"/>
  <c r="U560" i="30"/>
  <c r="V560" i="30"/>
  <c r="O561" i="30"/>
  <c r="P561" i="30"/>
  <c r="Q561" i="30"/>
  <c r="R561" i="30"/>
  <c r="U561" i="30"/>
  <c r="V561" i="30"/>
  <c r="O562" i="30"/>
  <c r="P562" i="30"/>
  <c r="Q562" i="30"/>
  <c r="R562" i="30"/>
  <c r="U562" i="30"/>
  <c r="V562" i="30"/>
  <c r="O563" i="30"/>
  <c r="P563" i="30"/>
  <c r="Q563" i="30"/>
  <c r="R563" i="30"/>
  <c r="U563" i="30"/>
  <c r="V563" i="30"/>
  <c r="O564" i="30"/>
  <c r="P564" i="30"/>
  <c r="Q564" i="30"/>
  <c r="R564" i="30"/>
  <c r="U564" i="30"/>
  <c r="V564" i="30"/>
  <c r="O565" i="30"/>
  <c r="P565" i="30"/>
  <c r="Q565" i="30"/>
  <c r="R565" i="30"/>
  <c r="U565" i="30"/>
  <c r="V565" i="30"/>
  <c r="O566" i="30"/>
  <c r="P566" i="30"/>
  <c r="Q566" i="30"/>
  <c r="R566" i="30"/>
  <c r="U566" i="30"/>
  <c r="V566" i="30"/>
  <c r="O567" i="30"/>
  <c r="P567" i="30"/>
  <c r="Q567" i="30"/>
  <c r="R567" i="30"/>
  <c r="U567" i="30"/>
  <c r="V567" i="30"/>
  <c r="O568" i="30"/>
  <c r="P568" i="30"/>
  <c r="Q568" i="30"/>
  <c r="R568" i="30"/>
  <c r="U568" i="30"/>
  <c r="V568" i="30"/>
  <c r="O569" i="30"/>
  <c r="P569" i="30"/>
  <c r="Q569" i="30"/>
  <c r="R569" i="30"/>
  <c r="U569" i="30"/>
  <c r="V569" i="30"/>
  <c r="O570" i="30"/>
  <c r="P570" i="30"/>
  <c r="Q570" i="30"/>
  <c r="R570" i="30"/>
  <c r="U570" i="30"/>
  <c r="V570" i="30"/>
  <c r="O571" i="30"/>
  <c r="P571" i="30"/>
  <c r="Q571" i="30"/>
  <c r="R571" i="30"/>
  <c r="U571" i="30"/>
  <c r="V571" i="30"/>
  <c r="O572" i="30"/>
  <c r="P572" i="30"/>
  <c r="Q572" i="30"/>
  <c r="R572" i="30"/>
  <c r="U572" i="30"/>
  <c r="V572" i="30"/>
  <c r="O573" i="30"/>
  <c r="P573" i="30"/>
  <c r="Q573" i="30"/>
  <c r="R573" i="30"/>
  <c r="U573" i="30"/>
  <c r="V573" i="30"/>
  <c r="O574" i="30"/>
  <c r="P574" i="30"/>
  <c r="Q574" i="30"/>
  <c r="R574" i="30"/>
  <c r="U574" i="30"/>
  <c r="V574" i="30"/>
  <c r="O575" i="30"/>
  <c r="P575" i="30"/>
  <c r="Q575" i="30"/>
  <c r="R575" i="30"/>
  <c r="U575" i="30"/>
  <c r="V575" i="30"/>
  <c r="O576" i="30"/>
  <c r="P576" i="30"/>
  <c r="Q576" i="30"/>
  <c r="R576" i="30"/>
  <c r="U576" i="30"/>
  <c r="V576" i="30"/>
  <c r="O577" i="30"/>
  <c r="P577" i="30"/>
  <c r="Q577" i="30"/>
  <c r="R577" i="30"/>
  <c r="U577" i="30"/>
  <c r="V577" i="30"/>
  <c r="O578" i="30"/>
  <c r="P578" i="30"/>
  <c r="Q578" i="30"/>
  <c r="R578" i="30"/>
  <c r="U578" i="30"/>
  <c r="V578" i="30"/>
  <c r="O579" i="30"/>
  <c r="P579" i="30"/>
  <c r="Q579" i="30"/>
  <c r="R579" i="30"/>
  <c r="U579" i="30"/>
  <c r="V579" i="30"/>
  <c r="O580" i="30"/>
  <c r="P580" i="30"/>
  <c r="Q580" i="30"/>
  <c r="R580" i="30"/>
  <c r="U580" i="30"/>
  <c r="V580" i="30"/>
  <c r="O581" i="30"/>
  <c r="P581" i="30"/>
  <c r="Q581" i="30"/>
  <c r="R581" i="30"/>
  <c r="U581" i="30"/>
  <c r="V581" i="30"/>
  <c r="O582" i="30"/>
  <c r="P582" i="30"/>
  <c r="Q582" i="30"/>
  <c r="R582" i="30"/>
  <c r="U582" i="30"/>
  <c r="V582" i="30"/>
  <c r="O583" i="30"/>
  <c r="P583" i="30"/>
  <c r="Q583" i="30"/>
  <c r="R583" i="30"/>
  <c r="U583" i="30"/>
  <c r="V583" i="30"/>
  <c r="O584" i="30"/>
  <c r="P584" i="30"/>
  <c r="Q584" i="30"/>
  <c r="R584" i="30"/>
  <c r="U584" i="30"/>
  <c r="V584" i="30"/>
  <c r="O585" i="30"/>
  <c r="P585" i="30"/>
  <c r="Q585" i="30"/>
  <c r="R585" i="30"/>
  <c r="U585" i="30"/>
  <c r="V585" i="30"/>
  <c r="O586" i="30"/>
  <c r="P586" i="30"/>
  <c r="Q586" i="30"/>
  <c r="R586" i="30"/>
  <c r="U586" i="30"/>
  <c r="V586" i="30"/>
  <c r="O587" i="30"/>
  <c r="P587" i="30"/>
  <c r="Q587" i="30"/>
  <c r="R587" i="30"/>
  <c r="U587" i="30"/>
  <c r="V587" i="30"/>
  <c r="O588" i="30"/>
  <c r="P588" i="30"/>
  <c r="Q588" i="30"/>
  <c r="R588" i="30"/>
  <c r="U588" i="30"/>
  <c r="V588" i="30"/>
  <c r="O589" i="30"/>
  <c r="P589" i="30"/>
  <c r="Q589" i="30"/>
  <c r="R589" i="30"/>
  <c r="U589" i="30"/>
  <c r="V589" i="30"/>
  <c r="O590" i="30"/>
  <c r="P590" i="30"/>
  <c r="Q590" i="30"/>
  <c r="R590" i="30"/>
  <c r="U590" i="30"/>
  <c r="V590" i="30"/>
  <c r="O591" i="30"/>
  <c r="P591" i="30"/>
  <c r="Q591" i="30"/>
  <c r="R591" i="30"/>
  <c r="U591" i="30"/>
  <c r="V591" i="30"/>
  <c r="O592" i="30"/>
  <c r="P592" i="30"/>
  <c r="Q592" i="30"/>
  <c r="R592" i="30"/>
  <c r="U592" i="30"/>
  <c r="V592" i="30"/>
  <c r="O593" i="30"/>
  <c r="P593" i="30"/>
  <c r="Q593" i="30"/>
  <c r="R593" i="30"/>
  <c r="U593" i="30"/>
  <c r="V593" i="30"/>
  <c r="O594" i="30"/>
  <c r="P594" i="30"/>
  <c r="Q594" i="30"/>
  <c r="R594" i="30"/>
  <c r="U594" i="30"/>
  <c r="V594" i="30"/>
  <c r="O595" i="30"/>
  <c r="P595" i="30"/>
  <c r="Q595" i="30"/>
  <c r="R595" i="30"/>
  <c r="U595" i="30"/>
  <c r="V595" i="30"/>
  <c r="O596" i="30"/>
  <c r="P596" i="30"/>
  <c r="Q596" i="30"/>
  <c r="R596" i="30"/>
  <c r="U596" i="30"/>
  <c r="V596" i="30"/>
  <c r="O597" i="30"/>
  <c r="P597" i="30"/>
  <c r="Q597" i="30"/>
  <c r="R597" i="30"/>
  <c r="U597" i="30"/>
  <c r="V597" i="30"/>
  <c r="O598" i="30"/>
  <c r="P598" i="30"/>
  <c r="Q598" i="30"/>
  <c r="R598" i="30"/>
  <c r="U598" i="30"/>
  <c r="V598" i="30"/>
  <c r="O599" i="30"/>
  <c r="P599" i="30"/>
  <c r="Q599" i="30"/>
  <c r="R599" i="30"/>
  <c r="U599" i="30"/>
  <c r="V599" i="30"/>
  <c r="O600" i="30"/>
  <c r="P600" i="30"/>
  <c r="Q600" i="30"/>
  <c r="R600" i="30"/>
  <c r="U600" i="30"/>
  <c r="V600" i="30"/>
  <c r="O601" i="30"/>
  <c r="P601" i="30"/>
  <c r="Q601" i="30"/>
  <c r="R601" i="30"/>
  <c r="U601" i="30"/>
  <c r="V601" i="30"/>
  <c r="O602" i="30"/>
  <c r="P602" i="30"/>
  <c r="Q602" i="30"/>
  <c r="R602" i="30"/>
  <c r="U602" i="30"/>
  <c r="V602" i="30"/>
  <c r="O603" i="30"/>
  <c r="P603" i="30"/>
  <c r="Q603" i="30"/>
  <c r="R603" i="30"/>
  <c r="U603" i="30"/>
  <c r="V603" i="30"/>
  <c r="O604" i="30"/>
  <c r="P604" i="30"/>
  <c r="Q604" i="30"/>
  <c r="R604" i="30"/>
  <c r="U604" i="30"/>
  <c r="V604" i="30"/>
  <c r="O611" i="30"/>
  <c r="P611" i="30"/>
  <c r="Q611" i="30"/>
  <c r="R611" i="30"/>
  <c r="O612" i="30"/>
  <c r="P612" i="30"/>
  <c r="Q612" i="30"/>
  <c r="R612" i="30"/>
  <c r="O613" i="30"/>
  <c r="P613" i="30"/>
  <c r="Q613" i="30"/>
  <c r="R613" i="30"/>
  <c r="U613" i="30"/>
  <c r="V613" i="30"/>
  <c r="O614" i="30"/>
  <c r="P614" i="30"/>
  <c r="Q614" i="30"/>
  <c r="R614" i="30"/>
  <c r="U614" i="30"/>
  <c r="V614" i="30"/>
  <c r="O615" i="30"/>
  <c r="P615" i="30"/>
  <c r="Q615" i="30"/>
  <c r="R615" i="30"/>
  <c r="U615" i="30"/>
  <c r="V615" i="30"/>
  <c r="O616" i="30"/>
  <c r="P616" i="30"/>
  <c r="Q616" i="30"/>
  <c r="R616" i="30"/>
  <c r="U616" i="30"/>
  <c r="V616" i="30"/>
  <c r="O617" i="30"/>
  <c r="P617" i="30"/>
  <c r="Q617" i="30"/>
  <c r="R617" i="30"/>
  <c r="U617" i="30"/>
  <c r="V617" i="30"/>
  <c r="O618" i="30"/>
  <c r="P618" i="30"/>
  <c r="Q618" i="30"/>
  <c r="R618" i="30"/>
  <c r="U618" i="30"/>
  <c r="V618" i="30"/>
  <c r="O619" i="30"/>
  <c r="P619" i="30"/>
  <c r="Q619" i="30"/>
  <c r="R619" i="30"/>
  <c r="U619" i="30"/>
  <c r="V619" i="30"/>
  <c r="O620" i="30"/>
  <c r="P620" i="30"/>
  <c r="Q620" i="30"/>
  <c r="R620" i="30"/>
  <c r="U620" i="30"/>
  <c r="V620" i="30"/>
  <c r="O621" i="30"/>
  <c r="P621" i="30"/>
  <c r="Q621" i="30"/>
  <c r="R621" i="30"/>
  <c r="U621" i="30"/>
  <c r="V621" i="30"/>
  <c r="O622" i="30"/>
  <c r="P622" i="30"/>
  <c r="Q622" i="30"/>
  <c r="R622" i="30"/>
  <c r="U622" i="30"/>
  <c r="V622" i="30"/>
  <c r="O623" i="30"/>
  <c r="P623" i="30"/>
  <c r="Q623" i="30"/>
  <c r="R623" i="30"/>
  <c r="U623" i="30"/>
  <c r="V623" i="30"/>
  <c r="O624" i="30"/>
  <c r="P624" i="30"/>
  <c r="Q624" i="30"/>
  <c r="R624" i="30"/>
  <c r="U624" i="30"/>
  <c r="V624" i="30"/>
  <c r="O625" i="30"/>
  <c r="P625" i="30"/>
  <c r="Q625" i="30"/>
  <c r="R625" i="30"/>
  <c r="U625" i="30"/>
  <c r="V625" i="30"/>
  <c r="O626" i="30"/>
  <c r="P626" i="30"/>
  <c r="Q626" i="30"/>
  <c r="R626" i="30"/>
  <c r="U626" i="30"/>
  <c r="V626" i="30"/>
  <c r="O627" i="30"/>
  <c r="P627" i="30"/>
  <c r="Q627" i="30"/>
  <c r="R627" i="30"/>
  <c r="U627" i="30"/>
  <c r="V627" i="30"/>
  <c r="O628" i="30"/>
  <c r="P628" i="30"/>
  <c r="Q628" i="30"/>
  <c r="R628" i="30"/>
  <c r="U628" i="30"/>
  <c r="V628" i="30"/>
  <c r="O629" i="30"/>
  <c r="P629" i="30"/>
  <c r="Q629" i="30"/>
  <c r="R629" i="30"/>
  <c r="U629" i="30"/>
  <c r="V629" i="30"/>
  <c r="O630" i="30"/>
  <c r="P630" i="30"/>
  <c r="Q630" i="30"/>
  <c r="R630" i="30"/>
  <c r="U630" i="30"/>
  <c r="V630" i="30"/>
  <c r="O631" i="30"/>
  <c r="P631" i="30"/>
  <c r="Q631" i="30"/>
  <c r="R631" i="30"/>
  <c r="U631" i="30"/>
  <c r="V631" i="30"/>
  <c r="O632" i="30"/>
  <c r="P632" i="30"/>
  <c r="Q632" i="30"/>
  <c r="R632" i="30"/>
  <c r="U632" i="30"/>
  <c r="V632" i="30"/>
  <c r="O633" i="30"/>
  <c r="P633" i="30"/>
  <c r="Q633" i="30"/>
  <c r="R633" i="30"/>
  <c r="U633" i="30"/>
  <c r="V633" i="30"/>
  <c r="O634" i="30"/>
  <c r="P634" i="30"/>
  <c r="Q634" i="30"/>
  <c r="R634" i="30"/>
  <c r="U634" i="30"/>
  <c r="V634" i="30"/>
  <c r="O635" i="30"/>
  <c r="P635" i="30"/>
  <c r="Q635" i="30"/>
  <c r="R635" i="30"/>
  <c r="U635" i="30"/>
  <c r="V635" i="30"/>
  <c r="O636" i="30"/>
  <c r="P636" i="30"/>
  <c r="Q636" i="30"/>
  <c r="R636" i="30"/>
  <c r="U636" i="30"/>
  <c r="V636" i="30"/>
  <c r="O637" i="30"/>
  <c r="P637" i="30"/>
  <c r="Q637" i="30"/>
  <c r="R637" i="30"/>
  <c r="U637" i="30"/>
  <c r="V637" i="30"/>
  <c r="O638" i="30"/>
  <c r="P638" i="30"/>
  <c r="Q638" i="30"/>
  <c r="R638" i="30"/>
  <c r="U638" i="30"/>
  <c r="V638" i="30"/>
  <c r="O639" i="30"/>
  <c r="P639" i="30"/>
  <c r="Q639" i="30"/>
  <c r="R639" i="30"/>
  <c r="U639" i="30"/>
  <c r="V639" i="30"/>
  <c r="O640" i="30"/>
  <c r="P640" i="30"/>
  <c r="Q640" i="30"/>
  <c r="R640" i="30"/>
  <c r="U640" i="30"/>
  <c r="V640" i="30"/>
  <c r="O644" i="30"/>
  <c r="P644" i="30"/>
  <c r="Q644" i="30"/>
  <c r="R644" i="30"/>
  <c r="U644" i="30"/>
  <c r="V644" i="30"/>
  <c r="O645" i="30"/>
  <c r="P645" i="30"/>
  <c r="Q645" i="30"/>
  <c r="R645" i="30"/>
  <c r="U645" i="30"/>
  <c r="V645" i="30"/>
  <c r="O646" i="30"/>
  <c r="P646" i="30"/>
  <c r="Q646" i="30"/>
  <c r="R646" i="30"/>
  <c r="U646" i="30"/>
  <c r="V646" i="30"/>
  <c r="O647" i="30"/>
  <c r="P647" i="30"/>
  <c r="Q647" i="30"/>
  <c r="R647" i="30"/>
  <c r="U647" i="30"/>
  <c r="V647" i="30"/>
  <c r="O648" i="30"/>
  <c r="P648" i="30"/>
  <c r="Q648" i="30"/>
  <c r="R648" i="30"/>
  <c r="U648" i="30"/>
  <c r="V648" i="30"/>
  <c r="O656" i="30"/>
  <c r="P656" i="30"/>
  <c r="Q656" i="30"/>
  <c r="R656" i="30"/>
  <c r="U656" i="30"/>
  <c r="V656" i="30"/>
  <c r="O657" i="30"/>
  <c r="P657" i="30"/>
  <c r="Q657" i="30"/>
  <c r="R657" i="30"/>
  <c r="U657" i="30"/>
  <c r="V657" i="30"/>
  <c r="O658" i="30"/>
  <c r="P658" i="30"/>
  <c r="Q658" i="30"/>
  <c r="R658" i="30"/>
  <c r="U658" i="30"/>
  <c r="V658" i="30"/>
  <c r="O659" i="30"/>
  <c r="P659" i="30"/>
  <c r="Q659" i="30"/>
  <c r="R659" i="30"/>
  <c r="U659" i="30"/>
  <c r="V659" i="30"/>
  <c r="O660" i="30"/>
  <c r="P660" i="30"/>
  <c r="Q660" i="30"/>
  <c r="R660" i="30"/>
  <c r="U660" i="30"/>
  <c r="V660" i="30"/>
  <c r="V4" i="30"/>
  <c r="R4" i="30"/>
  <c r="W656" i="30" l="1"/>
  <c r="X656" i="30" s="1"/>
  <c r="W657" i="30"/>
  <c r="X657" i="30" s="1"/>
  <c r="W658" i="30"/>
  <c r="X658" i="30" s="1"/>
  <c r="W659" i="30"/>
  <c r="X659" i="30"/>
  <c r="W660" i="30"/>
  <c r="X660" i="30" s="1"/>
  <c r="E648" i="30"/>
  <c r="E656" i="30"/>
  <c r="E657" i="30"/>
  <c r="E658" i="30"/>
  <c r="E659" i="30"/>
  <c r="E660" i="30"/>
  <c r="C656" i="30"/>
  <c r="C657" i="30"/>
  <c r="C658" i="30"/>
  <c r="C659" i="30"/>
  <c r="C660" i="30"/>
  <c r="E630" i="30" l="1"/>
  <c r="E631" i="30"/>
  <c r="E632" i="30"/>
  <c r="E633" i="30"/>
  <c r="E634" i="30"/>
  <c r="E635" i="30"/>
  <c r="E636" i="30"/>
  <c r="E637" i="30"/>
  <c r="E638" i="30"/>
  <c r="E639" i="30"/>
  <c r="E640" i="30"/>
  <c r="E644" i="30"/>
  <c r="E645" i="30"/>
  <c r="E646" i="30"/>
  <c r="E647" i="30"/>
  <c r="W638" i="30"/>
  <c r="X638" i="30" s="1"/>
  <c r="W639" i="30"/>
  <c r="X639" i="30" s="1"/>
  <c r="W640" i="30"/>
  <c r="X640" i="30"/>
  <c r="W644" i="30"/>
  <c r="X644" i="30" s="1"/>
  <c r="W645" i="30"/>
  <c r="X645" i="30" s="1"/>
  <c r="W646" i="30"/>
  <c r="X646" i="30" s="1"/>
  <c r="W647" i="30"/>
  <c r="X647" i="30" s="1"/>
  <c r="W648" i="30"/>
  <c r="X648" i="30" s="1"/>
  <c r="C638" i="30"/>
  <c r="C639" i="30"/>
  <c r="C640" i="30"/>
  <c r="C644" i="30"/>
  <c r="C645" i="30"/>
  <c r="C646" i="30"/>
  <c r="C647" i="30"/>
  <c r="C648" i="30"/>
  <c r="E613" i="30" l="1"/>
  <c r="E614" i="30"/>
  <c r="E615" i="30"/>
  <c r="E616" i="30"/>
  <c r="E617" i="30"/>
  <c r="E618" i="30"/>
  <c r="E619" i="30"/>
  <c r="E620" i="30"/>
  <c r="E621" i="30"/>
  <c r="E622" i="30"/>
  <c r="E623" i="30"/>
  <c r="E624" i="30"/>
  <c r="E625" i="30"/>
  <c r="E626" i="30"/>
  <c r="E627" i="30"/>
  <c r="E628" i="30"/>
  <c r="E629" i="30"/>
  <c r="E600" i="30"/>
  <c r="E601" i="30"/>
  <c r="E602" i="30"/>
  <c r="E603" i="30"/>
  <c r="E604" i="30"/>
  <c r="W632" i="30"/>
  <c r="X632" i="30" s="1"/>
  <c r="W633" i="30"/>
  <c r="X633" i="30" s="1"/>
  <c r="W634" i="30"/>
  <c r="X634" i="30" s="1"/>
  <c r="W635" i="30"/>
  <c r="X635" i="30"/>
  <c r="W636" i="30"/>
  <c r="X636" i="30" s="1"/>
  <c r="W637" i="30"/>
  <c r="X637" i="30" s="1"/>
  <c r="W625" i="30"/>
  <c r="X625" i="30" s="1"/>
  <c r="W626" i="30"/>
  <c r="X626" i="30" s="1"/>
  <c r="W627" i="30"/>
  <c r="X627" i="30" s="1"/>
  <c r="W628" i="30"/>
  <c r="X628" i="30" s="1"/>
  <c r="W629" i="30"/>
  <c r="X629" i="30" s="1"/>
  <c r="W630" i="30"/>
  <c r="X630" i="30" s="1"/>
  <c r="C633" i="30"/>
  <c r="C634" i="30"/>
  <c r="C635" i="30"/>
  <c r="C636" i="30"/>
  <c r="C637" i="30"/>
  <c r="C625" i="30"/>
  <c r="C626" i="30"/>
  <c r="C627" i="30"/>
  <c r="C628" i="30"/>
  <c r="C629" i="30"/>
  <c r="C630" i="30"/>
  <c r="W252" i="30" l="1"/>
  <c r="X252" i="30"/>
  <c r="W251" i="30"/>
  <c r="X251" i="30" s="1"/>
  <c r="W43" i="30" l="1"/>
  <c r="X43" i="30" s="1"/>
  <c r="E43" i="30"/>
  <c r="C43" i="30"/>
  <c r="W440" i="30" l="1"/>
  <c r="X440" i="30" s="1"/>
  <c r="E440" i="30"/>
  <c r="C440" i="30"/>
  <c r="W442" i="30"/>
  <c r="X442" i="30" s="1"/>
  <c r="E442" i="30"/>
  <c r="C442" i="30"/>
  <c r="W441" i="30"/>
  <c r="X441" i="30" s="1"/>
  <c r="E441" i="30"/>
  <c r="C441" i="30"/>
  <c r="W316" i="30"/>
  <c r="X316" i="30" s="1"/>
  <c r="E316" i="30"/>
  <c r="C316" i="30"/>
  <c r="W224" i="30"/>
  <c r="X224" i="30" s="1"/>
  <c r="E224" i="30"/>
  <c r="C224" i="30"/>
  <c r="W356" i="30"/>
  <c r="X356" i="30" s="1"/>
  <c r="E356" i="30"/>
  <c r="C356" i="30"/>
  <c r="W280" i="30"/>
  <c r="X280" i="30" s="1"/>
  <c r="E280" i="30"/>
  <c r="C280" i="30"/>
  <c r="W264" i="30"/>
  <c r="X264" i="30" s="1"/>
  <c r="E264" i="30"/>
  <c r="C264" i="30"/>
  <c r="W422" i="30"/>
  <c r="X422" i="30" s="1"/>
  <c r="E422" i="30"/>
  <c r="C422" i="30"/>
  <c r="W421" i="30"/>
  <c r="X421" i="30" s="1"/>
  <c r="E421" i="30"/>
  <c r="C421" i="30"/>
  <c r="W357" i="30"/>
  <c r="X357" i="30" s="1"/>
  <c r="E357" i="30"/>
  <c r="C357" i="30"/>
  <c r="W294" i="30"/>
  <c r="X294" i="30" s="1"/>
  <c r="E294" i="30"/>
  <c r="C294" i="30"/>
  <c r="W358" i="30"/>
  <c r="X358" i="30" s="1"/>
  <c r="E358" i="30"/>
  <c r="C358" i="30"/>
  <c r="W439" i="30"/>
  <c r="X439" i="30" s="1"/>
  <c r="E439" i="30"/>
  <c r="C439" i="30"/>
  <c r="W256" i="30"/>
  <c r="X256" i="30" s="1"/>
  <c r="E256" i="30"/>
  <c r="C256" i="30"/>
  <c r="W255" i="30"/>
  <c r="X255" i="30" s="1"/>
  <c r="E255" i="30"/>
  <c r="C255" i="30"/>
  <c r="W430" i="30"/>
  <c r="X430" i="30" s="1"/>
  <c r="E430" i="30"/>
  <c r="C430" i="30"/>
  <c r="W305" i="30"/>
  <c r="X305" i="30" s="1"/>
  <c r="E305" i="30"/>
  <c r="C305" i="30"/>
  <c r="W234" i="30"/>
  <c r="X234" i="30" s="1"/>
  <c r="E234" i="30"/>
  <c r="C234" i="30"/>
  <c r="W299" i="30"/>
  <c r="X299" i="30" s="1"/>
  <c r="E299" i="30"/>
  <c r="C299" i="30"/>
  <c r="W307" i="30"/>
  <c r="X307" i="30" s="1"/>
  <c r="E307" i="30"/>
  <c r="C307" i="30"/>
  <c r="W298" i="30"/>
  <c r="X298" i="30" s="1"/>
  <c r="E298" i="30"/>
  <c r="C298" i="30"/>
  <c r="W230" i="30"/>
  <c r="X230" i="30" s="1"/>
  <c r="E230" i="30"/>
  <c r="C230" i="30"/>
  <c r="W306" i="30"/>
  <c r="X306" i="30" s="1"/>
  <c r="E306" i="30"/>
  <c r="C306" i="30"/>
  <c r="W296" i="30"/>
  <c r="X296" i="30" s="1"/>
  <c r="E296" i="30"/>
  <c r="C296" i="30"/>
  <c r="W274" i="30"/>
  <c r="X274" i="30" s="1"/>
  <c r="E274" i="30"/>
  <c r="C274" i="30"/>
  <c r="W335" i="30"/>
  <c r="X335" i="30" s="1"/>
  <c r="E335" i="30"/>
  <c r="C335" i="30"/>
  <c r="W334" i="30"/>
  <c r="X334" i="30" s="1"/>
  <c r="E334" i="30"/>
  <c r="C334" i="30"/>
  <c r="W333" i="30"/>
  <c r="X333" i="30" s="1"/>
  <c r="E333" i="30"/>
  <c r="C333" i="30"/>
  <c r="W228" i="30"/>
  <c r="X228" i="30" s="1"/>
  <c r="E228" i="30"/>
  <c r="C228" i="30"/>
  <c r="W233" i="30"/>
  <c r="X233" i="30" s="1"/>
  <c r="E233" i="30"/>
  <c r="C233" i="30"/>
  <c r="W286" i="30"/>
  <c r="X286" i="30" s="1"/>
  <c r="E286" i="30"/>
  <c r="C286" i="30"/>
  <c r="W285" i="30"/>
  <c r="X285" i="30" s="1"/>
  <c r="E285" i="30"/>
  <c r="C285" i="30"/>
  <c r="W192" i="30"/>
  <c r="X192" i="30" s="1"/>
  <c r="E192" i="30"/>
  <c r="C192" i="30"/>
  <c r="E267" i="30"/>
  <c r="C267" i="30"/>
  <c r="W266" i="30"/>
  <c r="X266" i="30" s="1"/>
  <c r="E266" i="30"/>
  <c r="C266" i="30"/>
  <c r="W273" i="30"/>
  <c r="X273" i="30" s="1"/>
  <c r="E273" i="30"/>
  <c r="C273" i="30"/>
  <c r="W259" i="30"/>
  <c r="X259" i="30" s="1"/>
  <c r="E259" i="30"/>
  <c r="C259" i="30"/>
  <c r="W272" i="30"/>
  <c r="X272" i="30" s="1"/>
  <c r="E272" i="30"/>
  <c r="C272" i="30"/>
  <c r="W283" i="30"/>
  <c r="X283" i="30" s="1"/>
  <c r="E283" i="30"/>
  <c r="C283" i="30"/>
  <c r="W318" i="30"/>
  <c r="X318" i="30" s="1"/>
  <c r="E318" i="30"/>
  <c r="C318" i="30"/>
  <c r="W271" i="30"/>
  <c r="X271" i="30" s="1"/>
  <c r="E271" i="30"/>
  <c r="C271" i="30"/>
  <c r="W199" i="30"/>
  <c r="X199" i="30" s="1"/>
  <c r="E199" i="30"/>
  <c r="C199" i="30"/>
  <c r="W254" i="30"/>
  <c r="X254" i="30" s="1"/>
  <c r="E254" i="30"/>
  <c r="C254" i="30"/>
  <c r="W243" i="30"/>
  <c r="X243" i="30" s="1"/>
  <c r="E243" i="30"/>
  <c r="C243" i="30"/>
  <c r="W276" i="30"/>
  <c r="X276" i="30" s="1"/>
  <c r="E276" i="30"/>
  <c r="C276" i="30"/>
  <c r="W236" i="30"/>
  <c r="X236" i="30" s="1"/>
  <c r="E236" i="30"/>
  <c r="C236" i="30"/>
  <c r="W320" i="30"/>
  <c r="X320" i="30" s="1"/>
  <c r="E320" i="30"/>
  <c r="C320" i="30"/>
  <c r="W396" i="30"/>
  <c r="X396" i="30" s="1"/>
  <c r="E396" i="30"/>
  <c r="C396" i="30"/>
  <c r="W248" i="30"/>
  <c r="X248" i="30" s="1"/>
  <c r="E248" i="30"/>
  <c r="C248" i="30"/>
  <c r="W198" i="30"/>
  <c r="X198" i="30" s="1"/>
  <c r="E198" i="30"/>
  <c r="C198" i="30"/>
  <c r="W263" i="30"/>
  <c r="X263" i="30" s="1"/>
  <c r="E263" i="30"/>
  <c r="C263" i="30"/>
  <c r="W303" i="30"/>
  <c r="X303" i="30" s="1"/>
  <c r="E303" i="30"/>
  <c r="C303" i="30"/>
  <c r="W405" i="30"/>
  <c r="X405" i="30" s="1"/>
  <c r="E405" i="30"/>
  <c r="C405" i="30"/>
  <c r="W265" i="30"/>
  <c r="X265" i="30" s="1"/>
  <c r="E265" i="30"/>
  <c r="C265" i="30"/>
  <c r="W235" i="30"/>
  <c r="X235" i="30" s="1"/>
  <c r="E235" i="30"/>
  <c r="C235" i="30"/>
  <c r="W260" i="30"/>
  <c r="X260" i="30" s="1"/>
  <c r="E260" i="30"/>
  <c r="C260" i="30"/>
  <c r="W218" i="30"/>
  <c r="X218" i="30" s="1"/>
  <c r="E218" i="30"/>
  <c r="C218" i="30"/>
  <c r="W345" i="30"/>
  <c r="X345" i="30" s="1"/>
  <c r="E345" i="30"/>
  <c r="C345" i="30"/>
  <c r="W222" i="30"/>
  <c r="X222" i="30" s="1"/>
  <c r="E222" i="30"/>
  <c r="C222" i="30"/>
  <c r="W311" i="30"/>
  <c r="X311" i="30" s="1"/>
  <c r="E311" i="30"/>
  <c r="C311" i="30"/>
  <c r="W221" i="30"/>
  <c r="X221" i="30" s="1"/>
  <c r="E221" i="30"/>
  <c r="C221" i="30"/>
  <c r="W246" i="30"/>
  <c r="X246" i="30" s="1"/>
  <c r="E246" i="30"/>
  <c r="C246" i="30"/>
  <c r="W223" i="30"/>
  <c r="X223" i="30" s="1"/>
  <c r="E223" i="30"/>
  <c r="C223" i="30"/>
  <c r="W239" i="30"/>
  <c r="X239" i="30" s="1"/>
  <c r="E239" i="30"/>
  <c r="C239" i="30"/>
  <c r="W249" i="30"/>
  <c r="X249" i="30" s="1"/>
  <c r="E249" i="30"/>
  <c r="C249" i="30"/>
  <c r="W386" i="30"/>
  <c r="X386" i="30" s="1"/>
  <c r="E386" i="30"/>
  <c r="C386" i="30"/>
  <c r="W232" i="30"/>
  <c r="X232" i="30" s="1"/>
  <c r="E232" i="30"/>
  <c r="C232" i="30"/>
  <c r="W374" i="30"/>
  <c r="X374" i="30" s="1"/>
  <c r="E374" i="30"/>
  <c r="C374" i="30"/>
  <c r="W340" i="30"/>
  <c r="X340" i="30" s="1"/>
  <c r="E340" i="30"/>
  <c r="C340" i="30"/>
  <c r="W387" i="30"/>
  <c r="X387" i="30" s="1"/>
  <c r="E387" i="30"/>
  <c r="C387" i="30"/>
  <c r="W195" i="30"/>
  <c r="X195" i="30" s="1"/>
  <c r="E195" i="30"/>
  <c r="C195" i="30"/>
  <c r="W194" i="30"/>
  <c r="X194" i="30" s="1"/>
  <c r="E194" i="30"/>
  <c r="C194" i="30"/>
  <c r="W193" i="30"/>
  <c r="X193" i="30" s="1"/>
  <c r="E193" i="30"/>
  <c r="C193" i="30"/>
  <c r="W191" i="30"/>
  <c r="X191" i="30" s="1"/>
  <c r="E191" i="30"/>
  <c r="C191" i="30"/>
  <c r="W190" i="30"/>
  <c r="X190" i="30" s="1"/>
  <c r="E190" i="30"/>
  <c r="C190" i="30"/>
  <c r="W332" i="30"/>
  <c r="X332" i="30" s="1"/>
  <c r="E332" i="30"/>
  <c r="C332" i="30"/>
  <c r="W331" i="30"/>
  <c r="X331" i="30" s="1"/>
  <c r="E331" i="30"/>
  <c r="C331" i="30"/>
  <c r="W166" i="30"/>
  <c r="X166" i="30" s="1"/>
  <c r="E166" i="30"/>
  <c r="C166" i="30"/>
  <c r="W165" i="30"/>
  <c r="X165" i="30" s="1"/>
  <c r="E165" i="30"/>
  <c r="C165" i="30"/>
  <c r="W217" i="30"/>
  <c r="X217" i="30" s="1"/>
  <c r="E217" i="30"/>
  <c r="C217" i="30"/>
  <c r="W324" i="30"/>
  <c r="X324" i="30" s="1"/>
  <c r="E324" i="30"/>
  <c r="C324" i="30"/>
  <c r="W323" i="30"/>
  <c r="X323" i="30" s="1"/>
  <c r="E323" i="30"/>
  <c r="C323" i="30"/>
  <c r="W371" i="30"/>
  <c r="X371" i="30" s="1"/>
  <c r="E371" i="30"/>
  <c r="C371" i="30"/>
  <c r="W244" i="30"/>
  <c r="X244" i="30" s="1"/>
  <c r="E244" i="30"/>
  <c r="C244" i="30"/>
  <c r="W415" i="30"/>
  <c r="X415" i="30" s="1"/>
  <c r="E415" i="30"/>
  <c r="C415" i="30"/>
  <c r="W414" i="30"/>
  <c r="X414" i="30" s="1"/>
  <c r="E414" i="30"/>
  <c r="C414" i="30"/>
  <c r="W167" i="30"/>
  <c r="X167" i="30" s="1"/>
  <c r="E167" i="30"/>
  <c r="C167" i="30"/>
  <c r="W231" i="30"/>
  <c r="X231" i="30" s="1"/>
  <c r="E231" i="30"/>
  <c r="C231" i="30"/>
  <c r="W412" i="30"/>
  <c r="X412" i="30" s="1"/>
  <c r="E412" i="30"/>
  <c r="C412" i="30"/>
  <c r="W411" i="30"/>
  <c r="X411" i="30" s="1"/>
  <c r="E411" i="30"/>
  <c r="C411" i="30"/>
  <c r="W216" i="30"/>
  <c r="X216" i="30" s="1"/>
  <c r="E216" i="30"/>
  <c r="C216" i="30"/>
  <c r="W203" i="30"/>
  <c r="X203" i="30" s="1"/>
  <c r="E203" i="30"/>
  <c r="C203" i="30"/>
  <c r="W220" i="30"/>
  <c r="X220" i="30" s="1"/>
  <c r="E220" i="30"/>
  <c r="C220" i="30"/>
  <c r="W281" i="30"/>
  <c r="X281" i="30" s="1"/>
  <c r="E281" i="30"/>
  <c r="C281" i="30"/>
  <c r="W219" i="30"/>
  <c r="X219" i="30" s="1"/>
  <c r="E219" i="30"/>
  <c r="C219" i="30"/>
  <c r="W215" i="30"/>
  <c r="X215" i="30" s="1"/>
  <c r="E215" i="30"/>
  <c r="C215" i="30"/>
  <c r="W213" i="30"/>
  <c r="X213" i="30" s="1"/>
  <c r="E213" i="30"/>
  <c r="C213" i="30"/>
  <c r="W210" i="30"/>
  <c r="X210" i="30" s="1"/>
  <c r="E210" i="30"/>
  <c r="C210" i="30"/>
  <c r="W262" i="30"/>
  <c r="X262" i="30" s="1"/>
  <c r="E262" i="30"/>
  <c r="C262" i="30"/>
  <c r="W206" i="30"/>
  <c r="X206" i="30" s="1"/>
  <c r="E206" i="30"/>
  <c r="C206" i="30"/>
  <c r="W284" i="30"/>
  <c r="X284" i="30" s="1"/>
  <c r="E284" i="30"/>
  <c r="C284" i="30"/>
  <c r="W395" i="30"/>
  <c r="X395" i="30" s="1"/>
  <c r="E395" i="30"/>
  <c r="C395" i="30"/>
  <c r="W394" i="30"/>
  <c r="X394" i="30" s="1"/>
  <c r="E394" i="30"/>
  <c r="C394" i="30"/>
  <c r="W342" i="30"/>
  <c r="X342" i="30" s="1"/>
  <c r="E342" i="30"/>
  <c r="C342" i="30"/>
  <c r="W423" i="30"/>
  <c r="X423" i="30" s="1"/>
  <c r="E423" i="30"/>
  <c r="C423" i="30"/>
  <c r="W436" i="30"/>
  <c r="X436" i="30" s="1"/>
  <c r="E436" i="30"/>
  <c r="C436" i="30"/>
  <c r="W350" i="30"/>
  <c r="X350" i="30" s="1"/>
  <c r="E350" i="30"/>
  <c r="C350" i="30"/>
  <c r="W330" i="30"/>
  <c r="X330" i="30" s="1"/>
  <c r="E330" i="30"/>
  <c r="C330" i="30"/>
  <c r="W329" i="30"/>
  <c r="X329" i="30" s="1"/>
  <c r="E329" i="30"/>
  <c r="C329" i="30"/>
  <c r="W196" i="30"/>
  <c r="X196" i="30" s="1"/>
  <c r="E196" i="30"/>
  <c r="C196" i="30"/>
  <c r="W348" i="30"/>
  <c r="X348" i="30" s="1"/>
  <c r="E348" i="30"/>
  <c r="C348" i="30"/>
  <c r="W347" i="30"/>
  <c r="X347" i="30" s="1"/>
  <c r="E347" i="30"/>
  <c r="C347" i="30"/>
  <c r="W328" i="30"/>
  <c r="X328" i="30" s="1"/>
  <c r="E328" i="30"/>
  <c r="C328" i="30"/>
  <c r="W435" i="30"/>
  <c r="X435" i="30" s="1"/>
  <c r="E435" i="30"/>
  <c r="C435" i="30"/>
  <c r="W432" i="30"/>
  <c r="X432" i="30" s="1"/>
  <c r="E432" i="30"/>
  <c r="C432" i="30"/>
  <c r="W397" i="30"/>
  <c r="X397" i="30" s="1"/>
  <c r="E397" i="30"/>
  <c r="C397" i="30"/>
  <c r="W428" i="30"/>
  <c r="X428" i="30" s="1"/>
  <c r="E428" i="30"/>
  <c r="C428" i="30"/>
  <c r="W388" i="30"/>
  <c r="X388" i="30" s="1"/>
  <c r="E388" i="30"/>
  <c r="C388" i="30"/>
  <c r="W402" i="30"/>
  <c r="X402" i="30" s="1"/>
  <c r="E402" i="30"/>
  <c r="C402" i="30"/>
  <c r="W400" i="30"/>
  <c r="X400" i="30" s="1"/>
  <c r="E400" i="30"/>
  <c r="C400" i="30"/>
  <c r="W399" i="30"/>
  <c r="X399" i="30" s="1"/>
  <c r="E399" i="30"/>
  <c r="C399" i="30"/>
  <c r="W359" i="30"/>
  <c r="X359" i="30" s="1"/>
  <c r="E359" i="30"/>
  <c r="C359" i="30"/>
  <c r="W380" i="30"/>
  <c r="X380" i="30" s="1"/>
  <c r="E380" i="30"/>
  <c r="C380" i="30"/>
  <c r="W379" i="30"/>
  <c r="X379" i="30" s="1"/>
  <c r="E379" i="30"/>
  <c r="C379" i="30"/>
  <c r="W378" i="30"/>
  <c r="X378" i="30" s="1"/>
  <c r="E378" i="30"/>
  <c r="C378" i="30"/>
  <c r="W429" i="30"/>
  <c r="X429" i="30" s="1"/>
  <c r="E429" i="30"/>
  <c r="C429" i="30"/>
  <c r="W413" i="30"/>
  <c r="X413" i="30" s="1"/>
  <c r="E413" i="30"/>
  <c r="C413" i="30"/>
  <c r="W393" i="30"/>
  <c r="X393" i="30" s="1"/>
  <c r="E393" i="30"/>
  <c r="C393" i="30"/>
  <c r="W407" i="30"/>
  <c r="X407" i="30" s="1"/>
  <c r="E407" i="30"/>
  <c r="C407" i="30"/>
  <c r="W370" i="30"/>
  <c r="X370" i="30" s="1"/>
  <c r="E370" i="30"/>
  <c r="C370" i="30"/>
  <c r="W420" i="30"/>
  <c r="X420" i="30" s="1"/>
  <c r="E420" i="30"/>
  <c r="C420" i="30"/>
  <c r="W419" i="30"/>
  <c r="X419" i="30" s="1"/>
  <c r="E419" i="30"/>
  <c r="C419" i="30"/>
  <c r="W418" i="30"/>
  <c r="X418" i="30" s="1"/>
  <c r="E418" i="30"/>
  <c r="C418" i="30"/>
  <c r="W373" i="30"/>
  <c r="X373" i="30" s="1"/>
  <c r="E373" i="30"/>
  <c r="C373" i="30"/>
  <c r="W372" i="30"/>
  <c r="X372" i="30" s="1"/>
  <c r="E372" i="30"/>
  <c r="C372" i="30"/>
  <c r="W403" i="30"/>
  <c r="X403" i="30" s="1"/>
  <c r="E403" i="30"/>
  <c r="C403" i="30"/>
  <c r="W401" i="30"/>
  <c r="X401" i="30" s="1"/>
  <c r="E401" i="30"/>
  <c r="C401" i="30"/>
  <c r="W434" i="30"/>
  <c r="X434" i="30" s="1"/>
  <c r="E434" i="30"/>
  <c r="C434" i="30"/>
  <c r="W433" i="30"/>
  <c r="X433" i="30" s="1"/>
  <c r="E433" i="30"/>
  <c r="C433" i="30"/>
  <c r="W409" i="30"/>
  <c r="X409" i="30" s="1"/>
  <c r="E409" i="30"/>
  <c r="C409" i="30"/>
  <c r="W408" i="30"/>
  <c r="X408" i="30" s="1"/>
  <c r="E408" i="30"/>
  <c r="C408" i="30"/>
  <c r="W385" i="30"/>
  <c r="X385" i="30" s="1"/>
  <c r="E385" i="30"/>
  <c r="C385" i="30"/>
  <c r="W384" i="30"/>
  <c r="X384" i="30" s="1"/>
  <c r="E384" i="30"/>
  <c r="C384" i="30"/>
  <c r="W426" i="30"/>
  <c r="X426" i="30" s="1"/>
  <c r="E426" i="30"/>
  <c r="C426" i="30"/>
  <c r="W425" i="30"/>
  <c r="X425" i="30" s="1"/>
  <c r="E425" i="30"/>
  <c r="C425" i="30"/>
  <c r="W424" i="30"/>
  <c r="X424" i="30" s="1"/>
  <c r="E424" i="30"/>
  <c r="C424" i="30"/>
  <c r="W431" i="30"/>
  <c r="X431" i="30" s="1"/>
  <c r="E431" i="30"/>
  <c r="C431" i="30"/>
  <c r="W375" i="30"/>
  <c r="X375" i="30" s="1"/>
  <c r="E375" i="30"/>
  <c r="C375" i="30"/>
  <c r="W360" i="30"/>
  <c r="X360" i="30" s="1"/>
  <c r="E360" i="30"/>
  <c r="C360" i="30"/>
  <c r="W327" i="30"/>
  <c r="X327" i="30" s="1"/>
  <c r="E327" i="30"/>
  <c r="C327" i="30"/>
  <c r="W392" i="30"/>
  <c r="X392" i="30" s="1"/>
  <c r="E392" i="30"/>
  <c r="C392" i="30"/>
  <c r="W322" i="30"/>
  <c r="X322" i="30" s="1"/>
  <c r="E322" i="30"/>
  <c r="C322" i="30"/>
  <c r="W365" i="30"/>
  <c r="X365" i="30" s="1"/>
  <c r="E365" i="30"/>
  <c r="C365" i="30"/>
  <c r="W363" i="30"/>
  <c r="X363" i="30" s="1"/>
  <c r="E363" i="30"/>
  <c r="C363" i="30"/>
  <c r="W410" i="30"/>
  <c r="X410" i="30" s="1"/>
  <c r="E410" i="30"/>
  <c r="C410" i="30"/>
  <c r="W383" i="30"/>
  <c r="X383" i="30" s="1"/>
  <c r="E383" i="30"/>
  <c r="C383" i="30"/>
  <c r="W382" i="30"/>
  <c r="X382" i="30" s="1"/>
  <c r="E382" i="30"/>
  <c r="C382" i="30"/>
  <c r="W381" i="30"/>
  <c r="X381" i="30" s="1"/>
  <c r="E381" i="30"/>
  <c r="C381" i="30"/>
  <c r="W351" i="30"/>
  <c r="X351" i="30" s="1"/>
  <c r="E351" i="30"/>
  <c r="C351" i="30"/>
  <c r="W364" i="30"/>
  <c r="X364" i="30" s="1"/>
  <c r="E364" i="30"/>
  <c r="C364" i="30"/>
  <c r="W362" i="30"/>
  <c r="X362" i="30" s="1"/>
  <c r="E362" i="30"/>
  <c r="C362" i="30"/>
  <c r="W361" i="30"/>
  <c r="X361" i="30" s="1"/>
  <c r="E361" i="30"/>
  <c r="C361" i="30"/>
  <c r="W341" i="30"/>
  <c r="X341" i="30" s="1"/>
  <c r="E341" i="30"/>
  <c r="C341" i="30"/>
  <c r="W369" i="30"/>
  <c r="X369" i="30" s="1"/>
  <c r="E369" i="30"/>
  <c r="C369" i="30"/>
  <c r="W398" i="30"/>
  <c r="X398" i="30" s="1"/>
  <c r="E398" i="30"/>
  <c r="C398" i="30"/>
  <c r="W349" i="30"/>
  <c r="X349" i="30" s="1"/>
  <c r="E349" i="30"/>
  <c r="C349" i="30"/>
  <c r="W354" i="30"/>
  <c r="X354" i="30" s="1"/>
  <c r="E354" i="30"/>
  <c r="C354" i="30"/>
  <c r="W353" i="30"/>
  <c r="X353" i="30" s="1"/>
  <c r="E353" i="30"/>
  <c r="C353" i="30"/>
  <c r="W368" i="30"/>
  <c r="X368" i="30" s="1"/>
  <c r="E368" i="30"/>
  <c r="C368" i="30"/>
  <c r="W310" i="30"/>
  <c r="X310" i="30" s="1"/>
  <c r="E310" i="30"/>
  <c r="C310" i="30"/>
  <c r="W406" i="30"/>
  <c r="X406" i="30" s="1"/>
  <c r="E406" i="30"/>
  <c r="C406" i="30"/>
  <c r="W336" i="30"/>
  <c r="X336" i="30" s="1"/>
  <c r="E336" i="30"/>
  <c r="C336" i="30"/>
  <c r="W287" i="30"/>
  <c r="X287" i="30" s="1"/>
  <c r="E287" i="30"/>
  <c r="C287" i="30"/>
  <c r="W339" i="30"/>
  <c r="X339" i="30" s="1"/>
  <c r="E339" i="30"/>
  <c r="C339" i="30"/>
  <c r="W338" i="30"/>
  <c r="X338" i="30" s="1"/>
  <c r="E338" i="30"/>
  <c r="C338" i="30"/>
  <c r="W308" i="30"/>
  <c r="X308" i="30" s="1"/>
  <c r="E308" i="30"/>
  <c r="C308" i="30"/>
  <c r="W391" i="30"/>
  <c r="X391" i="30" s="1"/>
  <c r="E391" i="30"/>
  <c r="C391" i="30"/>
  <c r="W295" i="30"/>
  <c r="X295" i="30" s="1"/>
  <c r="E295" i="30"/>
  <c r="C295" i="30"/>
  <c r="W282" i="30"/>
  <c r="X282" i="30" s="1"/>
  <c r="E282" i="30"/>
  <c r="C282" i="30"/>
  <c r="W297" i="30"/>
  <c r="X297" i="30" s="1"/>
  <c r="E297" i="30"/>
  <c r="C297" i="30"/>
  <c r="W326" i="30"/>
  <c r="X326" i="30" s="1"/>
  <c r="E326" i="30"/>
  <c r="C326" i="30"/>
  <c r="W325" i="30"/>
  <c r="X325" i="30" s="1"/>
  <c r="E325" i="30"/>
  <c r="C325" i="30"/>
  <c r="W317" i="30"/>
  <c r="X317" i="30" s="1"/>
  <c r="E317" i="30"/>
  <c r="C317" i="30"/>
  <c r="W427" i="30"/>
  <c r="X427" i="30" s="1"/>
  <c r="E427" i="30"/>
  <c r="C427" i="30"/>
  <c r="W293" i="30"/>
  <c r="X293" i="30" s="1"/>
  <c r="E293" i="30"/>
  <c r="C293" i="30"/>
  <c r="W313" i="30"/>
  <c r="X313" i="30" s="1"/>
  <c r="E313" i="30"/>
  <c r="C313" i="30"/>
  <c r="W312" i="30"/>
  <c r="X312" i="30" s="1"/>
  <c r="E312" i="30"/>
  <c r="C312" i="30"/>
  <c r="W289" i="30"/>
  <c r="X289" i="30" s="1"/>
  <c r="E289" i="30"/>
  <c r="C289" i="30"/>
  <c r="W242" i="30"/>
  <c r="X242" i="30" s="1"/>
  <c r="E242" i="30"/>
  <c r="C242" i="30"/>
  <c r="W315" i="30"/>
  <c r="X315" i="30" s="1"/>
  <c r="E315" i="30"/>
  <c r="C315" i="30"/>
  <c r="W300" i="30"/>
  <c r="X300" i="30" s="1"/>
  <c r="E300" i="30"/>
  <c r="C300" i="30"/>
  <c r="W367" i="30"/>
  <c r="X367" i="30" s="1"/>
  <c r="E367" i="30"/>
  <c r="C367" i="30"/>
  <c r="W366" i="30"/>
  <c r="X366" i="30" s="1"/>
  <c r="E366" i="30"/>
  <c r="C366" i="30"/>
  <c r="W258" i="30"/>
  <c r="X258" i="30" s="1"/>
  <c r="E258" i="30"/>
  <c r="C258" i="30"/>
  <c r="W257" i="30"/>
  <c r="X257" i="30" s="1"/>
  <c r="E257" i="30"/>
  <c r="C257" i="30"/>
  <c r="W355" i="30"/>
  <c r="X355" i="30" s="1"/>
  <c r="E355" i="30"/>
  <c r="C355" i="30"/>
  <c r="W390" i="30"/>
  <c r="X390" i="30" s="1"/>
  <c r="E390" i="30"/>
  <c r="C390" i="30"/>
  <c r="W404" i="30"/>
  <c r="X404" i="30" s="1"/>
  <c r="E404" i="30"/>
  <c r="C404" i="30"/>
  <c r="W352" i="30"/>
  <c r="X352" i="30" s="1"/>
  <c r="E352" i="30"/>
  <c r="C352" i="30"/>
  <c r="W337" i="30"/>
  <c r="X337" i="30" s="1"/>
  <c r="E337" i="30"/>
  <c r="C337" i="30"/>
  <c r="W377" i="30"/>
  <c r="X377" i="30" s="1"/>
  <c r="E377" i="30"/>
  <c r="C377" i="30"/>
  <c r="W376" i="30"/>
  <c r="X376" i="30" s="1"/>
  <c r="E376" i="30"/>
  <c r="C376" i="30"/>
  <c r="W417" i="30"/>
  <c r="X417" i="30" s="1"/>
  <c r="E417" i="30"/>
  <c r="C417" i="30"/>
  <c r="W416" i="30"/>
  <c r="X416" i="30" s="1"/>
  <c r="E416" i="30"/>
  <c r="C416" i="30"/>
  <c r="W245" i="30"/>
  <c r="X245" i="30" s="1"/>
  <c r="E245" i="30"/>
  <c r="C245" i="30"/>
  <c r="E252" i="30"/>
  <c r="C252" i="30"/>
  <c r="E251" i="30"/>
  <c r="C251" i="30"/>
  <c r="W250" i="30"/>
  <c r="X250" i="30" s="1"/>
  <c r="E250" i="30"/>
  <c r="C250" i="30"/>
  <c r="W389" i="30"/>
  <c r="X389" i="30" s="1"/>
  <c r="E389" i="30"/>
  <c r="C389" i="30"/>
  <c r="W321" i="30"/>
  <c r="X321" i="30" s="1"/>
  <c r="E321" i="30"/>
  <c r="C321" i="30"/>
  <c r="W343" i="30"/>
  <c r="X343" i="30" s="1"/>
  <c r="E343" i="30"/>
  <c r="C343" i="30"/>
  <c r="W238" i="30"/>
  <c r="X238" i="30" s="1"/>
  <c r="E238" i="30"/>
  <c r="C238" i="30"/>
  <c r="W237" i="30"/>
  <c r="X237" i="30" s="1"/>
  <c r="E237" i="30"/>
  <c r="C237" i="30"/>
  <c r="W240" i="30"/>
  <c r="X240" i="30" s="1"/>
  <c r="E240" i="30"/>
  <c r="C240" i="30"/>
  <c r="W229" i="30"/>
  <c r="X229" i="30" s="1"/>
  <c r="E229" i="30"/>
  <c r="C229" i="30"/>
  <c r="W309" i="30"/>
  <c r="X309" i="30" s="1"/>
  <c r="E309" i="30"/>
  <c r="C309" i="30"/>
  <c r="W304" i="30"/>
  <c r="X304" i="30" s="1"/>
  <c r="E304" i="30"/>
  <c r="C304" i="30"/>
  <c r="W344" i="30"/>
  <c r="X344" i="30" s="1"/>
  <c r="E344" i="30"/>
  <c r="C344" i="30"/>
  <c r="W438" i="30"/>
  <c r="X438" i="30" s="1"/>
  <c r="E438" i="30"/>
  <c r="C438" i="30"/>
  <c r="W437" i="30"/>
  <c r="X437" i="30" s="1"/>
  <c r="E437" i="30"/>
  <c r="C437" i="30"/>
  <c r="W302" i="30"/>
  <c r="X302" i="30" s="1"/>
  <c r="E302" i="30"/>
  <c r="C302" i="30"/>
  <c r="W241" i="30"/>
  <c r="X241" i="30" s="1"/>
  <c r="E241" i="30"/>
  <c r="C241" i="30"/>
  <c r="W226" i="30"/>
  <c r="X226" i="30" s="1"/>
  <c r="E226" i="30"/>
  <c r="C226" i="30"/>
  <c r="W292" i="30"/>
  <c r="X292" i="30" s="1"/>
  <c r="E292" i="30"/>
  <c r="C292" i="30"/>
  <c r="W288" i="30"/>
  <c r="X288" i="30" s="1"/>
  <c r="E288" i="30"/>
  <c r="C288" i="30"/>
  <c r="E270" i="30"/>
  <c r="C270" i="30"/>
  <c r="E269" i="30"/>
  <c r="C269" i="30"/>
  <c r="W268" i="30"/>
  <c r="X268" i="30" s="1"/>
  <c r="E268" i="30"/>
  <c r="C268" i="30"/>
  <c r="W301" i="30"/>
  <c r="X301" i="30" s="1"/>
  <c r="E301" i="30"/>
  <c r="C301" i="30"/>
  <c r="W279" i="30"/>
  <c r="X279" i="30" s="1"/>
  <c r="E279" i="30"/>
  <c r="C279" i="30"/>
  <c r="W291" i="30"/>
  <c r="X291" i="30" s="1"/>
  <c r="E291" i="30"/>
  <c r="C291" i="30"/>
  <c r="W277" i="30"/>
  <c r="X277" i="30" s="1"/>
  <c r="E277" i="30"/>
  <c r="C277" i="30"/>
  <c r="W319" i="30"/>
  <c r="X319" i="30" s="1"/>
  <c r="E319" i="30"/>
  <c r="C319" i="30"/>
  <c r="W261" i="30"/>
  <c r="X261" i="30" s="1"/>
  <c r="E261" i="30"/>
  <c r="C261" i="30"/>
  <c r="W227" i="30"/>
  <c r="X227" i="30" s="1"/>
  <c r="E227" i="30"/>
  <c r="C227" i="30"/>
  <c r="W275" i="30"/>
  <c r="X275" i="30" s="1"/>
  <c r="E275" i="30"/>
  <c r="C275" i="30"/>
  <c r="W205" i="30"/>
  <c r="X205" i="30" s="1"/>
  <c r="E205" i="30"/>
  <c r="C205" i="30"/>
  <c r="W247" i="30"/>
  <c r="X247" i="30" s="1"/>
  <c r="E247" i="30"/>
  <c r="C247" i="30"/>
  <c r="W253" i="30"/>
  <c r="X253" i="30" s="1"/>
  <c r="E253" i="30"/>
  <c r="C253" i="30"/>
  <c r="W278" i="30"/>
  <c r="X278" i="30" s="1"/>
  <c r="E278" i="30"/>
  <c r="C278" i="30"/>
  <c r="W314" i="30"/>
  <c r="X314" i="30" s="1"/>
  <c r="E314" i="30"/>
  <c r="C314" i="30"/>
  <c r="W346" i="30"/>
  <c r="X346" i="30" s="1"/>
  <c r="E346" i="30"/>
  <c r="C346" i="30"/>
  <c r="W290" i="30"/>
  <c r="X290" i="30" s="1"/>
  <c r="E290" i="30"/>
  <c r="C290" i="30"/>
  <c r="W182" i="30"/>
  <c r="X182" i="30" s="1"/>
  <c r="E182" i="30"/>
  <c r="C182" i="30"/>
  <c r="W181" i="30"/>
  <c r="X181" i="30" s="1"/>
  <c r="E181" i="30"/>
  <c r="C181" i="30"/>
  <c r="W180" i="30"/>
  <c r="X180" i="30" s="1"/>
  <c r="E180" i="30"/>
  <c r="C180" i="30"/>
  <c r="W214" i="30"/>
  <c r="X214" i="30" s="1"/>
  <c r="E214" i="30"/>
  <c r="C214" i="30"/>
  <c r="W184" i="30"/>
  <c r="X184" i="30" s="1"/>
  <c r="E184" i="30"/>
  <c r="C184" i="30"/>
  <c r="W164" i="30"/>
  <c r="X164" i="30" s="1"/>
  <c r="E164" i="30"/>
  <c r="C164" i="30"/>
  <c r="W173" i="30"/>
  <c r="X173" i="30" s="1"/>
  <c r="E173" i="30"/>
  <c r="C173" i="30"/>
  <c r="W175" i="30"/>
  <c r="X175" i="30" s="1"/>
  <c r="E175" i="30"/>
  <c r="C175" i="30"/>
  <c r="W169" i="30"/>
  <c r="X169" i="30" s="1"/>
  <c r="E169" i="30"/>
  <c r="C169" i="30"/>
  <c r="W172" i="30"/>
  <c r="X172" i="30" s="1"/>
  <c r="E172" i="30"/>
  <c r="C172" i="30"/>
  <c r="W176" i="30"/>
  <c r="X176" i="30" s="1"/>
  <c r="E176" i="30"/>
  <c r="C176" i="30"/>
  <c r="W187" i="30"/>
  <c r="X187" i="30" s="1"/>
  <c r="E187" i="30"/>
  <c r="C187" i="30"/>
  <c r="W170" i="30"/>
  <c r="X170" i="30" s="1"/>
  <c r="E170" i="30"/>
  <c r="C170" i="30"/>
  <c r="W189" i="30"/>
  <c r="X189" i="30" s="1"/>
  <c r="E189" i="30"/>
  <c r="C189" i="30"/>
  <c r="W197" i="30"/>
  <c r="X197" i="30" s="1"/>
  <c r="E197" i="30"/>
  <c r="C197" i="30"/>
  <c r="W141" i="30"/>
  <c r="X141" i="30" s="1"/>
  <c r="E141" i="30"/>
  <c r="C141" i="30"/>
  <c r="W163" i="30"/>
  <c r="X163" i="30" s="1"/>
  <c r="E163" i="30"/>
  <c r="C163" i="30"/>
  <c r="W153" i="30"/>
  <c r="X153" i="30" s="1"/>
  <c r="E153" i="30"/>
  <c r="C153" i="30"/>
  <c r="W179" i="30"/>
  <c r="X179" i="30" s="1"/>
  <c r="E179" i="30"/>
  <c r="C179" i="30"/>
  <c r="W177" i="30"/>
  <c r="X177" i="30" s="1"/>
  <c r="E177" i="30"/>
  <c r="C177" i="30"/>
  <c r="W209" i="30"/>
  <c r="X209" i="30" s="1"/>
  <c r="E209" i="30"/>
  <c r="C209" i="30"/>
  <c r="W208" i="30"/>
  <c r="X208" i="30" s="1"/>
  <c r="E208" i="30"/>
  <c r="C208" i="30"/>
  <c r="W183" i="30"/>
  <c r="X183" i="30" s="1"/>
  <c r="E183" i="30"/>
  <c r="C183" i="30"/>
  <c r="W159" i="30"/>
  <c r="X159" i="30" s="1"/>
  <c r="E159" i="30"/>
  <c r="C159" i="30"/>
  <c r="W140" i="30"/>
  <c r="X140" i="30" s="1"/>
  <c r="E140" i="30"/>
  <c r="C140" i="30"/>
  <c r="W136" i="30"/>
  <c r="X136" i="30" s="1"/>
  <c r="E136" i="30"/>
  <c r="C136" i="30"/>
  <c r="W158" i="30"/>
  <c r="X158" i="30" s="1"/>
  <c r="E158" i="30"/>
  <c r="C158" i="30"/>
  <c r="W178" i="30"/>
  <c r="X178" i="30" s="1"/>
  <c r="E178" i="30"/>
  <c r="C178" i="30"/>
  <c r="W154" i="30"/>
  <c r="X154" i="30" s="1"/>
  <c r="E154" i="30"/>
  <c r="C154" i="30"/>
  <c r="W185" i="30"/>
  <c r="X185" i="30" s="1"/>
  <c r="E185" i="30"/>
  <c r="C185" i="30"/>
  <c r="W149" i="30"/>
  <c r="X149" i="30" s="1"/>
  <c r="E149" i="30"/>
  <c r="C149" i="30"/>
  <c r="W135" i="30"/>
  <c r="X135" i="30" s="1"/>
  <c r="E135" i="30"/>
  <c r="C135" i="30"/>
  <c r="W201" i="30"/>
  <c r="X201" i="30" s="1"/>
  <c r="E201" i="30"/>
  <c r="C201" i="30"/>
  <c r="W144" i="30"/>
  <c r="X144" i="30" s="1"/>
  <c r="E144" i="30"/>
  <c r="C144" i="30"/>
  <c r="W161" i="30"/>
  <c r="X161" i="30" s="1"/>
  <c r="E161" i="30"/>
  <c r="C161" i="30"/>
  <c r="W160" i="30"/>
  <c r="X160" i="30" s="1"/>
  <c r="E160" i="30"/>
  <c r="C160" i="30"/>
  <c r="W225" i="30"/>
  <c r="X225" i="30" s="1"/>
  <c r="E225" i="30"/>
  <c r="C225" i="30"/>
  <c r="W127" i="30"/>
  <c r="X127" i="30" s="1"/>
  <c r="E127" i="30"/>
  <c r="C127" i="30"/>
  <c r="W162" i="30"/>
  <c r="X162" i="30" s="1"/>
  <c r="E162" i="30"/>
  <c r="C162" i="30"/>
  <c r="W174" i="30"/>
  <c r="X174" i="30" s="1"/>
  <c r="E174" i="30"/>
  <c r="C174" i="30"/>
  <c r="W212" i="30"/>
  <c r="X212" i="30" s="1"/>
  <c r="E212" i="30"/>
  <c r="C212" i="30"/>
  <c r="W156" i="30"/>
  <c r="X156" i="30" s="1"/>
  <c r="E156" i="30"/>
  <c r="C156" i="30"/>
  <c r="W134" i="30"/>
  <c r="X134" i="30" s="1"/>
  <c r="E134" i="30"/>
  <c r="C134" i="30"/>
  <c r="W133" i="30"/>
  <c r="X133" i="30" s="1"/>
  <c r="E133" i="30"/>
  <c r="C133" i="30"/>
  <c r="W132" i="30"/>
  <c r="X132" i="30" s="1"/>
  <c r="E132" i="30"/>
  <c r="C132" i="30"/>
  <c r="W131" i="30"/>
  <c r="X131" i="30" s="1"/>
  <c r="E131" i="30"/>
  <c r="C131" i="30"/>
  <c r="W130" i="30"/>
  <c r="X130" i="30" s="1"/>
  <c r="E130" i="30"/>
  <c r="C130" i="30"/>
  <c r="W129" i="30"/>
  <c r="X129" i="30" s="1"/>
  <c r="E129" i="30"/>
  <c r="C129" i="30"/>
  <c r="W139" i="30"/>
  <c r="X139" i="30" s="1"/>
  <c r="E139" i="30"/>
  <c r="C139" i="30"/>
  <c r="W138" i="30"/>
  <c r="X138" i="30" s="1"/>
  <c r="E138" i="30"/>
  <c r="C138" i="30"/>
  <c r="W137" i="30"/>
  <c r="X137" i="30" s="1"/>
  <c r="E137" i="30"/>
  <c r="C137" i="30"/>
  <c r="W211" i="30"/>
  <c r="X211" i="30" s="1"/>
  <c r="E211" i="30"/>
  <c r="C211" i="30"/>
  <c r="W168" i="30"/>
  <c r="X168" i="30" s="1"/>
  <c r="E168" i="30"/>
  <c r="C168" i="30"/>
  <c r="W157" i="30"/>
  <c r="X157" i="30" s="1"/>
  <c r="E157" i="30"/>
  <c r="C157" i="30"/>
  <c r="W188" i="30"/>
  <c r="X188" i="30" s="1"/>
  <c r="E188" i="30"/>
  <c r="C188" i="30"/>
  <c r="W143" i="30"/>
  <c r="X143" i="30" s="1"/>
  <c r="E143" i="30"/>
  <c r="C143" i="30"/>
  <c r="W142" i="30"/>
  <c r="X142" i="30" s="1"/>
  <c r="E142" i="30"/>
  <c r="C142" i="30"/>
  <c r="W200" i="30"/>
  <c r="X200" i="30" s="1"/>
  <c r="E200" i="30"/>
  <c r="C200" i="30"/>
  <c r="W202" i="30"/>
  <c r="X202" i="30" s="1"/>
  <c r="E202" i="30"/>
  <c r="C202" i="30"/>
  <c r="W145" i="30"/>
  <c r="X145" i="30" s="1"/>
  <c r="E145" i="30"/>
  <c r="C145" i="30"/>
  <c r="W128" i="30"/>
  <c r="X128" i="30" s="1"/>
  <c r="E128" i="30"/>
  <c r="C128" i="30"/>
  <c r="W204" i="30"/>
  <c r="X204" i="30" s="1"/>
  <c r="E204" i="30"/>
  <c r="C204" i="30"/>
  <c r="W207" i="30"/>
  <c r="X207" i="30" s="1"/>
  <c r="E207" i="30"/>
  <c r="C207" i="30"/>
  <c r="W171" i="30"/>
  <c r="X171" i="30" s="1"/>
  <c r="E171" i="30"/>
  <c r="C171" i="30"/>
  <c r="W151" i="30"/>
  <c r="X151" i="30" s="1"/>
  <c r="E151" i="30"/>
  <c r="C151" i="30"/>
  <c r="W150" i="30"/>
  <c r="X150" i="30" s="1"/>
  <c r="E150" i="30"/>
  <c r="C150" i="30"/>
  <c r="W152" i="30"/>
  <c r="X152" i="30" s="1"/>
  <c r="E152" i="30"/>
  <c r="C152" i="30"/>
  <c r="W147" i="30"/>
  <c r="X147" i="30" s="1"/>
  <c r="E147" i="30"/>
  <c r="C147" i="30"/>
  <c r="W146" i="30"/>
  <c r="X146" i="30" s="1"/>
  <c r="E146" i="30"/>
  <c r="C146" i="30"/>
  <c r="N148" i="30"/>
  <c r="C148" i="30"/>
  <c r="W186" i="30"/>
  <c r="X186" i="30" s="1"/>
  <c r="E186" i="30"/>
  <c r="C186" i="30"/>
  <c r="W155" i="30"/>
  <c r="X155" i="30" s="1"/>
  <c r="E155" i="30"/>
  <c r="C155" i="30"/>
  <c r="S148" i="30" l="1"/>
  <c r="U148" i="30"/>
  <c r="T148" i="30"/>
  <c r="V148" i="30"/>
  <c r="W148" i="30"/>
  <c r="X148" i="30" s="1"/>
  <c r="E148" i="30"/>
  <c r="W505" i="30" l="1"/>
  <c r="X505" i="30" s="1"/>
  <c r="E505" i="30"/>
  <c r="C505" i="30"/>
  <c r="W504" i="30"/>
  <c r="X504" i="30" s="1"/>
  <c r="E504" i="30"/>
  <c r="C504" i="30"/>
  <c r="W547" i="30"/>
  <c r="X547" i="30" s="1"/>
  <c r="E547" i="30"/>
  <c r="C547" i="30"/>
  <c r="W546" i="30"/>
  <c r="X546" i="30" s="1"/>
  <c r="E546" i="30"/>
  <c r="C546" i="30"/>
  <c r="W569" i="30"/>
  <c r="X569" i="30" s="1"/>
  <c r="E569" i="30"/>
  <c r="C569" i="30"/>
  <c r="W573" i="30"/>
  <c r="X573" i="30" s="1"/>
  <c r="E573" i="30"/>
  <c r="C573" i="30"/>
  <c r="W572" i="30"/>
  <c r="X572" i="30" s="1"/>
  <c r="E572" i="30"/>
  <c r="C572" i="30"/>
  <c r="C632" i="30"/>
  <c r="W478" i="30" l="1"/>
  <c r="X478" i="30" s="1"/>
  <c r="W477" i="30"/>
  <c r="X477" i="30" s="1"/>
  <c r="E475" i="30"/>
  <c r="E476" i="30"/>
  <c r="E477" i="30"/>
  <c r="E478" i="30"/>
  <c r="E479" i="30"/>
  <c r="C474" i="30"/>
  <c r="C475" i="30"/>
  <c r="C476" i="30"/>
  <c r="C477" i="30"/>
  <c r="C478" i="30"/>
  <c r="C479" i="30"/>
  <c r="W475" i="30"/>
  <c r="X475" i="30" s="1"/>
  <c r="W476" i="30"/>
  <c r="X476" i="30" s="1"/>
  <c r="W479" i="30"/>
  <c r="X479" i="30" s="1"/>
  <c r="W473" i="30"/>
  <c r="X473" i="30" s="1"/>
  <c r="E473" i="30"/>
  <c r="W472" i="30"/>
  <c r="X472" i="30" s="1"/>
  <c r="W471" i="30"/>
  <c r="X471" i="30" s="1"/>
  <c r="W469" i="30"/>
  <c r="X469" i="30" s="1"/>
  <c r="W466" i="30"/>
  <c r="X466" i="30" s="1"/>
  <c r="W464" i="30"/>
  <c r="X464" i="30" s="1"/>
  <c r="C464" i="30"/>
  <c r="E464" i="30"/>
  <c r="C465" i="30"/>
  <c r="E465" i="30"/>
  <c r="W465" i="30"/>
  <c r="X465" i="30" s="1"/>
  <c r="C466" i="30"/>
  <c r="E466" i="30"/>
  <c r="C467" i="30"/>
  <c r="E467" i="30"/>
  <c r="W467" i="30"/>
  <c r="X467" i="30" s="1"/>
  <c r="C468" i="30"/>
  <c r="E468" i="30"/>
  <c r="W468" i="30"/>
  <c r="X468" i="30" s="1"/>
  <c r="C469" i="30"/>
  <c r="E469" i="30"/>
  <c r="C470" i="30"/>
  <c r="E470" i="30"/>
  <c r="W470" i="30"/>
  <c r="X470" i="30" s="1"/>
  <c r="C471" i="30"/>
  <c r="E471" i="30"/>
  <c r="C472" i="30"/>
  <c r="E472" i="30"/>
  <c r="C473" i="30"/>
  <c r="E474" i="30"/>
  <c r="W474" i="30"/>
  <c r="X474" i="30" s="1"/>
  <c r="W462" i="30"/>
  <c r="X462" i="30" s="1"/>
  <c r="E462" i="30"/>
  <c r="W460" i="30"/>
  <c r="X460" i="30" s="1"/>
  <c r="W458" i="30"/>
  <c r="X458" i="30" s="1"/>
  <c r="W457" i="30"/>
  <c r="X457" i="30" s="1"/>
  <c r="W456" i="30"/>
  <c r="X456" i="30" s="1"/>
  <c r="W453" i="30"/>
  <c r="X453" i="30" s="1"/>
  <c r="W451" i="30"/>
  <c r="X451" i="30" s="1"/>
  <c r="E451" i="30"/>
  <c r="W449" i="30"/>
  <c r="X449" i="30" s="1"/>
  <c r="C446" i="30"/>
  <c r="C447" i="30"/>
  <c r="C448" i="30"/>
  <c r="C449" i="30"/>
  <c r="C450" i="30"/>
  <c r="C451" i="30"/>
  <c r="C452" i="30"/>
  <c r="C453" i="30"/>
  <c r="C454" i="30"/>
  <c r="C455" i="30"/>
  <c r="C456" i="30"/>
  <c r="C457" i="30"/>
  <c r="C458" i="30"/>
  <c r="C459" i="30"/>
  <c r="C460" i="30"/>
  <c r="C461" i="30"/>
  <c r="C462" i="30"/>
  <c r="C463" i="30"/>
  <c r="W463" i="30"/>
  <c r="X463" i="30" s="1"/>
  <c r="W461" i="30"/>
  <c r="X461" i="30" s="1"/>
  <c r="W459" i="30"/>
  <c r="X459" i="30" s="1"/>
  <c r="W455" i="30"/>
  <c r="X455" i="30" s="1"/>
  <c r="W454" i="30"/>
  <c r="X454" i="30" s="1"/>
  <c r="W452" i="30"/>
  <c r="X452" i="30" s="1"/>
  <c r="W450" i="30"/>
  <c r="X450" i="30" s="1"/>
  <c r="W448" i="30"/>
  <c r="X448" i="30" s="1"/>
  <c r="E448" i="30"/>
  <c r="E449" i="30"/>
  <c r="E450" i="30"/>
  <c r="E452" i="30"/>
  <c r="E453" i="30"/>
  <c r="E454" i="30"/>
  <c r="E455" i="30"/>
  <c r="E456" i="30"/>
  <c r="E457" i="30"/>
  <c r="E458" i="30"/>
  <c r="E459" i="30"/>
  <c r="E460" i="30"/>
  <c r="E461" i="30"/>
  <c r="E463" i="30"/>
  <c r="E443" i="30"/>
  <c r="E444" i="30"/>
  <c r="E445" i="30"/>
  <c r="E446" i="30"/>
  <c r="E447" i="30"/>
  <c r="W447" i="30"/>
  <c r="X447" i="30" s="1"/>
  <c r="W446" i="30"/>
  <c r="X446" i="30" s="1"/>
  <c r="W445" i="30"/>
  <c r="X445" i="30" s="1"/>
  <c r="W444" i="30"/>
  <c r="X444" i="30" s="1"/>
  <c r="C445" i="30"/>
  <c r="C444" i="30"/>
  <c r="W443" i="30"/>
  <c r="X443" i="30" s="1"/>
  <c r="C443" i="30"/>
  <c r="W66" i="30" l="1"/>
  <c r="X66" i="30" s="1"/>
  <c r="W56" i="30"/>
  <c r="X56" i="30" s="1"/>
  <c r="W64" i="30"/>
  <c r="X64" i="30" s="1"/>
  <c r="W67" i="30"/>
  <c r="X67" i="30" s="1"/>
  <c r="W71" i="30"/>
  <c r="X71" i="30" s="1"/>
  <c r="W35" i="30"/>
  <c r="X35" i="30" s="1"/>
  <c r="W34" i="30"/>
  <c r="X34" i="30" s="1"/>
  <c r="W65" i="30"/>
  <c r="X65" i="30" s="1"/>
  <c r="E56" i="30"/>
  <c r="E64" i="30"/>
  <c r="E67" i="30"/>
  <c r="E71" i="30"/>
  <c r="E35" i="30"/>
  <c r="E34" i="30"/>
  <c r="E65" i="30"/>
  <c r="E66" i="30"/>
  <c r="C56" i="30"/>
  <c r="C64" i="30"/>
  <c r="C67" i="30"/>
  <c r="C71" i="30"/>
  <c r="C35" i="30"/>
  <c r="C34" i="30"/>
  <c r="C65" i="30"/>
  <c r="C66" i="30"/>
  <c r="C48" i="30"/>
  <c r="W48" i="30"/>
  <c r="X48" i="30" s="1"/>
  <c r="W51" i="30"/>
  <c r="X51" i="30" s="1"/>
  <c r="W50" i="30"/>
  <c r="X50" i="30" s="1"/>
  <c r="E50" i="30"/>
  <c r="E51" i="30"/>
  <c r="E48" i="30"/>
  <c r="W49" i="30"/>
  <c r="X49" i="30" s="1"/>
  <c r="W38" i="30"/>
  <c r="X38" i="30" s="1"/>
  <c r="W37" i="30"/>
  <c r="X37" i="30" s="1"/>
  <c r="W36" i="30"/>
  <c r="X36" i="30" s="1"/>
  <c r="W58" i="30"/>
  <c r="X58" i="30" s="1"/>
  <c r="E58" i="30"/>
  <c r="W57" i="30"/>
  <c r="X57" i="30" s="1"/>
  <c r="W41" i="30"/>
  <c r="X41" i="30" s="1"/>
  <c r="W40" i="30"/>
  <c r="X40" i="30" s="1"/>
  <c r="E41" i="30"/>
  <c r="E40" i="30"/>
  <c r="W39" i="30"/>
  <c r="X39" i="30" s="1"/>
  <c r="W60" i="30"/>
  <c r="X60" i="30" s="1"/>
  <c r="E61" i="30"/>
  <c r="E62" i="30"/>
  <c r="E63" i="30"/>
  <c r="E52" i="30"/>
  <c r="E53" i="30"/>
  <c r="E54" i="30"/>
  <c r="E55" i="30"/>
  <c r="E59" i="30"/>
  <c r="E60" i="30"/>
  <c r="E39" i="30"/>
  <c r="E57" i="30"/>
  <c r="E36" i="30"/>
  <c r="E37" i="30"/>
  <c r="E38" i="30"/>
  <c r="E49" i="30"/>
  <c r="W59" i="30"/>
  <c r="X59" i="30" s="1"/>
  <c r="W55" i="30"/>
  <c r="X55" i="30" s="1"/>
  <c r="W54" i="30"/>
  <c r="X54" i="30" s="1"/>
  <c r="W53" i="30"/>
  <c r="X53" i="30" s="1"/>
  <c r="W52" i="30"/>
  <c r="X52" i="30" s="1"/>
  <c r="W63" i="30"/>
  <c r="X63" i="30" s="1"/>
  <c r="W62" i="30"/>
  <c r="X62" i="30" s="1"/>
  <c r="W61" i="30"/>
  <c r="X61" i="30" s="1"/>
  <c r="E47" i="30"/>
  <c r="E46" i="30"/>
  <c r="E45" i="30"/>
  <c r="E44" i="30"/>
  <c r="W47" i="30"/>
  <c r="X47" i="30" s="1"/>
  <c r="W46" i="30"/>
  <c r="X46" i="30" s="1"/>
  <c r="W45" i="30"/>
  <c r="X45" i="30" s="1"/>
  <c r="W44" i="30"/>
  <c r="X44" i="30" s="1"/>
  <c r="E42" i="30"/>
  <c r="W42" i="30"/>
  <c r="X42" i="30" s="1"/>
  <c r="C52" i="30"/>
  <c r="C53" i="30"/>
  <c r="C54" i="30"/>
  <c r="C55" i="30"/>
  <c r="C59" i="30"/>
  <c r="C60" i="30"/>
  <c r="C39" i="30"/>
  <c r="C40" i="30"/>
  <c r="C41" i="30"/>
  <c r="C57" i="30"/>
  <c r="C58" i="30"/>
  <c r="C36" i="30"/>
  <c r="C37" i="30"/>
  <c r="C38" i="30"/>
  <c r="C49" i="30"/>
  <c r="C50" i="30"/>
  <c r="C51" i="30"/>
  <c r="E70" i="30"/>
  <c r="W70" i="30"/>
  <c r="X70" i="30" s="1"/>
  <c r="E69" i="30"/>
  <c r="W69" i="30"/>
  <c r="X69" i="30" s="1"/>
  <c r="E68" i="30"/>
  <c r="W68" i="30"/>
  <c r="X68" i="30" s="1"/>
  <c r="C68" i="30"/>
  <c r="C69" i="30"/>
  <c r="C70" i="30"/>
  <c r="C42" i="30"/>
  <c r="C44" i="30"/>
  <c r="C45" i="30"/>
  <c r="C46" i="30"/>
  <c r="C47" i="30"/>
  <c r="C61" i="30"/>
  <c r="C62" i="30"/>
  <c r="C63" i="30"/>
  <c r="C3" i="30"/>
  <c r="W108" i="30"/>
  <c r="X108" i="30" s="1"/>
  <c r="W107" i="30"/>
  <c r="X107" i="30" s="1"/>
  <c r="W106" i="30"/>
  <c r="X106" i="30" s="1"/>
  <c r="W105" i="30"/>
  <c r="X105" i="30" s="1"/>
  <c r="E108" i="30"/>
  <c r="E107" i="30"/>
  <c r="E106" i="30"/>
  <c r="E105" i="30"/>
  <c r="C108" i="30"/>
  <c r="C107" i="30"/>
  <c r="W117" i="30"/>
  <c r="X117" i="30" s="1"/>
  <c r="W92" i="30"/>
  <c r="X92" i="30" s="1"/>
  <c r="W103" i="30"/>
  <c r="X103" i="30" s="1"/>
  <c r="W102" i="30"/>
  <c r="X102" i="30" s="1"/>
  <c r="W101" i="30"/>
  <c r="X101" i="30" s="1"/>
  <c r="W100" i="30"/>
  <c r="X100" i="30" s="1"/>
  <c r="W99" i="30"/>
  <c r="X99" i="30" s="1"/>
  <c r="W115" i="30"/>
  <c r="X115" i="30" s="1"/>
  <c r="W114" i="30"/>
  <c r="X114" i="30" s="1"/>
  <c r="W113" i="30"/>
  <c r="X113" i="30" s="1"/>
  <c r="W112" i="30"/>
  <c r="X112" i="30" s="1"/>
  <c r="W111" i="30"/>
  <c r="X111" i="30" s="1"/>
  <c r="W110" i="30"/>
  <c r="X110" i="30" s="1"/>
  <c r="W76" i="30"/>
  <c r="X76" i="30" s="1"/>
  <c r="W75" i="30"/>
  <c r="X75" i="30" s="1"/>
  <c r="W74" i="30"/>
  <c r="X74" i="30" s="1"/>
  <c r="W73" i="30"/>
  <c r="X73" i="30" s="1"/>
  <c r="W94" i="30"/>
  <c r="X94" i="30" s="1"/>
  <c r="C76" i="30"/>
  <c r="C109" i="30"/>
  <c r="C110" i="30"/>
  <c r="C111" i="30"/>
  <c r="C112" i="30"/>
  <c r="C113" i="30"/>
  <c r="C114" i="30"/>
  <c r="C115" i="30"/>
  <c r="C98" i="30"/>
  <c r="C99" i="30"/>
  <c r="C100" i="30"/>
  <c r="C101" i="30"/>
  <c r="C102" i="30"/>
  <c r="C103" i="30"/>
  <c r="C91" i="30"/>
  <c r="C92" i="30"/>
  <c r="C116" i="30"/>
  <c r="C117" i="30"/>
  <c r="C104" i="30"/>
  <c r="C105" i="30"/>
  <c r="C106" i="30"/>
  <c r="W126" i="30"/>
  <c r="X126" i="30" s="1"/>
  <c r="E126" i="30"/>
  <c r="E93" i="30"/>
  <c r="E94" i="30"/>
  <c r="E72" i="30"/>
  <c r="E73" i="30"/>
  <c r="E74" i="30"/>
  <c r="E75" i="30"/>
  <c r="E76" i="30"/>
  <c r="E109" i="30"/>
  <c r="E110" i="30"/>
  <c r="E111" i="30"/>
  <c r="E112" i="30"/>
  <c r="E113" i="30"/>
  <c r="E114" i="30"/>
  <c r="E115" i="30"/>
  <c r="E98" i="30"/>
  <c r="E99" i="30"/>
  <c r="E100" i="30"/>
  <c r="E101" i="30"/>
  <c r="E102" i="30"/>
  <c r="E103" i="30"/>
  <c r="E91" i="30"/>
  <c r="E92" i="30"/>
  <c r="E116" i="30"/>
  <c r="E117" i="30"/>
  <c r="E104" i="30"/>
  <c r="W93" i="30"/>
  <c r="X93" i="30" s="1"/>
  <c r="W72" i="30"/>
  <c r="X72" i="30" s="1"/>
  <c r="W109" i="30"/>
  <c r="X109" i="30" s="1"/>
  <c r="W98" i="30"/>
  <c r="X98" i="30" s="1"/>
  <c r="W91" i="30"/>
  <c r="X91" i="30" s="1"/>
  <c r="W116" i="30"/>
  <c r="X116" i="30" s="1"/>
  <c r="W104" i="30"/>
  <c r="X104" i="30" s="1"/>
  <c r="W125" i="30"/>
  <c r="X125" i="30" s="1"/>
  <c r="W78" i="30"/>
  <c r="X78" i="30" s="1"/>
  <c r="E78" i="30"/>
  <c r="W77" i="30"/>
  <c r="X77" i="30" s="1"/>
  <c r="E77" i="30"/>
  <c r="W90" i="30"/>
  <c r="X90" i="30" s="1"/>
  <c r="W89" i="30"/>
  <c r="X89" i="30" s="1"/>
  <c r="E90" i="30"/>
  <c r="E89" i="30"/>
  <c r="W88" i="30"/>
  <c r="X88" i="30" s="1"/>
  <c r="W121" i="30"/>
  <c r="X121" i="30" s="1"/>
  <c r="W120" i="30"/>
  <c r="X120" i="30" s="1"/>
  <c r="W119" i="30"/>
  <c r="X119" i="30" s="1"/>
  <c r="E121" i="30"/>
  <c r="E120" i="30"/>
  <c r="E119" i="30"/>
  <c r="C119" i="30"/>
  <c r="C120" i="30"/>
  <c r="C121" i="30"/>
  <c r="C88" i="30"/>
  <c r="C89" i="30"/>
  <c r="C90" i="30"/>
  <c r="C77" i="30"/>
  <c r="C78" i="30"/>
  <c r="C125" i="30"/>
  <c r="C126" i="30"/>
  <c r="C93" i="30"/>
  <c r="C94" i="30"/>
  <c r="C72" i="30"/>
  <c r="C73" i="30"/>
  <c r="C74" i="30"/>
  <c r="C75" i="30"/>
  <c r="W118" i="30"/>
  <c r="X118" i="30" s="1"/>
  <c r="E118" i="30"/>
  <c r="E88" i="30"/>
  <c r="E125" i="30"/>
  <c r="E122" i="30"/>
  <c r="E123" i="30"/>
  <c r="E124" i="30"/>
  <c r="E79" i="30"/>
  <c r="E80" i="30"/>
  <c r="E81" i="30"/>
  <c r="E82" i="30"/>
  <c r="E83" i="30"/>
  <c r="E84" i="30"/>
  <c r="E85" i="30"/>
  <c r="E86" i="30"/>
  <c r="E87" i="30"/>
  <c r="W87" i="30"/>
  <c r="X87" i="30" s="1"/>
  <c r="W86" i="30"/>
  <c r="X86" i="30" s="1"/>
  <c r="W85" i="30"/>
  <c r="X85" i="30" s="1"/>
  <c r="W84" i="30"/>
  <c r="X84" i="30" s="1"/>
  <c r="W79" i="30"/>
  <c r="X79" i="30" s="1"/>
  <c r="C79" i="30"/>
  <c r="W83" i="30"/>
  <c r="X83" i="30" s="1"/>
  <c r="W82" i="30"/>
  <c r="X82" i="30" s="1"/>
  <c r="W81" i="30"/>
  <c r="X81" i="30" s="1"/>
  <c r="W80" i="30"/>
  <c r="X80" i="30" s="1"/>
  <c r="W124" i="30"/>
  <c r="X124" i="30" s="1"/>
  <c r="W123" i="30"/>
  <c r="X123" i="30" s="1"/>
  <c r="W122" i="30"/>
  <c r="X122" i="30" s="1"/>
  <c r="W97" i="30"/>
  <c r="X97" i="30" s="1"/>
  <c r="W96" i="30"/>
  <c r="X96" i="30" s="1"/>
  <c r="E97" i="30"/>
  <c r="E96" i="30"/>
  <c r="C95" i="30"/>
  <c r="C96" i="30"/>
  <c r="C97" i="30"/>
  <c r="C122" i="30"/>
  <c r="C123" i="30"/>
  <c r="C124" i="30"/>
  <c r="C80" i="30"/>
  <c r="C81" i="30"/>
  <c r="C82" i="30"/>
  <c r="C83" i="30"/>
  <c r="C84" i="30"/>
  <c r="C85" i="30"/>
  <c r="C86" i="30"/>
  <c r="C87" i="30"/>
  <c r="C118" i="30"/>
  <c r="W95" i="30"/>
  <c r="X95" i="30" s="1"/>
  <c r="E14" i="30"/>
  <c r="C15" i="30"/>
  <c r="C16" i="30"/>
  <c r="C9" i="30"/>
  <c r="C8" i="30"/>
  <c r="C7" i="30"/>
  <c r="C4" i="30"/>
  <c r="C5" i="30"/>
  <c r="C6" i="30"/>
  <c r="C14" i="30"/>
  <c r="C31" i="30"/>
  <c r="C21" i="30"/>
  <c r="C17" i="30"/>
  <c r="C24" i="30"/>
  <c r="C25" i="30"/>
  <c r="C32" i="30"/>
  <c r="C33" i="30"/>
  <c r="W6" i="30"/>
  <c r="X6" i="30" s="1"/>
  <c r="W5" i="30"/>
  <c r="X5" i="30" s="1"/>
  <c r="E5" i="30"/>
  <c r="O4" i="30"/>
  <c r="P4" i="30"/>
  <c r="S4" i="30" s="1"/>
  <c r="Q4" i="30"/>
  <c r="E4" i="30"/>
  <c r="E30" i="30"/>
  <c r="E13" i="30"/>
  <c r="E18" i="30"/>
  <c r="E19" i="30"/>
  <c r="E20" i="30"/>
  <c r="E15" i="30"/>
  <c r="E16" i="30"/>
  <c r="E9" i="30"/>
  <c r="E8" i="30"/>
  <c r="E7" i="30"/>
  <c r="E6" i="30"/>
  <c r="E31" i="30"/>
  <c r="E21" i="30"/>
  <c r="E17" i="30"/>
  <c r="E24" i="30"/>
  <c r="E25" i="30"/>
  <c r="E32" i="30"/>
  <c r="E33" i="30"/>
  <c r="E95" i="30"/>
  <c r="E28" i="30"/>
  <c r="E29" i="30"/>
  <c r="W16" i="30"/>
  <c r="X16" i="30" s="1"/>
  <c r="W20" i="30"/>
  <c r="X20" i="30" s="1"/>
  <c r="W19" i="30"/>
  <c r="X19" i="30" s="1"/>
  <c r="C20" i="30"/>
  <c r="C19" i="30"/>
  <c r="W15" i="30"/>
  <c r="X15" i="30" s="1"/>
  <c r="W9" i="30"/>
  <c r="X9" i="30" s="1"/>
  <c r="W8" i="30"/>
  <c r="X8" i="30" s="1"/>
  <c r="W7" i="30"/>
  <c r="X7" i="30" s="1"/>
  <c r="T4" i="30"/>
  <c r="U4" i="30"/>
  <c r="W4" i="30"/>
  <c r="X4" i="30" s="1"/>
  <c r="W14" i="30"/>
  <c r="X14" i="30" s="1"/>
  <c r="W31" i="30"/>
  <c r="X31" i="30" s="1"/>
  <c r="W21" i="30"/>
  <c r="X21" i="30" s="1"/>
  <c r="W17" i="30"/>
  <c r="X17" i="30" s="1"/>
  <c r="W24" i="30"/>
  <c r="X24" i="30" s="1"/>
  <c r="W25" i="30"/>
  <c r="X25" i="30" s="1"/>
  <c r="W32" i="30"/>
  <c r="X32" i="30" s="1"/>
  <c r="W33" i="30"/>
  <c r="X33" i="30" s="1"/>
  <c r="W18" i="30"/>
  <c r="X18" i="30" s="1"/>
  <c r="C18" i="30"/>
  <c r="W13" i="30"/>
  <c r="X13" i="30" s="1"/>
  <c r="C13" i="30"/>
  <c r="W30" i="30"/>
  <c r="X30" i="30" s="1"/>
  <c r="C30" i="30"/>
  <c r="W29" i="30"/>
  <c r="X29" i="30" s="1"/>
  <c r="C29" i="30"/>
  <c r="W28" i="30"/>
  <c r="X28" i="30" s="1"/>
  <c r="C28" i="30"/>
  <c r="W27" i="30"/>
  <c r="X27" i="30" s="1"/>
  <c r="E27" i="30"/>
  <c r="C27" i="30"/>
  <c r="E26" i="30"/>
  <c r="W26" i="30"/>
  <c r="X26" i="30" s="1"/>
  <c r="C26" i="30"/>
  <c r="W23" i="30"/>
  <c r="X23" i="30" s="1"/>
  <c r="E23" i="30"/>
  <c r="C23" i="30"/>
  <c r="W22" i="30"/>
  <c r="X22" i="30" s="1"/>
  <c r="E22" i="30"/>
  <c r="C22" i="30"/>
  <c r="W12" i="30"/>
  <c r="X12" i="30" s="1"/>
  <c r="E12" i="30"/>
  <c r="C12" i="30"/>
  <c r="W11" i="30"/>
  <c r="X11" i="30" s="1"/>
  <c r="E11" i="30"/>
  <c r="E10" i="30"/>
  <c r="C11" i="30"/>
  <c r="C10" i="30"/>
  <c r="W10" i="30"/>
  <c r="X10" i="30" s="1"/>
  <c r="C482" i="30" l="1"/>
  <c r="C483" i="30"/>
  <c r="C484" i="30"/>
  <c r="C485" i="30"/>
  <c r="C486" i="30"/>
  <c r="C487" i="30"/>
  <c r="C488" i="30"/>
  <c r="C489" i="30"/>
  <c r="C490" i="30"/>
  <c r="C491" i="30"/>
  <c r="C492" i="30"/>
  <c r="C493" i="30"/>
  <c r="C494" i="30"/>
  <c r="C495" i="30"/>
  <c r="C496" i="30"/>
  <c r="C497" i="30"/>
  <c r="C498" i="30"/>
  <c r="C499" i="30"/>
  <c r="C500" i="30"/>
  <c r="C501" i="30"/>
  <c r="C502" i="30"/>
  <c r="C503" i="30"/>
  <c r="C506" i="30"/>
  <c r="C507" i="30"/>
  <c r="C508" i="30"/>
  <c r="C509" i="30"/>
  <c r="C510" i="30"/>
  <c r="C511" i="30"/>
  <c r="C512" i="30"/>
  <c r="C513" i="30"/>
  <c r="C514" i="30"/>
  <c r="C515" i="30"/>
  <c r="C516" i="30"/>
  <c r="C517" i="30"/>
  <c r="C518" i="30"/>
  <c r="C519" i="30"/>
  <c r="C520" i="30"/>
  <c r="C521" i="30"/>
  <c r="C522" i="30"/>
  <c r="C523" i="30"/>
  <c r="C524" i="30"/>
  <c r="C525" i="30"/>
  <c r="C526" i="30"/>
  <c r="C527" i="30"/>
  <c r="C528" i="30"/>
  <c r="C529" i="30"/>
  <c r="C530" i="30"/>
  <c r="C531" i="30"/>
  <c r="C532" i="30"/>
  <c r="C533" i="30"/>
  <c r="C534" i="30"/>
  <c r="C535" i="30"/>
  <c r="C536" i="30"/>
  <c r="C537" i="30"/>
  <c r="C538" i="30"/>
  <c r="C539" i="30"/>
  <c r="C540" i="30"/>
  <c r="C541" i="30"/>
  <c r="C542" i="30"/>
  <c r="C543" i="30"/>
  <c r="C544" i="30"/>
  <c r="C545" i="30"/>
  <c r="C548" i="30"/>
  <c r="C549" i="30"/>
  <c r="C550" i="30"/>
  <c r="C551" i="30"/>
  <c r="C552" i="30"/>
  <c r="C553" i="30"/>
  <c r="C554" i="30"/>
  <c r="C555" i="30"/>
  <c r="C556" i="30"/>
  <c r="C557" i="30"/>
  <c r="C558" i="30"/>
  <c r="C559" i="30"/>
  <c r="C560" i="30"/>
  <c r="C561" i="30"/>
  <c r="C562" i="30"/>
  <c r="C563" i="30"/>
  <c r="C564" i="30"/>
  <c r="C565" i="30"/>
  <c r="C566" i="30"/>
  <c r="C567" i="30"/>
  <c r="C568" i="30"/>
  <c r="C570" i="30"/>
  <c r="C571" i="30"/>
  <c r="C574" i="30"/>
  <c r="C575" i="30"/>
  <c r="C576" i="30"/>
  <c r="C577" i="30"/>
  <c r="C578" i="30"/>
  <c r="C579" i="30"/>
  <c r="C580" i="30"/>
  <c r="C581" i="30"/>
  <c r="C582" i="30"/>
  <c r="C583" i="30"/>
  <c r="C584" i="30"/>
  <c r="C585" i="30"/>
  <c r="C586" i="30"/>
  <c r="C587" i="30"/>
  <c r="C588" i="30"/>
  <c r="C589" i="30"/>
  <c r="C590" i="30"/>
  <c r="C591" i="30"/>
  <c r="C592" i="30"/>
  <c r="C593" i="30"/>
  <c r="C594" i="30"/>
  <c r="C595" i="30"/>
  <c r="C596" i="30"/>
  <c r="C597" i="30"/>
  <c r="C598" i="30"/>
  <c r="C599" i="30"/>
  <c r="C600" i="30"/>
  <c r="C601" i="30"/>
  <c r="C602" i="30"/>
  <c r="C603" i="30"/>
  <c r="C604" i="30"/>
  <c r="C605" i="30"/>
  <c r="C606" i="30"/>
  <c r="C607" i="30"/>
  <c r="C608" i="30"/>
  <c r="C609" i="30"/>
  <c r="C610" i="30"/>
  <c r="C611" i="30"/>
  <c r="C612" i="30"/>
  <c r="C613" i="30"/>
  <c r="C614" i="30"/>
  <c r="C615" i="30"/>
  <c r="C616" i="30"/>
  <c r="C617" i="30"/>
  <c r="C618" i="30"/>
  <c r="C619" i="30"/>
  <c r="C620" i="30"/>
  <c r="C621" i="30"/>
  <c r="C622" i="30"/>
  <c r="C623" i="30"/>
  <c r="C624" i="30"/>
  <c r="C631" i="30"/>
  <c r="C481" i="30"/>
  <c r="C480" i="30"/>
  <c r="W631" i="30" l="1"/>
  <c r="X631" i="30" s="1"/>
  <c r="E512" i="30" l="1"/>
  <c r="E513" i="30"/>
  <c r="E514" i="30"/>
  <c r="E515" i="30"/>
  <c r="E518" i="30"/>
  <c r="E524" i="30"/>
  <c r="E525" i="30"/>
  <c r="E526" i="30"/>
  <c r="E527" i="30"/>
  <c r="E528" i="30"/>
  <c r="E529" i="30"/>
  <c r="E530" i="30"/>
  <c r="E531" i="30"/>
  <c r="E532" i="30"/>
  <c r="E533" i="30"/>
  <c r="E534" i="30"/>
  <c r="E535" i="30"/>
  <c r="E536" i="30"/>
  <c r="E537" i="30"/>
  <c r="E538" i="30"/>
  <c r="E539" i="30"/>
  <c r="E540" i="30"/>
  <c r="E541" i="30"/>
  <c r="E542" i="30"/>
  <c r="E543" i="30"/>
  <c r="E544" i="30"/>
  <c r="E545" i="30"/>
  <c r="E550" i="30"/>
  <c r="E551" i="30"/>
  <c r="E552" i="30"/>
  <c r="E553" i="30"/>
  <c r="E554" i="30"/>
  <c r="E555" i="30"/>
  <c r="E556" i="30"/>
  <c r="E557" i="30"/>
  <c r="E558" i="30"/>
  <c r="E559" i="30"/>
  <c r="E560" i="30"/>
  <c r="E561" i="30"/>
  <c r="E562" i="30"/>
  <c r="E563" i="30"/>
  <c r="E564" i="30"/>
  <c r="E565" i="30"/>
  <c r="E566" i="30"/>
  <c r="E567" i="30"/>
  <c r="E568" i="30"/>
  <c r="E570" i="30"/>
  <c r="E571" i="30"/>
  <c r="E574" i="30"/>
  <c r="E575" i="30"/>
  <c r="E576" i="30"/>
  <c r="E577" i="30"/>
  <c r="E578" i="30"/>
  <c r="E579" i="30"/>
  <c r="E580" i="30"/>
  <c r="E581" i="30"/>
  <c r="E582" i="30"/>
  <c r="E583" i="30"/>
  <c r="E584" i="30"/>
  <c r="E585" i="30"/>
  <c r="E586" i="30"/>
  <c r="E587" i="30"/>
  <c r="E588" i="30"/>
  <c r="E589" i="30"/>
  <c r="E590" i="30"/>
  <c r="E591" i="30"/>
  <c r="E592" i="30"/>
  <c r="E593" i="30"/>
  <c r="E594" i="30"/>
  <c r="E595" i="30"/>
  <c r="E596" i="30"/>
  <c r="E597" i="30"/>
  <c r="E598" i="30"/>
  <c r="E599" i="30"/>
  <c r="E480" i="30"/>
  <c r="E481" i="30"/>
  <c r="E482" i="30"/>
  <c r="E483" i="30"/>
  <c r="E484" i="30"/>
  <c r="E485" i="30"/>
  <c r="E486" i="30"/>
  <c r="E487" i="30"/>
  <c r="E488" i="30"/>
  <c r="E493" i="30"/>
  <c r="E494" i="30"/>
  <c r="E495" i="30"/>
  <c r="E501" i="30"/>
  <c r="E502" i="30"/>
  <c r="E503" i="30"/>
  <c r="E506" i="30"/>
  <c r="E507" i="30"/>
  <c r="E508" i="30"/>
  <c r="E509" i="30"/>
  <c r="E510" i="30"/>
  <c r="E511" i="30"/>
  <c r="W624" i="30" l="1"/>
  <c r="X624" i="30" s="1"/>
  <c r="W623" i="30"/>
  <c r="X623" i="30" s="1"/>
  <c r="W622" i="30"/>
  <c r="X622" i="30" s="1"/>
  <c r="W621" i="30"/>
  <c r="X621" i="30" s="1"/>
  <c r="W620" i="30"/>
  <c r="X620" i="30" s="1"/>
  <c r="W619" i="30"/>
  <c r="X619" i="30" s="1"/>
  <c r="W618" i="30"/>
  <c r="X618" i="30" s="1"/>
  <c r="W617" i="30" l="1"/>
  <c r="X617" i="30" s="1"/>
  <c r="W616" i="30"/>
  <c r="X616" i="30" s="1"/>
  <c r="W615" i="30"/>
  <c r="X615" i="30" s="1"/>
  <c r="W614" i="30"/>
  <c r="X614" i="30" s="1"/>
  <c r="W613" i="30" l="1"/>
  <c r="X613" i="30" s="1"/>
  <c r="W527" i="30"/>
  <c r="X527" i="30" s="1"/>
  <c r="W526" i="30"/>
  <c r="X526" i="30" s="1"/>
  <c r="W576" i="30"/>
  <c r="X576" i="30" s="1"/>
  <c r="W507" i="30" l="1"/>
  <c r="X507" i="30" s="1"/>
  <c r="W506" i="30"/>
  <c r="X506" i="30" s="1"/>
  <c r="W503" i="30"/>
  <c r="X503" i="30" s="1"/>
  <c r="W502" i="30"/>
  <c r="X502" i="30" s="1"/>
  <c r="N498" i="30" l="1"/>
  <c r="S498" i="30" l="1"/>
  <c r="U498" i="30"/>
  <c r="T498" i="30"/>
  <c r="V498" i="30"/>
  <c r="E498" i="30"/>
  <c r="W498" i="30"/>
  <c r="X498" i="30" s="1"/>
  <c r="N521" i="30"/>
  <c r="N520" i="30"/>
  <c r="N522" i="30"/>
  <c r="S521" i="30" l="1"/>
  <c r="U521" i="30"/>
  <c r="V521" i="30"/>
  <c r="T521" i="30"/>
  <c r="S520" i="30"/>
  <c r="U520" i="30"/>
  <c r="T520" i="30"/>
  <c r="V520" i="30"/>
  <c r="S522" i="30"/>
  <c r="U522" i="30"/>
  <c r="T522" i="30"/>
  <c r="V522" i="30"/>
  <c r="E522" i="30"/>
  <c r="E521" i="30"/>
  <c r="W520" i="30"/>
  <c r="X520" i="30" s="1"/>
  <c r="E520" i="30"/>
  <c r="W521" i="30"/>
  <c r="X521" i="30" s="1"/>
  <c r="W522" i="30"/>
  <c r="X522" i="30" s="1"/>
  <c r="W570" i="30" l="1"/>
  <c r="X570" i="30" s="1"/>
  <c r="W566" i="30" l="1"/>
  <c r="X566" i="30" s="1"/>
  <c r="W567" i="30"/>
  <c r="X567" i="30" s="1"/>
  <c r="W565" i="30"/>
  <c r="X565" i="30" s="1"/>
  <c r="W564" i="30"/>
  <c r="X564" i="30" s="1"/>
  <c r="W512" i="30" l="1"/>
  <c r="X512" i="30" s="1"/>
  <c r="W511" i="30"/>
  <c r="X511" i="30" s="1"/>
  <c r="W510" i="30"/>
  <c r="X510" i="30" s="1"/>
  <c r="N612" i="30" l="1"/>
  <c r="N611" i="30"/>
  <c r="E611" i="30" l="1"/>
  <c r="S611" i="30"/>
  <c r="U611" i="30"/>
  <c r="T611" i="30"/>
  <c r="V611" i="30"/>
  <c r="E612" i="30"/>
  <c r="S612" i="30"/>
  <c r="U612" i="30"/>
  <c r="T612" i="30"/>
  <c r="V612" i="30"/>
  <c r="W612" i="30"/>
  <c r="X612" i="30" s="1"/>
  <c r="W611" i="30"/>
  <c r="X611" i="30" s="1"/>
  <c r="M610" i="30"/>
  <c r="M609" i="30"/>
  <c r="M608" i="30"/>
  <c r="M607" i="30"/>
  <c r="M606" i="30"/>
  <c r="M605" i="30"/>
  <c r="Q607" i="30" l="1"/>
  <c r="R607" i="30"/>
  <c r="P607" i="30"/>
  <c r="O607" i="30"/>
  <c r="O608" i="30"/>
  <c r="P608" i="30"/>
  <c r="Q608" i="30"/>
  <c r="R608" i="30"/>
  <c r="Q605" i="30"/>
  <c r="R605" i="30"/>
  <c r="P605" i="30"/>
  <c r="O605" i="30"/>
  <c r="Q609" i="30"/>
  <c r="R609" i="30"/>
  <c r="O609" i="30"/>
  <c r="P609" i="30"/>
  <c r="O606" i="30"/>
  <c r="P606" i="30"/>
  <c r="Q606" i="30"/>
  <c r="R606" i="30"/>
  <c r="O610" i="30"/>
  <c r="P610" i="30"/>
  <c r="R610" i="30"/>
  <c r="Q610" i="30"/>
  <c r="N606" i="30"/>
  <c r="N609" i="30"/>
  <c r="N608" i="30"/>
  <c r="N605" i="30"/>
  <c r="N607" i="30"/>
  <c r="N610" i="30"/>
  <c r="W604" i="30"/>
  <c r="X604" i="30" s="1"/>
  <c r="W603" i="30"/>
  <c r="X603" i="30" s="1"/>
  <c r="E605" i="30" l="1"/>
  <c r="S605" i="30"/>
  <c r="U605" i="30"/>
  <c r="T605" i="30"/>
  <c r="V605" i="30"/>
  <c r="E609" i="30"/>
  <c r="V609" i="30"/>
  <c r="S609" i="30"/>
  <c r="U609" i="30"/>
  <c r="T609" i="30"/>
  <c r="E608" i="30"/>
  <c r="S608" i="30"/>
  <c r="U608" i="30"/>
  <c r="T608" i="30"/>
  <c r="V608" i="30"/>
  <c r="E610" i="30"/>
  <c r="S610" i="30"/>
  <c r="U610" i="30"/>
  <c r="T610" i="30"/>
  <c r="V610" i="30"/>
  <c r="E607" i="30"/>
  <c r="V607" i="30"/>
  <c r="S607" i="30"/>
  <c r="U607" i="30"/>
  <c r="T607" i="30"/>
  <c r="S606" i="30"/>
  <c r="U606" i="30"/>
  <c r="T606" i="30"/>
  <c r="V606" i="30"/>
  <c r="W606" i="30"/>
  <c r="X606" i="30" s="1"/>
  <c r="E606" i="30"/>
  <c r="W609" i="30"/>
  <c r="X609" i="30" s="1"/>
  <c r="W607" i="30"/>
  <c r="X607" i="30" s="1"/>
  <c r="W610" i="30"/>
  <c r="X610" i="30" s="1"/>
  <c r="W608" i="30"/>
  <c r="X608" i="30" s="1"/>
  <c r="W605" i="30"/>
  <c r="X605" i="30" s="1"/>
  <c r="W601" i="30"/>
  <c r="X601" i="30" s="1"/>
  <c r="W600" i="30"/>
  <c r="X600" i="30" s="1"/>
  <c r="W599" i="30" l="1"/>
  <c r="X599" i="30" s="1"/>
  <c r="W602" i="30" l="1"/>
  <c r="X602" i="30" s="1"/>
  <c r="W594" i="30" l="1"/>
  <c r="X594" i="30" s="1"/>
  <c r="W593" i="30"/>
  <c r="X593" i="30" s="1"/>
  <c r="W592" i="30"/>
  <c r="X592" i="30" s="1"/>
  <c r="W591" i="30"/>
  <c r="X591" i="30" s="1"/>
  <c r="W598" i="30" l="1"/>
  <c r="X598" i="30" s="1"/>
  <c r="W597" i="30"/>
  <c r="X597" i="30" s="1"/>
  <c r="W596" i="30"/>
  <c r="X596" i="30" s="1"/>
  <c r="W595" i="30"/>
  <c r="X595" i="30" s="1"/>
  <c r="W589" i="30" l="1"/>
  <c r="X589" i="30" s="1"/>
  <c r="W588" i="30"/>
  <c r="X588" i="30" s="1"/>
  <c r="W531" i="30"/>
  <c r="X531" i="30" s="1"/>
  <c r="W581" i="30" l="1"/>
  <c r="X581" i="30" s="1"/>
  <c r="W590" i="30" l="1"/>
  <c r="X590" i="30" s="1"/>
  <c r="W587" i="30" l="1"/>
  <c r="X587" i="30" s="1"/>
  <c r="W586" i="30"/>
  <c r="X586" i="30" s="1"/>
  <c r="N490" i="30" l="1"/>
  <c r="N489" i="30"/>
  <c r="W480" i="30"/>
  <c r="X480" i="30" s="1"/>
  <c r="N491" i="30"/>
  <c r="N492" i="30"/>
  <c r="W495" i="30"/>
  <c r="X495" i="30" s="1"/>
  <c r="N496" i="30"/>
  <c r="N497" i="30"/>
  <c r="N499" i="30"/>
  <c r="N500" i="30"/>
  <c r="N516" i="30"/>
  <c r="N517" i="30"/>
  <c r="N519" i="30"/>
  <c r="N523" i="30"/>
  <c r="W529" i="30"/>
  <c r="X529" i="30" s="1"/>
  <c r="W533" i="30"/>
  <c r="X533" i="30" s="1"/>
  <c r="W543" i="30"/>
  <c r="X543" i="30" s="1"/>
  <c r="W545" i="30"/>
  <c r="X545" i="30" s="1"/>
  <c r="N548" i="30"/>
  <c r="N549" i="30"/>
  <c r="W550" i="30"/>
  <c r="X550" i="30" s="1"/>
  <c r="W556" i="30"/>
  <c r="X556" i="30" s="1"/>
  <c r="W560" i="30"/>
  <c r="X560" i="30" s="1"/>
  <c r="W561" i="30"/>
  <c r="X561" i="30" s="1"/>
  <c r="W563" i="30"/>
  <c r="X563" i="30" s="1"/>
  <c r="W568" i="30"/>
  <c r="X568" i="30" s="1"/>
  <c r="W574" i="30"/>
  <c r="X574" i="30" s="1"/>
  <c r="W577" i="30"/>
  <c r="X577" i="30" s="1"/>
  <c r="W583" i="30"/>
  <c r="X583" i="30" s="1"/>
  <c r="W558" i="30"/>
  <c r="X558" i="30" s="1"/>
  <c r="W555" i="30"/>
  <c r="X555" i="30" s="1"/>
  <c r="M539" i="30"/>
  <c r="W525" i="30"/>
  <c r="M515" i="30"/>
  <c r="W515" i="30"/>
  <c r="X515" i="30" s="1"/>
  <c r="M514" i="30"/>
  <c r="W514" i="30"/>
  <c r="X514" i="30" s="1"/>
  <c r="W509" i="30"/>
  <c r="X509" i="30" s="1"/>
  <c r="W494" i="30"/>
  <c r="W487" i="30"/>
  <c r="W486" i="30"/>
  <c r="W485" i="30"/>
  <c r="W483" i="30"/>
  <c r="W481" i="30"/>
  <c r="X481" i="30" s="1"/>
  <c r="M538" i="30"/>
  <c r="W524" i="30"/>
  <c r="W513" i="30"/>
  <c r="X513" i="30" s="1"/>
  <c r="M513" i="30"/>
  <c r="W508" i="30"/>
  <c r="X508" i="30" s="1"/>
  <c r="W493" i="30"/>
  <c r="W554" i="30"/>
  <c r="X554" i="30" s="1"/>
  <c r="W501" i="30"/>
  <c r="W484" i="30"/>
  <c r="W482" i="30"/>
  <c r="S519" i="30" l="1"/>
  <c r="U519" i="30"/>
  <c r="V519" i="30"/>
  <c r="T519" i="30"/>
  <c r="S499" i="30"/>
  <c r="U499" i="30"/>
  <c r="T499" i="30"/>
  <c r="V499" i="30"/>
  <c r="Q513" i="30"/>
  <c r="R513" i="30"/>
  <c r="O513" i="30"/>
  <c r="P513" i="30"/>
  <c r="Q539" i="30"/>
  <c r="R539" i="30"/>
  <c r="O539" i="30"/>
  <c r="P539" i="30"/>
  <c r="V549" i="30"/>
  <c r="S549" i="30"/>
  <c r="U549" i="30"/>
  <c r="T549" i="30"/>
  <c r="V517" i="30"/>
  <c r="S517" i="30"/>
  <c r="U517" i="30"/>
  <c r="T517" i="30"/>
  <c r="S497" i="30"/>
  <c r="U497" i="30"/>
  <c r="T497" i="30"/>
  <c r="V497" i="30"/>
  <c r="S491" i="30"/>
  <c r="U491" i="30"/>
  <c r="V491" i="30"/>
  <c r="T491" i="30"/>
  <c r="S490" i="30"/>
  <c r="U490" i="30"/>
  <c r="T490" i="30"/>
  <c r="V490" i="30"/>
  <c r="O514" i="30"/>
  <c r="P514" i="30"/>
  <c r="R514" i="30"/>
  <c r="Q514" i="30"/>
  <c r="S548" i="30"/>
  <c r="U548" i="30"/>
  <c r="T548" i="30"/>
  <c r="V548" i="30"/>
  <c r="S516" i="30"/>
  <c r="U516" i="30"/>
  <c r="T516" i="30"/>
  <c r="V516" i="30"/>
  <c r="S496" i="30"/>
  <c r="U496" i="30"/>
  <c r="T496" i="30"/>
  <c r="V496" i="30"/>
  <c r="O538" i="30"/>
  <c r="P538" i="30"/>
  <c r="R538" i="30"/>
  <c r="Q538" i="30"/>
  <c r="S492" i="30"/>
  <c r="U492" i="30"/>
  <c r="T492" i="30"/>
  <c r="V492" i="30"/>
  <c r="Q515" i="30"/>
  <c r="P515" i="30"/>
  <c r="R515" i="30"/>
  <c r="O515" i="30"/>
  <c r="V523" i="30"/>
  <c r="S523" i="30"/>
  <c r="U523" i="30"/>
  <c r="T523" i="30"/>
  <c r="S500" i="30"/>
  <c r="U500" i="30"/>
  <c r="T500" i="30"/>
  <c r="V500" i="30"/>
  <c r="S489" i="30"/>
  <c r="U489" i="30"/>
  <c r="T489" i="30"/>
  <c r="V489" i="30"/>
  <c r="E549" i="30"/>
  <c r="E497" i="30"/>
  <c r="E516" i="30"/>
  <c r="E496" i="30"/>
  <c r="E517" i="30"/>
  <c r="E491" i="30"/>
  <c r="E523" i="30"/>
  <c r="E500" i="30"/>
  <c r="E519" i="30"/>
  <c r="E492" i="30"/>
  <c r="W548" i="30"/>
  <c r="X548" i="30" s="1"/>
  <c r="E548" i="30"/>
  <c r="E490" i="30"/>
  <c r="W499" i="30"/>
  <c r="X499" i="30" s="1"/>
  <c r="E499" i="30"/>
  <c r="E489" i="30"/>
  <c r="W490" i="30"/>
  <c r="X490" i="30" s="1"/>
  <c r="W489" i="30"/>
  <c r="X489" i="30" s="1"/>
  <c r="W488" i="30"/>
  <c r="X488" i="30" s="1"/>
  <c r="W496" i="30"/>
  <c r="X496" i="30" s="1"/>
  <c r="W571" i="30"/>
  <c r="X571" i="30" s="1"/>
  <c r="W557" i="30"/>
  <c r="X557" i="30" s="1"/>
  <c r="W559" i="30"/>
  <c r="X559" i="30" s="1"/>
  <c r="W575" i="30"/>
  <c r="X575" i="30" s="1"/>
  <c r="W585" i="30"/>
  <c r="X585" i="30" s="1"/>
  <c r="W584" i="30"/>
  <c r="X584" i="30" s="1"/>
  <c r="W582" i="30"/>
  <c r="X582" i="30" s="1"/>
  <c r="W580" i="30"/>
  <c r="X580" i="30" s="1"/>
  <c r="W579" i="30"/>
  <c r="X579" i="30" s="1"/>
  <c r="W578" i="30"/>
  <c r="X578" i="30" s="1"/>
  <c r="W562" i="30"/>
  <c r="X562" i="30" s="1"/>
  <c r="W552" i="30"/>
  <c r="X552" i="30" s="1"/>
  <c r="W553" i="30"/>
  <c r="X553" i="30" s="1"/>
  <c r="W551" i="30"/>
  <c r="X551" i="30" s="1"/>
  <c r="W549" i="30"/>
  <c r="X549" i="30" s="1"/>
  <c r="W544" i="30"/>
  <c r="X544" i="30" s="1"/>
  <c r="W534" i="30"/>
  <c r="X534" i="30" s="1"/>
  <c r="W535" i="30"/>
  <c r="X535" i="30" s="1"/>
  <c r="X525" i="30"/>
  <c r="W530" i="30"/>
  <c r="X530" i="30" s="1"/>
  <c r="W517" i="30"/>
  <c r="X517" i="30" s="1"/>
  <c r="W500" i="30"/>
  <c r="X500" i="30" s="1"/>
  <c r="X494" i="30"/>
  <c r="W497" i="30"/>
  <c r="X497" i="30" s="1"/>
  <c r="W492" i="30"/>
  <c r="X492" i="30" s="1"/>
  <c r="X486" i="30"/>
  <c r="X487" i="30"/>
  <c r="W528" i="30"/>
  <c r="X528" i="30" s="1"/>
  <c r="X485" i="30"/>
  <c r="X483" i="30"/>
  <c r="W516" i="30"/>
  <c r="X516" i="30" s="1"/>
  <c r="X482" i="30"/>
  <c r="W523" i="30"/>
  <c r="X523" i="30" s="1"/>
  <c r="W532" i="30"/>
  <c r="X532" i="30" s="1"/>
  <c r="X524" i="30"/>
  <c r="X484" i="30"/>
  <c r="W519" i="30"/>
  <c r="X519" i="30" s="1"/>
  <c r="X501" i="30"/>
  <c r="X493" i="30"/>
  <c r="W518" i="30"/>
  <c r="W536" i="30"/>
  <c r="X536" i="30" s="1"/>
  <c r="W491" i="30"/>
  <c r="X491" i="30" s="1"/>
  <c r="W539" i="30" l="1"/>
  <c r="W541" i="30"/>
  <c r="X541" i="30" s="1"/>
  <c r="W538" i="30"/>
  <c r="W540" i="30"/>
  <c r="X540" i="30" s="1"/>
  <c r="X518" i="30"/>
  <c r="W537" i="30"/>
  <c r="X537" i="30" s="1"/>
  <c r="W542" i="30"/>
  <c r="X542" i="30" s="1"/>
  <c r="X539" i="30" l="1"/>
  <c r="X538" i="30"/>
</calcChain>
</file>

<file path=xl/sharedStrings.xml><?xml version="1.0" encoding="utf-8"?>
<sst xmlns="http://schemas.openxmlformats.org/spreadsheetml/2006/main" count="6815" uniqueCount="893">
  <si>
    <t>성격</t>
    <phoneticPr fontId="2" type="noConversion"/>
  </si>
  <si>
    <t>공공</t>
    <phoneticPr fontId="2" type="noConversion"/>
  </si>
  <si>
    <t>주관부서</t>
    <phoneticPr fontId="2" type="noConversion"/>
  </si>
  <si>
    <t>담당자</t>
    <phoneticPr fontId="2" type="noConversion"/>
  </si>
  <si>
    <t>조경부</t>
    <phoneticPr fontId="2" type="noConversion"/>
  </si>
  <si>
    <t>김중재</t>
    <phoneticPr fontId="2" type="noConversion"/>
  </si>
  <si>
    <t>김지우</t>
    <phoneticPr fontId="2" type="noConversion"/>
  </si>
  <si>
    <t>한탄강 생태경관단지 조성사업 기본 및 실시설계 용역</t>
    <phoneticPr fontId="2" type="noConversion"/>
  </si>
  <si>
    <t>영동 레인보우 힐링타운 조성사업 기본 및 실시설계</t>
    <phoneticPr fontId="2" type="noConversion"/>
  </si>
  <si>
    <t>CRC 안보테마관광단지 조성사업 타당성조사 및 개발계획 수립용역</t>
    <phoneticPr fontId="2" type="noConversion"/>
  </si>
  <si>
    <t>관광진흥법</t>
    <phoneticPr fontId="2" type="noConversion"/>
  </si>
  <si>
    <t>비고</t>
    <phoneticPr fontId="2" type="noConversion"/>
  </si>
  <si>
    <t>부산북항 재개발사업 친수공원 조성계획 수립 및 설계 용역</t>
    <phoneticPr fontId="2" type="noConversion"/>
  </si>
  <si>
    <t>캠프페이지공원 조성계획 및 실시설계 용역</t>
    <phoneticPr fontId="2" type="noConversion"/>
  </si>
  <si>
    <t>총계약금액</t>
    <phoneticPr fontId="2" type="noConversion"/>
  </si>
  <si>
    <t>삼안지분금액</t>
    <phoneticPr fontId="2" type="noConversion"/>
  </si>
  <si>
    <t>삼안지분율</t>
    <phoneticPr fontId="2" type="noConversion"/>
  </si>
  <si>
    <t>도시공원법</t>
    <phoneticPr fontId="2" type="noConversion"/>
  </si>
  <si>
    <t>양승수</t>
    <phoneticPr fontId="2" type="noConversion"/>
  </si>
  <si>
    <t>기타</t>
    <phoneticPr fontId="2" type="noConversion"/>
  </si>
  <si>
    <t>문화공원</t>
    <phoneticPr fontId="2" type="noConversion"/>
  </si>
  <si>
    <t>조명연합수군 테마관광자원개발사업 실시설계 용역</t>
    <phoneticPr fontId="2" type="noConversion"/>
  </si>
  <si>
    <t>임진각 관광지 확대개발 기본계획수립 용역</t>
    <phoneticPr fontId="2" type="noConversion"/>
  </si>
  <si>
    <t>산정호수등 3개 관광지개발 타당성조사 및 기본구상 용역</t>
    <phoneticPr fontId="2" type="noConversion"/>
  </si>
  <si>
    <t>임동민</t>
    <phoneticPr fontId="2" type="noConversion"/>
  </si>
  <si>
    <t>장기미집행 도시계획시설(공원)정비 용역</t>
    <phoneticPr fontId="2" type="noConversion"/>
  </si>
  <si>
    <t>진주스포츠파크 체육시설확충 도시관리계획결정(변경) 및 실시설계 용역</t>
    <phoneticPr fontId="2" type="noConversion"/>
  </si>
  <si>
    <t>금곡동 문화공원 도시관리계획수립 및 실시설계 용역</t>
    <phoneticPr fontId="2" type="noConversion"/>
  </si>
  <si>
    <t>장기미집행공원 관리계획 등 수립 용역</t>
    <phoneticPr fontId="2" type="noConversion"/>
  </si>
  <si>
    <t>남양주 청학천 수변공원 도시군관리계획결정 및 실시설계 용역</t>
    <phoneticPr fontId="2" type="noConversion"/>
  </si>
  <si>
    <t>강동관광단지개발 사업타당성조사 및 사업화방안수립 용역</t>
    <phoneticPr fontId="2" type="noConversion"/>
  </si>
  <si>
    <t>조달청
지분건수</t>
    <phoneticPr fontId="2" type="noConversion"/>
  </si>
  <si>
    <t>조달청
지분금액</t>
    <phoneticPr fontId="2" type="noConversion"/>
  </si>
  <si>
    <t>2035양주시공원녹지기본계획수립용역</t>
    <phoneticPr fontId="2" type="noConversion"/>
  </si>
  <si>
    <t>서생해양관광단지 기본구상 및 타당성조사 용역</t>
    <phoneticPr fontId="2" type="noConversion"/>
  </si>
  <si>
    <t>2020년 경기도 남한산성도립공원공원계획변경용역</t>
  </si>
  <si>
    <t>자연공원법</t>
    <phoneticPr fontId="2" type="noConversion"/>
  </si>
  <si>
    <t>아라깨비 테마로드 조성사업 기본계획 및 실시설계 용역</t>
    <phoneticPr fontId="2" type="noConversion"/>
  </si>
  <si>
    <t>호암지수질개선 및 생태관광명소화사업 기본계획수립 및 타당성 용역</t>
    <phoneticPr fontId="2" type="noConversion"/>
  </si>
  <si>
    <t>산림휴양법</t>
    <phoneticPr fontId="2" type="noConversion"/>
  </si>
  <si>
    <t>도시계획부</t>
    <phoneticPr fontId="2" type="noConversion"/>
  </si>
  <si>
    <t>초강천 빙벽장 관광명소화사업 기본 및 실시설계 용역</t>
    <phoneticPr fontId="2" type="noConversion"/>
  </si>
  <si>
    <t>보납도시자연공원조성사업 기본 및 실시설계 용역</t>
    <phoneticPr fontId="2" type="noConversion"/>
  </si>
  <si>
    <t>영남알프스 상사의 숲 기본계획 및 타당성조사 용역</t>
    <phoneticPr fontId="2" type="noConversion"/>
  </si>
  <si>
    <t>심상철</t>
    <phoneticPr fontId="2" type="noConversion"/>
  </si>
  <si>
    <t>나주금성산 나눔숲체원 진입도로 및 공원조성 실시설계 용역</t>
    <phoneticPr fontId="2" type="noConversion"/>
  </si>
  <si>
    <t>심재만</t>
    <phoneticPr fontId="2" type="noConversion"/>
  </si>
  <si>
    <t>산림레포츠시설</t>
    <phoneticPr fontId="2" type="noConversion"/>
  </si>
  <si>
    <t>관광(단)지</t>
    <phoneticPr fontId="2" type="noConversion"/>
  </si>
  <si>
    <t>서남해안 관광레저도시개발계획수립 및 타당성조사 용역</t>
    <phoneticPr fontId="2" type="noConversion"/>
  </si>
  <si>
    <t>와온항 어촌뉴딜300사업 기본 및 실시설계 용역</t>
    <phoneticPr fontId="2" type="noConversion"/>
  </si>
  <si>
    <t>철길너머 희망으로 조성사업 지역개발사업구역지정 및 실시계획수립 용역</t>
    <phoneticPr fontId="2" type="noConversion"/>
  </si>
  <si>
    <t>레인보우 힐링관광지 조성계획 변경을 위한 타당성조사 용역</t>
    <phoneticPr fontId="2" type="noConversion"/>
  </si>
  <si>
    <t>백화산 포레스트조성 기본 및 타당성평가 용역</t>
    <phoneticPr fontId="2" type="noConversion"/>
  </si>
  <si>
    <t>순천시 스마트그린도시 조성사업 기본 및 실시설계 용역</t>
    <phoneticPr fontId="2" type="noConversion"/>
  </si>
  <si>
    <t>자연휴양림</t>
    <phoneticPr fontId="2" type="noConversion"/>
  </si>
  <si>
    <t>체육공원</t>
    <phoneticPr fontId="2" type="noConversion"/>
  </si>
  <si>
    <t>근린/문화공원</t>
    <phoneticPr fontId="2" type="noConversion"/>
  </si>
  <si>
    <t>수변공원</t>
    <phoneticPr fontId="2" type="noConversion"/>
  </si>
  <si>
    <t>근린공원</t>
    <phoneticPr fontId="2" type="noConversion"/>
  </si>
  <si>
    <t>문화/역사공원</t>
    <phoneticPr fontId="2" type="noConversion"/>
  </si>
  <si>
    <t>체육시설</t>
    <phoneticPr fontId="2" type="noConversion"/>
  </si>
  <si>
    <t>장례문화원 기본구상 및 타당성 검토 용역</t>
    <phoneticPr fontId="2" type="noConversion"/>
  </si>
  <si>
    <t>묘지공원</t>
    <phoneticPr fontId="2" type="noConversion"/>
  </si>
  <si>
    <t>소양호수권 거점지구 관광벨트 조성사업 기본계획수립 용역</t>
    <phoneticPr fontId="2" type="noConversion"/>
  </si>
  <si>
    <t>인문치유 관광루트 연계사업 기본계획수립 용역</t>
    <phoneticPr fontId="2" type="noConversion"/>
  </si>
  <si>
    <t>치유의 숲</t>
    <phoneticPr fontId="2" type="noConversion"/>
  </si>
  <si>
    <t>석수2동 도시재생 튜딜사업 가로환경개선 마스터플랜 수립 및 실시설계 용역</t>
    <phoneticPr fontId="2" type="noConversion"/>
  </si>
  <si>
    <t>국토계획법</t>
    <phoneticPr fontId="2" type="noConversion"/>
  </si>
  <si>
    <t>이천 증포동 체육공원 도시관리계획결정(변경) 및 실시설계 용역</t>
    <phoneticPr fontId="2" type="noConversion"/>
  </si>
  <si>
    <t>1억이상</t>
    <phoneticPr fontId="2" type="noConversion"/>
  </si>
  <si>
    <t>준공2억금액</t>
    <phoneticPr fontId="2" type="noConversion"/>
  </si>
  <si>
    <t>준공1억금액</t>
    <phoneticPr fontId="2" type="noConversion"/>
  </si>
  <si>
    <t>보도교</t>
    <phoneticPr fontId="2" type="noConversion"/>
  </si>
  <si>
    <t>유원지</t>
    <phoneticPr fontId="2" type="noConversion"/>
  </si>
  <si>
    <t>지구단위계획</t>
    <phoneticPr fontId="2" type="noConversion"/>
  </si>
  <si>
    <t>도시공원</t>
    <phoneticPr fontId="2" type="noConversion"/>
  </si>
  <si>
    <t>도시관리계획</t>
    <phoneticPr fontId="2" type="noConversion"/>
  </si>
  <si>
    <t>지역개발법</t>
    <phoneticPr fontId="2" type="noConversion"/>
  </si>
  <si>
    <t>지역개발사업</t>
    <phoneticPr fontId="2" type="noConversion"/>
  </si>
  <si>
    <t>주한미군법</t>
    <phoneticPr fontId="2" type="noConversion"/>
  </si>
  <si>
    <t>반환공여구역</t>
    <phoneticPr fontId="2" type="noConversion"/>
  </si>
  <si>
    <t>공원녹지기본계획</t>
    <phoneticPr fontId="2" type="noConversion"/>
  </si>
  <si>
    <t>도시자연공원</t>
    <phoneticPr fontId="2" type="noConversion"/>
  </si>
  <si>
    <t>장사시설</t>
    <phoneticPr fontId="2" type="noConversion"/>
  </si>
  <si>
    <t>농어촌정비법</t>
    <phoneticPr fontId="2" type="noConversion"/>
  </si>
  <si>
    <t>농어촌정비계획</t>
    <phoneticPr fontId="2" type="noConversion"/>
  </si>
  <si>
    <t>농어업인</t>
    <phoneticPr fontId="2" type="noConversion"/>
  </si>
  <si>
    <t>농어촌개발</t>
    <phoneticPr fontId="2" type="noConversion"/>
  </si>
  <si>
    <t>습지보전법</t>
    <phoneticPr fontId="2" type="noConversion"/>
  </si>
  <si>
    <t>습지_행위</t>
    <phoneticPr fontId="2" type="noConversion"/>
  </si>
  <si>
    <t>수산자원법</t>
    <phoneticPr fontId="2" type="noConversion"/>
  </si>
  <si>
    <t>수산자원_행위</t>
    <phoneticPr fontId="2" type="noConversion"/>
  </si>
  <si>
    <t>기업도시법</t>
    <phoneticPr fontId="2" type="noConversion"/>
  </si>
  <si>
    <t>기업도시</t>
    <phoneticPr fontId="2" type="noConversion"/>
  </si>
  <si>
    <t>개발행위허가</t>
    <phoneticPr fontId="2" type="noConversion"/>
  </si>
  <si>
    <t>시설결정, 실시계획인가</t>
    <phoneticPr fontId="2" type="noConversion"/>
  </si>
  <si>
    <t>경관법</t>
    <phoneticPr fontId="2" type="noConversion"/>
  </si>
  <si>
    <t>경관계획</t>
    <phoneticPr fontId="2" type="noConversion"/>
  </si>
  <si>
    <t>공주나래원 수목장 및 시설 확충사업 기본 및 실시설계용역</t>
    <phoneticPr fontId="2" type="noConversion"/>
  </si>
  <si>
    <t>양수발전소 주변 산림문화 휴양명소 타당성 분석 및 기본구상 용역</t>
    <phoneticPr fontId="2" type="noConversion"/>
  </si>
  <si>
    <t>치유의숲</t>
    <phoneticPr fontId="2" type="noConversion"/>
  </si>
  <si>
    <t>접경지역법</t>
    <phoneticPr fontId="2" type="noConversion"/>
  </si>
  <si>
    <t>발전종합계획</t>
    <phoneticPr fontId="2" type="noConversion"/>
  </si>
  <si>
    <t>댐건설법</t>
    <phoneticPr fontId="2" type="noConversion"/>
  </si>
  <si>
    <t>댐주변 정비</t>
    <phoneticPr fontId="2" type="noConversion"/>
  </si>
  <si>
    <t>발전소주변</t>
    <phoneticPr fontId="2" type="noConversion"/>
  </si>
  <si>
    <t>지원사업</t>
    <phoneticPr fontId="2" type="noConversion"/>
  </si>
  <si>
    <t>도시계획시설(체육시설)</t>
    <phoneticPr fontId="2" type="noConversion"/>
  </si>
  <si>
    <t>경주 손곡동과 물천리 유적 활용 기본구상 및 타당성조사 용역</t>
    <phoneticPr fontId="2" type="noConversion"/>
  </si>
  <si>
    <t>순번</t>
    <phoneticPr fontId="2" type="noConversion"/>
  </si>
  <si>
    <t>법령</t>
    <phoneticPr fontId="2" type="noConversion"/>
  </si>
  <si>
    <t>법령_세부</t>
    <phoneticPr fontId="2" type="noConversion"/>
  </si>
  <si>
    <t>준공일</t>
    <phoneticPr fontId="2" type="noConversion"/>
  </si>
  <si>
    <t>종합정비계획</t>
    <phoneticPr fontId="2" type="noConversion"/>
  </si>
  <si>
    <t>도시계획시설결정</t>
    <phoneticPr fontId="2" type="noConversion"/>
  </si>
  <si>
    <t>체육시설법</t>
    <phoneticPr fontId="2" type="noConversion"/>
  </si>
  <si>
    <t>광영의암지구 체육공원 조성계획 및 실시계획인가 변경(경미한변경)용역</t>
    <phoneticPr fontId="2" type="noConversion"/>
  </si>
  <si>
    <t>광영의암지구 체육공원 조성사업 공원조성계획 및 실시설계 용역</t>
    <phoneticPr fontId="2" type="noConversion"/>
  </si>
  <si>
    <t>윤현식</t>
    <phoneticPr fontId="2" type="noConversion"/>
  </si>
  <si>
    <t>배승환</t>
    <phoneticPr fontId="2" type="noConversion"/>
  </si>
  <si>
    <t>최종훈</t>
    <phoneticPr fontId="2" type="noConversion"/>
  </si>
  <si>
    <t>배한수</t>
    <phoneticPr fontId="2" type="noConversion"/>
  </si>
  <si>
    <t>문소양</t>
    <phoneticPr fontId="2" type="noConversion"/>
  </si>
  <si>
    <t>김아연</t>
    <phoneticPr fontId="2" type="noConversion"/>
  </si>
  <si>
    <t>박승건</t>
    <phoneticPr fontId="2" type="noConversion"/>
  </si>
  <si>
    <t>고동인</t>
    <phoneticPr fontId="2" type="noConversion"/>
  </si>
  <si>
    <t>한은홍</t>
    <phoneticPr fontId="2" type="noConversion"/>
  </si>
  <si>
    <t>김영민</t>
    <phoneticPr fontId="2" type="noConversion"/>
  </si>
  <si>
    <t>박동길</t>
    <phoneticPr fontId="2" type="noConversion"/>
  </si>
  <si>
    <t>최지영</t>
    <phoneticPr fontId="2" type="noConversion"/>
  </si>
  <si>
    <t>김종완</t>
    <phoneticPr fontId="2" type="noConversion"/>
  </si>
  <si>
    <t>백승희</t>
    <phoneticPr fontId="2" type="noConversion"/>
  </si>
  <si>
    <t>김태현</t>
    <phoneticPr fontId="2" type="noConversion"/>
  </si>
  <si>
    <t>천승호</t>
    <phoneticPr fontId="2" type="noConversion"/>
  </si>
  <si>
    <t>청도군 농촌공간 전략계획 및 생활권 활성화계획 수립 용역</t>
    <phoneticPr fontId="2" type="noConversion"/>
  </si>
  <si>
    <t>도시관리계획/근린공원</t>
    <phoneticPr fontId="2" type="noConversion"/>
  </si>
  <si>
    <t>도시공원(주제_문화)</t>
    <phoneticPr fontId="2" type="noConversion"/>
  </si>
  <si>
    <t>도시공원(주제_수변)</t>
    <phoneticPr fontId="2" type="noConversion"/>
  </si>
  <si>
    <t>도시공원(근린)</t>
    <phoneticPr fontId="2" type="noConversion"/>
  </si>
  <si>
    <t>도시공원(주제_문화,역사)</t>
    <phoneticPr fontId="2" type="noConversion"/>
  </si>
  <si>
    <t>도시공원(주제_묘지)</t>
    <phoneticPr fontId="2" type="noConversion"/>
  </si>
  <si>
    <t>가리포 노을길 지역개발사업 구역지정 및 실시계획 수립용역</t>
    <phoneticPr fontId="2" type="noConversion"/>
  </si>
  <si>
    <t>탐방로(테마로드)</t>
    <phoneticPr fontId="2" type="noConversion"/>
  </si>
  <si>
    <t>윤현식</t>
    <phoneticPr fontId="2" type="noConversion"/>
  </si>
  <si>
    <t>임동민</t>
    <phoneticPr fontId="2" type="noConversion"/>
  </si>
  <si>
    <t>배승환</t>
    <phoneticPr fontId="2" type="noConversion"/>
  </si>
  <si>
    <t>문소양</t>
    <phoneticPr fontId="2" type="noConversion"/>
  </si>
  <si>
    <t>한은홍</t>
    <phoneticPr fontId="2" type="noConversion"/>
  </si>
  <si>
    <t>김종완</t>
    <phoneticPr fontId="2" type="noConversion"/>
  </si>
  <si>
    <t>천마산군립공원 공원계획 변경수립 용역</t>
    <phoneticPr fontId="2" type="noConversion"/>
  </si>
  <si>
    <t>임동민</t>
    <phoneticPr fontId="2" type="noConversion"/>
  </si>
  <si>
    <t>심상철</t>
    <phoneticPr fontId="2" type="noConversion"/>
  </si>
  <si>
    <t>양승수</t>
    <phoneticPr fontId="2" type="noConversion"/>
  </si>
  <si>
    <t>배승환</t>
    <phoneticPr fontId="2" type="noConversion"/>
  </si>
  <si>
    <t>문소양</t>
    <phoneticPr fontId="2" type="noConversion"/>
  </si>
  <si>
    <t>김아연</t>
    <phoneticPr fontId="2" type="noConversion"/>
  </si>
  <si>
    <t>고동인</t>
    <phoneticPr fontId="2" type="noConversion"/>
  </si>
  <si>
    <t>한은홍</t>
    <phoneticPr fontId="2" type="noConversion"/>
  </si>
  <si>
    <t>김종완</t>
    <phoneticPr fontId="2" type="noConversion"/>
  </si>
  <si>
    <t>숲길</t>
    <phoneticPr fontId="2" type="noConversion"/>
  </si>
  <si>
    <t>산림레포츠시설,산림욕장</t>
    <phoneticPr fontId="2" type="noConversion"/>
  </si>
  <si>
    <t>자연환경보전법</t>
    <phoneticPr fontId="2" type="noConversion"/>
  </si>
  <si>
    <t>자연환경보전이용시설</t>
    <phoneticPr fontId="2" type="noConversion"/>
  </si>
  <si>
    <t>2023 익산 왕궁 생태복원사업 실시설계 용역</t>
    <phoneticPr fontId="2" type="noConversion"/>
  </si>
  <si>
    <t>배한수</t>
    <phoneticPr fontId="2" type="noConversion"/>
  </si>
  <si>
    <t>배승환</t>
    <phoneticPr fontId="2" type="noConversion"/>
  </si>
  <si>
    <t>박동길</t>
    <phoneticPr fontId="2" type="noConversion"/>
  </si>
  <si>
    <t>김태현</t>
    <phoneticPr fontId="2" type="noConversion"/>
  </si>
  <si>
    <t>역사공원</t>
    <phoneticPr fontId="2" type="noConversion"/>
  </si>
  <si>
    <t>거창군 항노화 힐링랜드 잔도길 조성사업 실시설계 용역</t>
    <phoneticPr fontId="2" type="noConversion"/>
  </si>
  <si>
    <t>천승호</t>
    <phoneticPr fontId="2" type="noConversion"/>
  </si>
  <si>
    <t>배한수</t>
    <phoneticPr fontId="2" type="noConversion"/>
  </si>
  <si>
    <t>박승건</t>
    <phoneticPr fontId="2" type="noConversion"/>
  </si>
  <si>
    <t>김아연</t>
    <phoneticPr fontId="2" type="noConversion"/>
  </si>
  <si>
    <t>백승희</t>
    <phoneticPr fontId="2" type="noConversion"/>
  </si>
  <si>
    <t>시민을 위한 명품탄천 조성사업 기본 및 실시설계 용역</t>
    <phoneticPr fontId="2" type="noConversion"/>
  </si>
  <si>
    <t>하천법</t>
    <phoneticPr fontId="2" type="noConversion"/>
  </si>
  <si>
    <t>하천정비</t>
    <phoneticPr fontId="2" type="noConversion"/>
  </si>
  <si>
    <t>박동길</t>
    <phoneticPr fontId="2" type="noConversion"/>
  </si>
  <si>
    <t>박승건</t>
    <phoneticPr fontId="2" type="noConversion"/>
  </si>
  <si>
    <t>산책로</t>
    <phoneticPr fontId="2" type="noConversion"/>
  </si>
  <si>
    <t>체육시설(파크골프장)</t>
    <phoneticPr fontId="2" type="noConversion"/>
  </si>
  <si>
    <t>숲길(탐방로,둘레길)</t>
    <phoneticPr fontId="2" type="noConversion"/>
  </si>
  <si>
    <t>공공</t>
    <phoneticPr fontId="2" type="noConversion"/>
  </si>
  <si>
    <t xml:space="preserve">율동공원 생태문화공원 조성 기본 및 실시설계 용역 </t>
    <phoneticPr fontId="2" type="noConversion"/>
  </si>
  <si>
    <t>김중재</t>
    <phoneticPr fontId="2" type="noConversion"/>
  </si>
  <si>
    <t>이주민</t>
    <phoneticPr fontId="2" type="noConversion"/>
  </si>
  <si>
    <t>충주시 시민골프장(2개소) 타당성 조사 용역</t>
    <phoneticPr fontId="2" type="noConversion"/>
  </si>
  <si>
    <t>체육시설(골프장)</t>
    <phoneticPr fontId="2" type="noConversion"/>
  </si>
  <si>
    <t>김중재</t>
    <phoneticPr fontId="2" type="noConversion"/>
  </si>
  <si>
    <t>박동길</t>
    <phoneticPr fontId="2" type="noConversion"/>
  </si>
  <si>
    <t>캠핑장 등</t>
    <phoneticPr fontId="2" type="noConversion"/>
  </si>
  <si>
    <t>배한수</t>
    <phoneticPr fontId="2" type="noConversion"/>
  </si>
  <si>
    <t>심상철</t>
    <phoneticPr fontId="2" type="noConversion"/>
  </si>
  <si>
    <t>임동민</t>
    <phoneticPr fontId="2" type="noConversion"/>
  </si>
  <si>
    <t>양승수</t>
    <phoneticPr fontId="2" type="noConversion"/>
  </si>
  <si>
    <t>최종훈</t>
    <phoneticPr fontId="2" type="noConversion"/>
  </si>
  <si>
    <t>문소양</t>
    <phoneticPr fontId="2" type="noConversion"/>
  </si>
  <si>
    <t>박승건</t>
    <phoneticPr fontId="2" type="noConversion"/>
  </si>
  <si>
    <t>고동인</t>
    <phoneticPr fontId="2" type="noConversion"/>
  </si>
  <si>
    <t>한은홍</t>
    <phoneticPr fontId="2" type="noConversion"/>
  </si>
  <si>
    <t>박동길</t>
    <phoneticPr fontId="2" type="noConversion"/>
  </si>
  <si>
    <t>김종완</t>
    <phoneticPr fontId="2" type="noConversion"/>
  </si>
  <si>
    <t>백승희</t>
    <phoneticPr fontId="2" type="noConversion"/>
  </si>
  <si>
    <t>새울 3,4호기 부지종합 환경공사 설계용역</t>
    <phoneticPr fontId="2" type="noConversion"/>
  </si>
  <si>
    <t>전원개발법</t>
    <phoneticPr fontId="2" type="noConversion"/>
  </si>
  <si>
    <t>전원개발사업</t>
    <phoneticPr fontId="2" type="noConversion"/>
  </si>
  <si>
    <t>도시숲법</t>
    <phoneticPr fontId="2" type="noConversion"/>
  </si>
  <si>
    <t>도시숲</t>
    <phoneticPr fontId="2" type="noConversion"/>
  </si>
  <si>
    <t>경관계획</t>
    <phoneticPr fontId="2" type="noConversion"/>
  </si>
  <si>
    <t>배한수</t>
    <phoneticPr fontId="2" type="noConversion"/>
  </si>
  <si>
    <t>바이오에너지시설 설치사업 부대시설 기본계획 수립 용역</t>
    <phoneticPr fontId="2" type="noConversion"/>
  </si>
  <si>
    <t>체육시설법</t>
    <phoneticPr fontId="2" type="noConversion"/>
  </si>
  <si>
    <t>체육시설</t>
    <phoneticPr fontId="2" type="noConversion"/>
  </si>
  <si>
    <t>경관법</t>
    <phoneticPr fontId="2" type="noConversion"/>
  </si>
  <si>
    <t>경관계획</t>
    <phoneticPr fontId="2" type="noConversion"/>
  </si>
  <si>
    <t>윤현식</t>
    <phoneticPr fontId="2" type="noConversion"/>
  </si>
  <si>
    <t>임동민</t>
    <phoneticPr fontId="2" type="noConversion"/>
  </si>
  <si>
    <t>배한수</t>
    <phoneticPr fontId="2" type="noConversion"/>
  </si>
  <si>
    <t>김아연</t>
    <phoneticPr fontId="2" type="noConversion"/>
  </si>
  <si>
    <t>최지영</t>
    <phoneticPr fontId="2" type="noConversion"/>
  </si>
  <si>
    <t>김종완</t>
    <phoneticPr fontId="2" type="noConversion"/>
  </si>
  <si>
    <t>수변,문화,근린공원</t>
    <phoneticPr fontId="2" type="noConversion"/>
  </si>
  <si>
    <t>자연공원(군립공원)</t>
    <phoneticPr fontId="2" type="noConversion"/>
  </si>
  <si>
    <t>근린공원</t>
    <phoneticPr fontId="2" type="noConversion"/>
  </si>
  <si>
    <t>도시공원</t>
    <phoneticPr fontId="2" type="noConversion"/>
  </si>
  <si>
    <t>자연공원(도립공원)</t>
    <phoneticPr fontId="2" type="noConversion"/>
  </si>
  <si>
    <t>복합 다 있음</t>
    <phoneticPr fontId="2" type="noConversion"/>
  </si>
  <si>
    <t>산지전용</t>
    <phoneticPr fontId="2" type="noConversion"/>
  </si>
  <si>
    <t>산지관리법</t>
    <phoneticPr fontId="2" type="noConversion"/>
  </si>
  <si>
    <t>개발제한구역법</t>
    <phoneticPr fontId="2" type="noConversion"/>
  </si>
  <si>
    <t>개발제한구역 관리계획</t>
    <phoneticPr fontId="2" type="noConversion"/>
  </si>
  <si>
    <t>도시계획시설</t>
    <phoneticPr fontId="2" type="noConversion"/>
  </si>
  <si>
    <t>기타</t>
    <phoneticPr fontId="2" type="noConversion"/>
  </si>
  <si>
    <t>탐방로,산책로,인공폭포</t>
    <phoneticPr fontId="2" type="noConversion"/>
  </si>
  <si>
    <t>댐 주변지역</t>
    <phoneticPr fontId="2" type="noConversion"/>
  </si>
  <si>
    <t>자연휴양림,,숲길,산림레포츠시설 등</t>
    <phoneticPr fontId="2" type="noConversion"/>
  </si>
  <si>
    <t>생태탐방로, 산책로,테마로드,무장애길,전망대 등</t>
    <phoneticPr fontId="2" type="noConversion"/>
  </si>
  <si>
    <t>원도심 대원공원 내 테마공원 조성사업 실시설계 용역</t>
    <phoneticPr fontId="2" type="noConversion"/>
  </si>
  <si>
    <t>모노레일, 탐방로,산책로등</t>
    <phoneticPr fontId="2" type="noConversion"/>
  </si>
  <si>
    <t>문화유산법</t>
    <phoneticPr fontId="2" type="noConversion"/>
  </si>
  <si>
    <t>생태탐방로, 산책로, 테마로드, 무장애길</t>
    <phoneticPr fontId="2" type="noConversion"/>
  </si>
  <si>
    <t>용도지역 변경 및 도시계획시설 결정</t>
    <phoneticPr fontId="2" type="noConversion"/>
  </si>
  <si>
    <t>심상철</t>
    <phoneticPr fontId="2" type="noConversion"/>
  </si>
  <si>
    <t>양승수</t>
    <phoneticPr fontId="2" type="noConversion"/>
  </si>
  <si>
    <t>배승환</t>
    <phoneticPr fontId="2" type="noConversion"/>
  </si>
  <si>
    <t>문소양</t>
    <phoneticPr fontId="2" type="noConversion"/>
  </si>
  <si>
    <t>한은홍</t>
    <phoneticPr fontId="2" type="noConversion"/>
  </si>
  <si>
    <t>백승희</t>
    <phoneticPr fontId="2" type="noConversion"/>
  </si>
  <si>
    <t>숲체험원, 생태복원, 무장애길,산책로,맨발걷기길, 전망대,벽천, 광장, 휴게공간</t>
    <phoneticPr fontId="2" type="noConversion"/>
  </si>
  <si>
    <t>공공디자인</t>
    <phoneticPr fontId="2" type="noConversion"/>
  </si>
  <si>
    <t>공공시설물 설계(공공디자인 심의)</t>
    <phoneticPr fontId="2" type="noConversion"/>
  </si>
  <si>
    <t>건축법</t>
    <phoneticPr fontId="2" type="noConversion"/>
  </si>
  <si>
    <t>건축허가(관광휴게시설)</t>
    <phoneticPr fontId="2" type="noConversion"/>
  </si>
  <si>
    <t>공공</t>
    <phoneticPr fontId="2" type="noConversion"/>
  </si>
  <si>
    <t>지구단위계획</t>
    <phoneticPr fontId="2" type="noConversion"/>
  </si>
  <si>
    <t>생태탐방로, 테마로드, 무장애길 등</t>
    <phoneticPr fontId="2" type="noConversion"/>
  </si>
  <si>
    <t>숲길(등산로, 트레킹길, 산림레포츠길, 탐방로, 휴양,치유숲길 등)</t>
    <phoneticPr fontId="2" type="noConversion"/>
  </si>
  <si>
    <t>레인보우 힐링관광지 조성계획(변경) 및 설계용역</t>
    <phoneticPr fontId="2" type="noConversion"/>
  </si>
  <si>
    <t>최지영</t>
    <phoneticPr fontId="2" type="noConversion"/>
  </si>
  <si>
    <t>김종완</t>
    <phoneticPr fontId="2" type="noConversion"/>
  </si>
  <si>
    <t>증평스포츠테마파크 조성사업 군관리계획 결정 및 실시설계</t>
    <phoneticPr fontId="2" type="noConversion"/>
  </si>
  <si>
    <t>임동민</t>
    <phoneticPr fontId="2" type="noConversion"/>
  </si>
  <si>
    <t>용역명1</t>
    <phoneticPr fontId="2" type="noConversion"/>
  </si>
  <si>
    <t>준공1억이상 건수</t>
    <phoneticPr fontId="2" type="noConversion"/>
  </si>
  <si>
    <t>준공2억이상 건수</t>
    <phoneticPr fontId="2" type="noConversion"/>
  </si>
  <si>
    <t>지분1억이상 건수</t>
  </si>
  <si>
    <t>지분2억이상 건수</t>
  </si>
  <si>
    <t>지분1억금액</t>
  </si>
  <si>
    <t>지분2억금액</t>
  </si>
  <si>
    <t>준공기준</t>
    <phoneticPr fontId="2" type="noConversion"/>
  </si>
  <si>
    <t>지분기준</t>
    <phoneticPr fontId="2" type="noConversion"/>
  </si>
  <si>
    <t>조달청 기준</t>
    <phoneticPr fontId="2" type="noConversion"/>
  </si>
  <si>
    <t>이창원</t>
    <phoneticPr fontId="2" type="noConversion"/>
  </si>
  <si>
    <t>권혁민</t>
    <phoneticPr fontId="2" type="noConversion"/>
  </si>
  <si>
    <t>김경훈</t>
    <phoneticPr fontId="2" type="noConversion"/>
  </si>
  <si>
    <t>5년여부</t>
    <phoneticPr fontId="2" type="noConversion"/>
  </si>
  <si>
    <t>참여기술자</t>
    <phoneticPr fontId="2" type="noConversion"/>
  </si>
  <si>
    <t>회사명</t>
    <phoneticPr fontId="2" type="noConversion"/>
  </si>
  <si>
    <t>삼안</t>
    <phoneticPr fontId="2" type="noConversion"/>
  </si>
  <si>
    <t>타사</t>
    <phoneticPr fontId="2" type="noConversion"/>
  </si>
  <si>
    <t>평화)하양 생활체육시설조성사업 실시설계 용역</t>
    <phoneticPr fontId="2" type="noConversion"/>
  </si>
  <si>
    <t xml:space="preserve">조경부 </t>
    <phoneticPr fontId="2" type="noConversion"/>
  </si>
  <si>
    <t>최종훈</t>
    <phoneticPr fontId="2" type="noConversion"/>
  </si>
  <si>
    <t>국토계획법</t>
    <phoneticPr fontId="2" type="noConversion"/>
  </si>
  <si>
    <t>도시관리계획</t>
    <phoneticPr fontId="2" type="noConversion"/>
  </si>
  <si>
    <t>체육시설법</t>
    <phoneticPr fontId="2" type="noConversion"/>
  </si>
  <si>
    <t>생활체육시설</t>
    <phoneticPr fontId="2" type="noConversion"/>
  </si>
  <si>
    <t>운동시설(축구장, 풋살장,족구장,정구장)</t>
    <phoneticPr fontId="2" type="noConversion"/>
  </si>
  <si>
    <t>평화)환성정 창작정원 관광명소화 사업 기본 및 실시설계 용역</t>
    <phoneticPr fontId="2" type="noConversion"/>
  </si>
  <si>
    <t>평화)나주시 도시바람길숲 조성사업 기본 및 실시설계 용역</t>
    <phoneticPr fontId="2" type="noConversion"/>
  </si>
  <si>
    <t>산림자원법</t>
    <phoneticPr fontId="2" type="noConversion"/>
  </si>
  <si>
    <t>도시림</t>
    <phoneticPr fontId="2" type="noConversion"/>
  </si>
  <si>
    <t>도시숲</t>
    <phoneticPr fontId="2" type="noConversion"/>
  </si>
  <si>
    <t>테마가로 계획 및 설계</t>
    <phoneticPr fontId="2" type="noConversion"/>
  </si>
  <si>
    <t>평화)미로마을 조성사업 기본 및 실시설계 용역</t>
    <phoneticPr fontId="2" type="noConversion"/>
  </si>
  <si>
    <t>도시재생법</t>
    <phoneticPr fontId="2" type="noConversion"/>
  </si>
  <si>
    <t>도시활력증진지역</t>
    <phoneticPr fontId="2" type="noConversion"/>
  </si>
  <si>
    <t>도시공원법</t>
    <phoneticPr fontId="2" type="noConversion"/>
  </si>
  <si>
    <t>도시공원</t>
    <phoneticPr fontId="2" type="noConversion"/>
  </si>
  <si>
    <t>녹지</t>
    <phoneticPr fontId="2" type="noConversion"/>
  </si>
  <si>
    <t>평화)황해경제자유구역 포승지구 조경 기본 및 실시설계 용역</t>
    <phoneticPr fontId="2" type="noConversion"/>
  </si>
  <si>
    <t>평화)혁신도시 바람길숲 조성사업 기본계획 용역</t>
    <phoneticPr fontId="2" type="noConversion"/>
  </si>
  <si>
    <t>평화)전북 군산 자연마당 조성사업</t>
    <phoneticPr fontId="2" type="noConversion"/>
  </si>
  <si>
    <t>생태계보전협력금 반환사업</t>
    <phoneticPr fontId="2" type="noConversion"/>
  </si>
  <si>
    <t>평화)광주 송정지구 도시개발구역 지정 및 개발계획 수립 용역</t>
    <phoneticPr fontId="2" type="noConversion"/>
  </si>
  <si>
    <t>평화)광주시 생태자원의 현명한 이용과 멸종위기종 서식처 복원</t>
    <phoneticPr fontId="2" type="noConversion"/>
  </si>
  <si>
    <t>평화)경춘선 폐철선부지 생물서식환경 창출과 생태성 강화</t>
    <phoneticPr fontId="2" type="noConversion"/>
  </si>
  <si>
    <t>도시개발법</t>
    <phoneticPr fontId="2" type="noConversion"/>
  </si>
  <si>
    <t>경관법</t>
    <phoneticPr fontId="2" type="noConversion"/>
  </si>
  <si>
    <t>경관계획</t>
    <phoneticPr fontId="2" type="noConversion"/>
  </si>
  <si>
    <t>평화)아산 도시관리계획(재정비) 수립용역</t>
    <phoneticPr fontId="2" type="noConversion"/>
  </si>
  <si>
    <t>평화)진도 군관리계획(재정비) 수립용역</t>
    <phoneticPr fontId="2" type="noConversion"/>
  </si>
  <si>
    <t>평화)금암체련공원 생태놀이터 조성사업 실시설계 용역</t>
    <phoneticPr fontId="2" type="noConversion"/>
  </si>
  <si>
    <t>생태놀이터</t>
    <phoneticPr fontId="2" type="noConversion"/>
  </si>
  <si>
    <t>평화)제5호 기적의 안심 생태놀이터 조성사업 실시설계 용역</t>
    <phoneticPr fontId="2" type="noConversion"/>
  </si>
  <si>
    <t>평화)인계3호공원(2단계) 자연마당 실시설계 용역</t>
    <phoneticPr fontId="2" type="noConversion"/>
  </si>
  <si>
    <t>평화)제6호 기적의 놀이터(생태놀이터) 조성사업 실시설계 용역</t>
    <phoneticPr fontId="2" type="noConversion"/>
  </si>
  <si>
    <t>평화) 매곡공원 공원조성계획(변경) 및 도시생태휴식공간 조성사업 실시설계 용역</t>
    <phoneticPr fontId="2" type="noConversion"/>
  </si>
  <si>
    <t>평화) 정하2 어린이공원 고우언조성계획(변경) 및 실시설계 용역</t>
    <phoneticPr fontId="2" type="noConversion"/>
  </si>
  <si>
    <t>건화)고성군 현내면 평화지역 경관조성사업 세부설계 용역</t>
    <phoneticPr fontId="2" type="noConversion"/>
  </si>
  <si>
    <t>조경부</t>
    <phoneticPr fontId="2" type="noConversion"/>
  </si>
  <si>
    <t>배한수</t>
    <phoneticPr fontId="2" type="noConversion"/>
  </si>
  <si>
    <t>농어촌정비법</t>
    <phoneticPr fontId="2" type="noConversion"/>
  </si>
  <si>
    <t>농어촌마을정비계획</t>
    <phoneticPr fontId="2" type="noConversion"/>
  </si>
  <si>
    <t>공유수면법</t>
    <phoneticPr fontId="2" type="noConversion"/>
  </si>
  <si>
    <t>공유수면의 점용허가</t>
    <phoneticPr fontId="2" type="noConversion"/>
  </si>
  <si>
    <t>건화)고온항 어촌뉴딜사업 기본 및 실시설계 용역</t>
    <phoneticPr fontId="2" type="noConversion"/>
  </si>
  <si>
    <t>공공</t>
    <phoneticPr fontId="2" type="noConversion"/>
  </si>
  <si>
    <t>어촌어항법</t>
    <phoneticPr fontId="2" type="noConversion"/>
  </si>
  <si>
    <t>어촌어항 재생사업</t>
    <phoneticPr fontId="2" type="noConversion"/>
  </si>
  <si>
    <t>건화)남령 근린공원(원도심 역사문화 도시공원) 조성 기본 및 실시설계 용역</t>
    <phoneticPr fontId="2" type="noConversion"/>
  </si>
  <si>
    <t>숲길</t>
    <phoneticPr fontId="2" type="noConversion"/>
  </si>
  <si>
    <t>건화)대왕저수지 수변공원 조성공사 실시설계 용역</t>
    <phoneticPr fontId="2" type="noConversion"/>
  </si>
  <si>
    <t>기반시설(공원)</t>
    <phoneticPr fontId="2" type="noConversion"/>
  </si>
  <si>
    <t>자연환경보전이용시설</t>
    <phoneticPr fontId="2" type="noConversion"/>
  </si>
  <si>
    <t>건화)동악산 생태축(서식지) 복원계획 수립 및 실시설계 용역</t>
    <phoneticPr fontId="2" type="noConversion"/>
  </si>
  <si>
    <t>습지보전법</t>
    <phoneticPr fontId="2" type="noConversion"/>
  </si>
  <si>
    <t>습지보전, 이용시설</t>
    <phoneticPr fontId="2" type="noConversion"/>
  </si>
  <si>
    <t>건화)밀리언근린공원 공원조성계획(변경) 및 사전재해영향성검토 용역</t>
    <phoneticPr fontId="2" type="noConversion"/>
  </si>
  <si>
    <t>도시관리계획, 개발제한구역, 실시계획인가</t>
    <phoneticPr fontId="2" type="noConversion"/>
  </si>
  <si>
    <t>건화)백제역사 너울옛길 시행계획 용역</t>
    <phoneticPr fontId="2" type="noConversion"/>
  </si>
  <si>
    <t>건화)섬진강 힐링생태공원 조성계획 결정 및 실시설계 용역</t>
    <phoneticPr fontId="2" type="noConversion"/>
  </si>
  <si>
    <t>건화)세종 국가보훈광장 조성사업 설계용역</t>
    <phoneticPr fontId="2" type="noConversion"/>
  </si>
  <si>
    <t>건화)수렴항 어촌유딜300사업 세부설계 용역</t>
    <phoneticPr fontId="2" type="noConversion"/>
  </si>
  <si>
    <t>어촌유딜300사업 세부설계</t>
    <phoneticPr fontId="2" type="noConversion"/>
  </si>
  <si>
    <t>항만법</t>
    <phoneticPr fontId="2" type="noConversion"/>
  </si>
  <si>
    <t>항만시설</t>
    <phoneticPr fontId="2" type="noConversion"/>
  </si>
  <si>
    <t>하천법</t>
    <phoneticPr fontId="2" type="noConversion"/>
  </si>
  <si>
    <t>건화)여자만 벌교갯벌(장도지구)일원 종합정비방안 타당성조사 용역</t>
    <phoneticPr fontId="2" type="noConversion"/>
  </si>
  <si>
    <t>해양생태계법</t>
    <phoneticPr fontId="2" type="noConversion"/>
  </si>
  <si>
    <t>해양보호구역</t>
    <phoneticPr fontId="2" type="noConversion"/>
  </si>
  <si>
    <t>어항구역, 어항시설</t>
    <phoneticPr fontId="2" type="noConversion"/>
  </si>
  <si>
    <t>연안습지</t>
    <phoneticPr fontId="2" type="noConversion"/>
  </si>
  <si>
    <t>건화)원주시 치악산 바람길숲 조성사업 기본 및 실시설계 용역</t>
    <phoneticPr fontId="2" type="noConversion"/>
  </si>
  <si>
    <t>철도산업기본법</t>
    <phoneticPr fontId="2" type="noConversion"/>
  </si>
  <si>
    <t>숲길, 탐방로</t>
    <phoneticPr fontId="2" type="noConversion"/>
  </si>
  <si>
    <t>산림사업</t>
    <phoneticPr fontId="2" type="noConversion"/>
  </si>
  <si>
    <t>도시숲, 생활숲, 가로수</t>
    <phoneticPr fontId="2" type="noConversion"/>
  </si>
  <si>
    <t>철도유휴부지</t>
    <phoneticPr fontId="2" type="noConversion"/>
  </si>
  <si>
    <t>건화)율포 해양레저관광 거점 조성사업 마스터플랜(기본설계) 용역</t>
    <phoneticPr fontId="2" type="noConversion"/>
  </si>
  <si>
    <t>건화)의정부 도시개발사업(원머루,정자말) 기본 및 실시설계 용역</t>
    <phoneticPr fontId="2" type="noConversion"/>
  </si>
  <si>
    <t>도시개발사업</t>
    <phoneticPr fontId="2" type="noConversion"/>
  </si>
  <si>
    <t>건화)호국평화 테마파크 조성사업 기본 및 실시설계 용역</t>
    <phoneticPr fontId="2" type="noConversion"/>
  </si>
  <si>
    <t>기반시설(광장, 공원, 하천)</t>
    <phoneticPr fontId="2" type="noConversion"/>
  </si>
  <si>
    <t>하천시설</t>
    <phoneticPr fontId="2" type="noConversion"/>
  </si>
  <si>
    <t>등록문화재</t>
    <phoneticPr fontId="2" type="noConversion"/>
  </si>
  <si>
    <t>동명)2030 부천시 경관기본계획 수립 용역</t>
    <phoneticPr fontId="2" type="noConversion"/>
  </si>
  <si>
    <t>동명)NFC유치 예비타당성조사 및 제안서작성 용역</t>
    <phoneticPr fontId="2" type="noConversion"/>
  </si>
  <si>
    <t>체육시설</t>
    <phoneticPr fontId="2" type="noConversion"/>
  </si>
  <si>
    <t>동명)곤지암 스포츠밸리 조성 도시관리계획변경 및 기본실시설계 용역</t>
    <phoneticPr fontId="2" type="noConversion"/>
  </si>
  <si>
    <t>산지관리법</t>
    <phoneticPr fontId="2" type="noConversion"/>
  </si>
  <si>
    <t>산지전용</t>
    <phoneticPr fontId="2" type="noConversion"/>
  </si>
  <si>
    <t>동명)녹색힐링벨트 도시관리계획 결정 및 공원조성계획 수립 용역</t>
    <phoneticPr fontId="2" type="noConversion"/>
  </si>
  <si>
    <t>동명)말둘레길 조성공사 타당성조사 및 사업구상 용역</t>
    <phoneticPr fontId="2" type="noConversion"/>
  </si>
  <si>
    <t>말산업육성법</t>
    <phoneticPr fontId="2" type="noConversion"/>
  </si>
  <si>
    <t>산림레포츠시설</t>
    <phoneticPr fontId="2" type="noConversion"/>
  </si>
  <si>
    <t>동명)반려동물문화센터 건립 발전전략 및 상세계획 수립용역</t>
    <phoneticPr fontId="2" type="noConversion"/>
  </si>
  <si>
    <t>동명)부석사 관광지조성사업 실시설계 용역</t>
    <phoneticPr fontId="2" type="noConversion"/>
  </si>
  <si>
    <t>동명)세계 바둑의 전당 건립을 위한 입지타당성 조사 용역</t>
    <phoneticPr fontId="2" type="noConversion"/>
  </si>
  <si>
    <t>동명)신불산 로프웨이 기본계획,타당성조사 및 기본설계 용역</t>
    <phoneticPr fontId="2" type="noConversion"/>
  </si>
  <si>
    <t>자연공원법</t>
    <phoneticPr fontId="2" type="noConversion"/>
  </si>
  <si>
    <t>궤도운송법</t>
    <phoneticPr fontId="2" type="noConversion"/>
  </si>
  <si>
    <t>도시계획시설(주차장)</t>
    <phoneticPr fontId="2" type="noConversion"/>
  </si>
  <si>
    <t>동명)포천아트밸리 힐링타운 조성사업 실시설계 용역</t>
    <phoneticPr fontId="2" type="noConversion"/>
  </si>
  <si>
    <t>동명)2020 부천 도시관리계획(재정비)용역</t>
    <phoneticPr fontId="2" type="noConversion"/>
  </si>
  <si>
    <t>동명)(2020년 양양 군기본계획(일부변경) 및 군관리계획(재정비) 수립용역</t>
    <phoneticPr fontId="2" type="noConversion"/>
  </si>
  <si>
    <t>동명)2020년 여주도시관리계획(재정비) 수립용역</t>
    <phoneticPr fontId="2" type="noConversion"/>
  </si>
  <si>
    <t>도시 및 주거환경정비</t>
    <phoneticPr fontId="2" type="noConversion"/>
  </si>
  <si>
    <t>동명)2030 부천도시주거환경정비 기본계획 수립용역</t>
    <phoneticPr fontId="2" type="noConversion"/>
  </si>
  <si>
    <t>지역개발계획</t>
    <phoneticPr fontId="2" type="noConversion"/>
  </si>
  <si>
    <t>동명)전라남도 지역개발계획 수립용역</t>
    <phoneticPr fontId="2" type="noConversion"/>
  </si>
  <si>
    <t>동명)신지농원 지구단위계획 결정 용역</t>
    <phoneticPr fontId="2" type="noConversion"/>
  </si>
  <si>
    <t>지구단위계획</t>
    <phoneticPr fontId="2" type="noConversion"/>
  </si>
  <si>
    <t>동명)엑스포재창조 사업 및 도룡거점지구 개발사업 실시계획수립용역</t>
    <phoneticPr fontId="2" type="noConversion"/>
  </si>
  <si>
    <t>동명)옥동송하지구 도시개발(개발계획)구역지정 및 지구단위계획구역 지정용역</t>
    <phoneticPr fontId="2" type="noConversion"/>
  </si>
  <si>
    <t>00000 테스트</t>
    <phoneticPr fontId="2" type="noConversion"/>
  </si>
  <si>
    <t>운수면 농촌중심지 활성화 사업 기본계획 및 실시설계 용역</t>
    <phoneticPr fontId="2" type="noConversion"/>
  </si>
  <si>
    <t>조경부</t>
    <phoneticPr fontId="2" type="noConversion"/>
  </si>
  <si>
    <t>농촌중심지</t>
    <phoneticPr fontId="2" type="noConversion"/>
  </si>
  <si>
    <t>기반시설(도로)</t>
    <phoneticPr fontId="2" type="noConversion"/>
  </si>
  <si>
    <t>심상철</t>
    <phoneticPr fontId="2" type="noConversion"/>
  </si>
  <si>
    <t>천승호</t>
    <phoneticPr fontId="2" type="noConversion"/>
  </si>
  <si>
    <t>윤현식</t>
    <phoneticPr fontId="2" type="noConversion"/>
  </si>
  <si>
    <t>양승수</t>
    <phoneticPr fontId="2" type="noConversion"/>
  </si>
  <si>
    <t>배승환</t>
    <phoneticPr fontId="2" type="noConversion"/>
  </si>
  <si>
    <t>김아연</t>
    <phoneticPr fontId="2" type="noConversion"/>
  </si>
  <si>
    <t>비엔날레 상징 국제타운조성 공원조성계획(변경) 및 도시관리계획 결정 용역</t>
    <phoneticPr fontId="2" type="noConversion"/>
  </si>
  <si>
    <t>금촌3동 커뮤니티숲 조성사업 기본 및 실시설계 용역</t>
    <phoneticPr fontId="2" type="noConversion"/>
  </si>
  <si>
    <t>용문산 관광지 지정(변경) 및 조성계획(변경) 수립 용역</t>
    <phoneticPr fontId="2" type="noConversion"/>
  </si>
  <si>
    <t>속리산 시어동 휴양체험단지 조성공사 기본 및 실시설계 용역</t>
    <phoneticPr fontId="2" type="noConversion"/>
  </si>
  <si>
    <t>무릉에코밸리(채광3지구) 수공간 활용 조사용역</t>
    <phoneticPr fontId="2" type="noConversion"/>
  </si>
  <si>
    <t>김중재</t>
    <phoneticPr fontId="2" type="noConversion"/>
  </si>
  <si>
    <t>초강천 절벽 초강잔교 및 짚라인설치 타당성조사 용역</t>
    <phoneticPr fontId="2" type="noConversion"/>
  </si>
  <si>
    <t>백암온천 생태공원 조성사업</t>
    <phoneticPr fontId="2" type="noConversion"/>
  </si>
  <si>
    <t>안면도 관광지(지포,윤여지구) 조성계획 및 실시설계 용역</t>
    <phoneticPr fontId="2" type="noConversion"/>
  </si>
  <si>
    <t>임동민</t>
    <phoneticPr fontId="2" type="noConversion"/>
  </si>
  <si>
    <t>궁평지구 관광개발계획 수립 용역</t>
    <phoneticPr fontId="2" type="noConversion"/>
  </si>
  <si>
    <t>죽산 관광휴양시설 조성사업 실시설계 및 산지전용허가 용역</t>
    <phoneticPr fontId="2" type="noConversion"/>
  </si>
  <si>
    <t>숲속야영장</t>
    <phoneticPr fontId="2" type="noConversion"/>
  </si>
  <si>
    <t>산림교육법</t>
    <phoneticPr fontId="2" type="noConversion"/>
  </si>
  <si>
    <t>유아숲체험원</t>
    <phoneticPr fontId="2" type="noConversion"/>
  </si>
  <si>
    <t>죽율공원 조성 타당성 조사 및 기본계획 수립 용역</t>
    <phoneticPr fontId="2" type="noConversion"/>
  </si>
  <si>
    <t>영덕산림레포츠단지 조성사업 공원조성계획 결정(변경) 및 실시설계 용역</t>
    <phoneticPr fontId="2" type="noConversion"/>
  </si>
  <si>
    <t>안면도 관광지 지정(변경) 및 조성계획(변경) 등 용역</t>
    <phoneticPr fontId="2" type="noConversion"/>
  </si>
  <si>
    <t>고동인</t>
    <phoneticPr fontId="2" type="noConversion"/>
  </si>
  <si>
    <t>중장기 리조트 개발 기본구상 용역</t>
    <phoneticPr fontId="2" type="noConversion"/>
  </si>
  <si>
    <t>태백 슬로우레스토랑 조성사업 기본 및 실시설계 용역</t>
    <phoneticPr fontId="2" type="noConversion"/>
  </si>
  <si>
    <t>페광지역법</t>
    <phoneticPr fontId="2" type="noConversion"/>
  </si>
  <si>
    <t>폐광지역 개발</t>
    <phoneticPr fontId="2" type="noConversion"/>
  </si>
  <si>
    <t>해남오시아노 관광단지 부분 준공처리 용역</t>
    <phoneticPr fontId="2" type="noConversion"/>
  </si>
  <si>
    <t>생태계보전협력금 반환사업(자연마당)</t>
    <phoneticPr fontId="2" type="noConversion"/>
  </si>
  <si>
    <t>도시(군)관리계획</t>
    <phoneticPr fontId="2" type="noConversion"/>
  </si>
  <si>
    <t>도시(군)관리계획 결정(변경)</t>
    <phoneticPr fontId="2" type="noConversion"/>
  </si>
  <si>
    <t>도시(군)관리계획 결정, 실시계획인가</t>
    <phoneticPr fontId="2" type="noConversion"/>
  </si>
  <si>
    <t>도시공원(조성계획)</t>
    <phoneticPr fontId="2" type="noConversion"/>
  </si>
  <si>
    <t>도시공원(근린), 공원조성계획</t>
    <phoneticPr fontId="2" type="noConversion"/>
  </si>
  <si>
    <t>도시공원(공원조성계획)</t>
    <phoneticPr fontId="2" type="noConversion"/>
  </si>
  <si>
    <t>도시공원(근린) (주제_문화)</t>
    <phoneticPr fontId="2" type="noConversion"/>
  </si>
  <si>
    <t>도시공원(근린), (주제_,수변,문화)</t>
    <phoneticPr fontId="2" type="noConversion"/>
  </si>
  <si>
    <t>도시공원(주제_체육)</t>
    <phoneticPr fontId="2" type="noConversion"/>
  </si>
  <si>
    <t>도시공원(주제_역사)</t>
    <phoneticPr fontId="2" type="noConversion"/>
  </si>
  <si>
    <t>도시공원(주제공원)</t>
    <phoneticPr fontId="2" type="noConversion"/>
  </si>
  <si>
    <t>도시공원(주제_과학)</t>
    <phoneticPr fontId="2" type="noConversion"/>
  </si>
  <si>
    <t>지구단위계획(관광휴양형)</t>
    <phoneticPr fontId="2" type="noConversion"/>
  </si>
  <si>
    <t>녹지-완충녹지, 연결녹지</t>
    <phoneticPr fontId="2" type="noConversion"/>
  </si>
  <si>
    <t>녹지-공원녹지</t>
    <phoneticPr fontId="2" type="noConversion"/>
  </si>
  <si>
    <t>녹지-완충녹지</t>
    <phoneticPr fontId="2" type="noConversion"/>
  </si>
  <si>
    <t>도시공원(도시자연공원)</t>
    <phoneticPr fontId="2" type="noConversion"/>
  </si>
  <si>
    <t>도시관리계획, 도시기본계획</t>
    <phoneticPr fontId="2" type="noConversion"/>
  </si>
  <si>
    <t>수목원정원법</t>
    <phoneticPr fontId="2" type="noConversion"/>
  </si>
  <si>
    <t>정원(지방정원, 민간정원, 공동체정원, 생활정원, 주제정원)</t>
    <phoneticPr fontId="2" type="noConversion"/>
  </si>
  <si>
    <t>정원도시 조성 타당성 조사 용역</t>
    <phoneticPr fontId="2" type="noConversion"/>
  </si>
  <si>
    <t>정원도시</t>
    <phoneticPr fontId="2" type="noConversion"/>
  </si>
  <si>
    <t>숲길(둘레길, 잔도)</t>
    <phoneticPr fontId="2" type="noConversion"/>
  </si>
  <si>
    <t>숲길, 생태탐방로, 산책로, 테마로드, 무장애길, 전망대 등</t>
    <phoneticPr fontId="2" type="noConversion"/>
  </si>
  <si>
    <t>자연휴양림, 치유의숲</t>
    <phoneticPr fontId="2" type="noConversion"/>
  </si>
  <si>
    <t>0-테스트용(10년 초과)</t>
    <phoneticPr fontId="2" type="noConversion"/>
  </si>
  <si>
    <t>자연재해대책법</t>
    <phoneticPr fontId="2" type="noConversion"/>
  </si>
  <si>
    <t>우수유출저감시설</t>
    <phoneticPr fontId="2" type="noConversion"/>
  </si>
  <si>
    <t>KG)샘머리지구 재해저감형 다목적 저류시설 설치사업 기본 및 실시설계용역</t>
    <phoneticPr fontId="2" type="noConversion"/>
  </si>
  <si>
    <t>KG)도시관리계획(공원조성계획)수립 및 타당성 검토 용역</t>
    <phoneticPr fontId="2" type="noConversion"/>
  </si>
  <si>
    <t>농어촌 생활환경 정비</t>
    <phoneticPr fontId="2" type="noConversion"/>
  </si>
  <si>
    <t>KG)농촌중심지 활성화사업 기본계획 및 실시설계(시행계획) 용역</t>
    <phoneticPr fontId="2" type="noConversion"/>
  </si>
  <si>
    <t>KG)대전 상서·평촌지구 재정비촉진지구 재정비촉진계획(변경) 용역</t>
    <phoneticPr fontId="2" type="noConversion"/>
  </si>
  <si>
    <t>도시재정비법</t>
    <phoneticPr fontId="2" type="noConversion"/>
  </si>
  <si>
    <t>재정비촉진계획</t>
    <phoneticPr fontId="2" type="noConversion"/>
  </si>
  <si>
    <t>도시군관리계획</t>
    <phoneticPr fontId="2" type="noConversion"/>
  </si>
  <si>
    <t>KG)고성군관리계획(재정비) 용역</t>
    <phoneticPr fontId="2" type="noConversion"/>
  </si>
  <si>
    <t>KG)남악신도시(옥암지구 대학부지) 택지개발사업 개발계획 및 실시계획 변경 수립용역</t>
    <phoneticPr fontId="2" type="noConversion"/>
  </si>
  <si>
    <t>택지개발법</t>
    <phoneticPr fontId="2" type="noConversion"/>
  </si>
  <si>
    <t>택지개발</t>
    <phoneticPr fontId="2" type="noConversion"/>
  </si>
  <si>
    <t>성장관리방안</t>
    <phoneticPr fontId="2" type="noConversion"/>
  </si>
  <si>
    <t>KG)홍성 비도시지역 성장관리방안 수립용역</t>
    <phoneticPr fontId="2" type="noConversion"/>
  </si>
  <si>
    <t>도시군기본계획</t>
    <phoneticPr fontId="2" type="noConversion"/>
  </si>
  <si>
    <t>KG)2030년 광명 도시기본계획 수립용역</t>
    <phoneticPr fontId="2" type="noConversion"/>
  </si>
  <si>
    <t>수도법</t>
    <phoneticPr fontId="2" type="noConversion"/>
  </si>
  <si>
    <t>공업용수도시설</t>
    <phoneticPr fontId="2" type="noConversion"/>
  </si>
  <si>
    <t>KG)한강하류권3차 공업용수 수수시설공사 기본 및 실시설계용역</t>
    <phoneticPr fontId="2" type="noConversion"/>
  </si>
  <si>
    <t>자전거법</t>
    <phoneticPr fontId="2" type="noConversion"/>
  </si>
  <si>
    <t>자전거도로</t>
    <phoneticPr fontId="2" type="noConversion"/>
  </si>
  <si>
    <t>KG)북부순환자전거길 조성사업 실시설계용역</t>
    <phoneticPr fontId="2" type="noConversion"/>
  </si>
  <si>
    <t>도시정비법</t>
    <phoneticPr fontId="2" type="noConversion"/>
  </si>
  <si>
    <t>주거환경개선사업</t>
    <phoneticPr fontId="2" type="noConversion"/>
  </si>
  <si>
    <t>KG)홍도구역외 1개소 주거환경개선사업 구역지정 및 정비계획 수립</t>
    <phoneticPr fontId="2" type="noConversion"/>
  </si>
  <si>
    <t>수도시설</t>
    <phoneticPr fontId="2" type="noConversion"/>
  </si>
  <si>
    <t>KG)황해경제자유구역해제지역 지방상수도 시설공사 기본 및 실시설계 용역</t>
    <phoneticPr fontId="2" type="noConversion"/>
  </si>
  <si>
    <t>KG)2020 성남시 공원녹지기본계획 재정비 용역</t>
    <phoneticPr fontId="2" type="noConversion"/>
  </si>
  <si>
    <t>KG)경춘선숲길 공원조성(3단계) 실시설계(보완) 용역</t>
    <phoneticPr fontId="2" type="noConversion"/>
  </si>
  <si>
    <t>KG)경춘선숲길 공원조성(4단계) 실시설계(보완) 용역</t>
    <phoneticPr fontId="2" type="noConversion"/>
  </si>
  <si>
    <t>하수도법</t>
    <phoneticPr fontId="2" type="noConversion"/>
  </si>
  <si>
    <t>하수관로</t>
    <phoneticPr fontId="2" type="noConversion"/>
  </si>
  <si>
    <t>KG)동두천시 차집관로 개선사업 기본 및 실시설계용역</t>
    <phoneticPr fontId="2" type="noConversion"/>
  </si>
  <si>
    <t>KG)시흥시 스마트허브(공업지역) 하수관거 정비사업 기본설계 용역</t>
    <phoneticPr fontId="2" type="noConversion"/>
  </si>
  <si>
    <t>KG)상봉암1 근린공원(소요산 산림욕장 확대개발) 조성 및 실시설계 용역</t>
    <phoneticPr fontId="2" type="noConversion"/>
  </si>
  <si>
    <t>항만배후단지</t>
    <phoneticPr fontId="2" type="noConversion"/>
  </si>
  <si>
    <t>KG)평택항 2종 항만배후단지 기본계획 수립 용역</t>
    <phoneticPr fontId="2" type="noConversion"/>
  </si>
  <si>
    <t>교육연구시설(도서관)</t>
    <phoneticPr fontId="2" type="noConversion"/>
  </si>
  <si>
    <t>KG)『U-City복합센터』건립공사 설계용역</t>
    <phoneticPr fontId="2" type="noConversion"/>
  </si>
  <si>
    <t>운동시설(체력단련장,체육관,수영장)</t>
    <phoneticPr fontId="2" type="noConversion"/>
  </si>
  <si>
    <t>업무시설(공공업무시설)</t>
    <phoneticPr fontId="2" type="noConversion"/>
  </si>
  <si>
    <t>제1종 근린생활시설</t>
    <phoneticPr fontId="2" type="noConversion"/>
  </si>
  <si>
    <t>KG)파주 장단콩 웰빙마루 조성공사 기본 및 실시설계 용역</t>
    <phoneticPr fontId="2" type="noConversion"/>
  </si>
  <si>
    <t>제2종 근린생활시설</t>
    <phoneticPr fontId="2" type="noConversion"/>
  </si>
  <si>
    <t>문화 및 집회시설</t>
    <phoneticPr fontId="2" type="noConversion"/>
  </si>
  <si>
    <t>공장</t>
    <phoneticPr fontId="2" type="noConversion"/>
  </si>
  <si>
    <t>관광휴게시설</t>
    <phoneticPr fontId="2" type="noConversion"/>
  </si>
  <si>
    <t>2030+AE153:AE189 광명 도시기본계획 수립용역+AE154:AE187</t>
    <phoneticPr fontId="2" type="noConversion"/>
  </si>
  <si>
    <t>KG)캠프 라과디아 체육공원 조성계획 수립 용역</t>
    <phoneticPr fontId="2" type="noConversion"/>
  </si>
  <si>
    <t>보행자 및 자전거 전용도로</t>
    <phoneticPr fontId="2" type="noConversion"/>
  </si>
  <si>
    <t>KG)푸른지대길 추억(명소, 힐링, 비전)의 거리 조성 실시설계용역</t>
    <phoneticPr fontId="2" type="noConversion"/>
  </si>
  <si>
    <t>KG)왕송호수공원 공원조성계획 변경용역</t>
    <phoneticPr fontId="2" type="noConversion"/>
  </si>
  <si>
    <t>KG)세계 캠핑체험존 조성사업 기본 및 실시설계 용역</t>
    <phoneticPr fontId="2" type="noConversion"/>
  </si>
  <si>
    <t>KG)남양주 준공택지 지구단위계획 재정비 용역</t>
    <phoneticPr fontId="2" type="noConversion"/>
  </si>
  <si>
    <t>KG)고렴산수변공원 실시설계용역</t>
    <phoneticPr fontId="2" type="noConversion"/>
  </si>
  <si>
    <t>KG)연인산도립공원계획변경(결정) 및 관리시스템 구축 용역</t>
    <phoneticPr fontId="2" type="noConversion"/>
  </si>
  <si>
    <t>KG)김포 한강둔치 활용 기본구상 용역</t>
    <phoneticPr fontId="2" type="noConversion"/>
  </si>
  <si>
    <t>하천점용허가</t>
    <phoneticPr fontId="2" type="noConversion"/>
  </si>
  <si>
    <t>KG)캠프 그리브스 문화재생사업 실시설계용역</t>
    <phoneticPr fontId="2" type="noConversion"/>
  </si>
  <si>
    <t>KG)석수역 주변 도시개발구역 지정 및 개발계획 수립 용역</t>
    <phoneticPr fontId="2" type="noConversion"/>
  </si>
  <si>
    <t>KG)신곡배수지 공원 정비공사 실시설계 용역</t>
    <phoneticPr fontId="2" type="noConversion"/>
  </si>
  <si>
    <t>KG)산이리 소공원 공원조성계획 결정 및 실시계획인가 용역</t>
    <phoneticPr fontId="2" type="noConversion"/>
  </si>
  <si>
    <t>KG)내포-해미 역사탐방로 조성사업 실시설계 용역</t>
    <phoneticPr fontId="2" type="noConversion"/>
  </si>
  <si>
    <t>KG)성남 동원동 도시개발사업 구역지정 및 개발계획수립 용역</t>
    <phoneticPr fontId="2" type="noConversion"/>
  </si>
  <si>
    <t>KG)옻골문화공원 도시관리계획(변경) 결정, 공원조성계획 수립 및 실시설계 용역</t>
    <phoneticPr fontId="2" type="noConversion"/>
  </si>
  <si>
    <t>광장</t>
    <phoneticPr fontId="2" type="noConversion"/>
  </si>
  <si>
    <t>KG)경기도청 북부청사 광장 리모델링사업 기본 실시설계용역</t>
    <phoneticPr fontId="2" type="noConversion"/>
  </si>
  <si>
    <t>공공디자인법</t>
    <phoneticPr fontId="2" type="noConversion"/>
  </si>
  <si>
    <t>공공업무시설</t>
    <phoneticPr fontId="2" type="noConversion"/>
  </si>
  <si>
    <t>KG)임진각 습지체험학습원 조성사업 실시설계용역</t>
    <phoneticPr fontId="2" type="noConversion"/>
  </si>
  <si>
    <t>KG)마장호수공원 공원조성계획(변경) 및 실시설계 용역</t>
    <phoneticPr fontId="2" type="noConversion"/>
  </si>
  <si>
    <t>KG)둔치도 활용방안[도시관리계획(공원결정 등)] 수립용역</t>
    <phoneticPr fontId="2" type="noConversion"/>
  </si>
  <si>
    <t>미군공여구역법</t>
    <phoneticPr fontId="2" type="noConversion"/>
  </si>
  <si>
    <t>KG)주한미군 반환공여구역 기본구상 및 사업화방안 수립용역</t>
    <phoneticPr fontId="2" type="noConversion"/>
  </si>
  <si>
    <t>운동시설(체육관)</t>
    <phoneticPr fontId="2" type="noConversion"/>
  </si>
  <si>
    <t>KG)동두천 국민체육센터 건립 기본 및 실시설계용역</t>
    <phoneticPr fontId="2" type="noConversion"/>
  </si>
  <si>
    <t>자동차관련시설(주차장)</t>
    <phoneticPr fontId="2" type="noConversion"/>
  </si>
  <si>
    <t>KG)의정부시 도시관리계획(주차장) 결정(변경) 용역</t>
    <phoneticPr fontId="2" type="noConversion"/>
  </si>
  <si>
    <t>재해복구사업</t>
    <phoneticPr fontId="2" type="noConversion"/>
  </si>
  <si>
    <t>KG)양산천 수해복구사업 실시설계용역</t>
    <phoneticPr fontId="2" type="noConversion"/>
  </si>
  <si>
    <t>지방하천</t>
    <phoneticPr fontId="2" type="noConversion"/>
  </si>
  <si>
    <t>KG)삼거리공원 공원조성계획결정(변경) 용역</t>
    <phoneticPr fontId="2" type="noConversion"/>
  </si>
  <si>
    <t>KG)한탄강 홍수터 개발사업 기본구상(변경) 수립용역</t>
    <phoneticPr fontId="2" type="noConversion"/>
  </si>
  <si>
    <t>농어촌관광휴양단지</t>
    <phoneticPr fontId="2" type="noConversion"/>
  </si>
  <si>
    <t>KG)백미리 체험테마공원 조성사업 타당성조사 용역</t>
    <phoneticPr fontId="2" type="noConversion"/>
  </si>
  <si>
    <t>지방정원</t>
    <phoneticPr fontId="2" type="noConversion"/>
  </si>
  <si>
    <t>KG)가칭 세계정원 경기가든 조성사업 타당성 및 기본계획수립 용역</t>
    <phoneticPr fontId="2" type="noConversion"/>
  </si>
  <si>
    <t>KG)의정부 테크노밸리 입지 선정을 위한 조사 용역</t>
    <phoneticPr fontId="2" type="noConversion"/>
  </si>
  <si>
    <t>삭도</t>
    <phoneticPr fontId="2" type="noConversion"/>
  </si>
  <si>
    <t>KG)한탄강 곤돌라 설치사업 타당성조사 및 기본계획 용역</t>
    <phoneticPr fontId="2" type="noConversion"/>
  </si>
  <si>
    <t>KG)서천종합운동장 체육시설 설치 기본구상 용역</t>
    <phoneticPr fontId="2" type="noConversion"/>
  </si>
  <si>
    <t>KG)가학산근린공원 공원조성계획(변경) 및 개발제한구역관리계획(변경)</t>
    <phoneticPr fontId="2" type="noConversion"/>
  </si>
  <si>
    <t>KG)영산강변 저류지 테마공원 조성사업 타당성 조사 용역</t>
    <phoneticPr fontId="2" type="noConversion"/>
  </si>
  <si>
    <t>KG)2017년 생태쌈지공원 조성사업 설계 용역</t>
    <phoneticPr fontId="2" type="noConversion"/>
  </si>
  <si>
    <t>공작물(유희시설,짚라인)</t>
    <phoneticPr fontId="2" type="noConversion"/>
  </si>
  <si>
    <t>KG)자연학습공원내 짚라인설치공사 실시설계 용역</t>
    <phoneticPr fontId="2" type="noConversion"/>
  </si>
  <si>
    <t>KG)유통단지주변 활성화방안 기본구상 수립용역</t>
    <phoneticPr fontId="2" type="noConversion"/>
  </si>
  <si>
    <t>KG)한강제방 일원 명품 휴식공간조성 기본구상 및 기본계획 수립용역</t>
    <phoneticPr fontId="2" type="noConversion"/>
  </si>
  <si>
    <t>KG)마장호수 주차장 타당성 용역</t>
    <phoneticPr fontId="2" type="noConversion"/>
  </si>
  <si>
    <t>KG)비슬관광지 조성 계획 수립 및 기본설계 용역</t>
    <phoneticPr fontId="2" type="noConversion"/>
  </si>
  <si>
    <t>KG)소양호 빙어체험마을 조성사업 기본계획 및 실시설계용역</t>
    <phoneticPr fontId="2" type="noConversion"/>
  </si>
  <si>
    <t>도로법</t>
    <phoneticPr fontId="2" type="noConversion"/>
  </si>
  <si>
    <t>국가지원지방도</t>
    <phoneticPr fontId="2" type="noConversion"/>
  </si>
  <si>
    <t>KG)국지도98호선(백석-단촌) 선형 개선사업 실시설계용역</t>
    <phoneticPr fontId="2" type="noConversion"/>
  </si>
  <si>
    <t>KG)춘천 학곡지구 도시개발사업 조사설계(변경) 용역</t>
    <phoneticPr fontId="2" type="noConversion"/>
  </si>
  <si>
    <t>KG)용인시 경관계획 재정비 용역</t>
    <phoneticPr fontId="2" type="noConversion"/>
  </si>
  <si>
    <t>KG)화개 정금차밭 관광다원 지구단위계획 수립 및 실시설계</t>
    <phoneticPr fontId="2" type="noConversion"/>
  </si>
  <si>
    <t>산업입지법</t>
    <phoneticPr fontId="2" type="noConversion"/>
  </si>
  <si>
    <t>국가산업단지</t>
    <phoneticPr fontId="2" type="noConversion"/>
  </si>
  <si>
    <t>KG)익산국가산업단지 재생계획 및 지구지정 수립 용역</t>
    <phoneticPr fontId="2" type="noConversion"/>
  </si>
  <si>
    <t>KG)외곽순환 고속도로 하부공간(해그늘체육공원) 기본 구상 수립 및 기본계획 변경용역</t>
    <phoneticPr fontId="2" type="noConversion"/>
  </si>
  <si>
    <t>상수관로</t>
    <phoneticPr fontId="2" type="noConversion"/>
  </si>
  <si>
    <t>KG)창녕군 지방상수도 현대화사업 기본설계 용역</t>
    <phoneticPr fontId="2" type="noConversion"/>
  </si>
  <si>
    <t>KG)고속도로 주변 난개발 방지 및 활성화 방안 수립용역</t>
    <phoneticPr fontId="2" type="noConversion"/>
  </si>
  <si>
    <t>KG)서해대교 주변 항만친수공간 조성사업 실시설계 용역</t>
    <phoneticPr fontId="2" type="noConversion"/>
  </si>
  <si>
    <t>공동주택</t>
    <phoneticPr fontId="2" type="noConversion"/>
  </si>
  <si>
    <t>KG)경기 공공리모델링 임대주택 설계 및 감리용역(2017-2차)</t>
    <phoneticPr fontId="2" type="noConversion"/>
  </si>
  <si>
    <t>교육연구시설(학교)</t>
    <phoneticPr fontId="2" type="noConversion"/>
  </si>
  <si>
    <t>KG)성남고등 왕남초교 정밀안전진단 및 증축계획설계용역</t>
    <phoneticPr fontId="2" type="noConversion"/>
  </si>
  <si>
    <t>KG)부천중동시장 공영주차장 조성공사 실시설계 용역</t>
    <phoneticPr fontId="2" type="noConversion"/>
  </si>
  <si>
    <t>KG)2030 청주 도시기본계획 변경수립용역</t>
    <phoneticPr fontId="2" type="noConversion"/>
  </si>
  <si>
    <t>KG)고양시 장기미집행공원 실효대응 방안 검토 용역</t>
    <phoneticPr fontId="2" type="noConversion"/>
  </si>
  <si>
    <t>KG)낙풍천 하천정비 및 재해예방사업 실시설계용역</t>
    <phoneticPr fontId="2" type="noConversion"/>
  </si>
  <si>
    <t>KG)서운로 일대 저지·고지수로 기본 및 실시설계 용역</t>
    <phoneticPr fontId="2" type="noConversion"/>
  </si>
  <si>
    <t>KG)갈산근린공원 아이누리 놀이터 조성사업 실시설계 용역</t>
    <phoneticPr fontId="2" type="noConversion"/>
  </si>
  <si>
    <t>KG)평택호 관광단지 해제지역 성장관리방안 수립용역</t>
    <phoneticPr fontId="2" type="noConversion"/>
  </si>
  <si>
    <t>KG)광주시 성장관리방안 수립용역</t>
    <phoneticPr fontId="2" type="noConversion"/>
  </si>
  <si>
    <t>도시계획도로</t>
    <phoneticPr fontId="2" type="noConversion"/>
  </si>
  <si>
    <t>KG)경원선전철 연계도로(연천중1-1호선외 4개노선) 기본 및 실시설계용역</t>
    <phoneticPr fontId="2" type="noConversion"/>
  </si>
  <si>
    <t>지방도</t>
    <phoneticPr fontId="2" type="noConversion"/>
  </si>
  <si>
    <t>KG)경원선전철 연계도로(연천중1-1호선외 5개노선) 기본 및 실시설계용역</t>
    <phoneticPr fontId="2" type="noConversion"/>
  </si>
  <si>
    <t>KG)소래공원 멀티주차장 조성공사 실시설계용역</t>
    <phoneticPr fontId="2" type="noConversion"/>
  </si>
  <si>
    <t>KG)고양시 대규모 개발사업 종합추진 사업화용역</t>
    <phoneticPr fontId="2" type="noConversion"/>
  </si>
  <si>
    <t>도시재생활성화계획</t>
    <phoneticPr fontId="2" type="noConversion"/>
  </si>
  <si>
    <t>KG)서정 및 하북지역 도시재생활성화계획 수립 용역</t>
    <phoneticPr fontId="2" type="noConversion"/>
  </si>
  <si>
    <t>KG)용문생활체육공원 아이누리 놀이터 조성사업 실시설계 용역</t>
    <phoneticPr fontId="2" type="noConversion"/>
  </si>
  <si>
    <t>KG)탑돌어린이공원 아이누리 놀이터 조성사업 실시설계</t>
    <phoneticPr fontId="2" type="noConversion"/>
  </si>
  <si>
    <t>KG)의서어린이공원 아이누리 놀이터 조성사업 실시설계</t>
    <phoneticPr fontId="2" type="noConversion"/>
  </si>
  <si>
    <t>KG)호원천 생태하천 복원계획 수립 용역</t>
    <phoneticPr fontId="2" type="noConversion"/>
  </si>
  <si>
    <t>KG)김포 성장관리방안 수립 용역</t>
    <phoneticPr fontId="2" type="noConversion"/>
  </si>
  <si>
    <t>노유자시설(사회복지시설)</t>
    <phoneticPr fontId="2" type="noConversion"/>
  </si>
  <si>
    <t>KG)경기북부 장애인복지종합지원센터 건립 설계용역</t>
    <phoneticPr fontId="2" type="noConversion"/>
  </si>
  <si>
    <t>KG)목감동 생활체육시설 조성사업 실시계획 인가 및 설계용역</t>
    <phoneticPr fontId="2" type="noConversion"/>
  </si>
  <si>
    <t>공공하수처리시설</t>
    <phoneticPr fontId="2" type="noConversion"/>
  </si>
  <si>
    <t>KG)양주시 신천.장흥.송추하수도 민간투자사업 설계 및 건설공사 사후평가 용역</t>
    <phoneticPr fontId="2" type="noConversion"/>
  </si>
  <si>
    <t>건설기술진흥법</t>
    <phoneticPr fontId="2" type="noConversion"/>
  </si>
  <si>
    <t>건설공사 사후평가</t>
    <phoneticPr fontId="2" type="noConversion"/>
  </si>
  <si>
    <t>KG)기산저수지 주변 관광개발 기본구상 용역</t>
    <phoneticPr fontId="2" type="noConversion"/>
  </si>
  <si>
    <t>투자선도지구</t>
    <phoneticPr fontId="2" type="noConversion"/>
  </si>
  <si>
    <t>KG)함평 축산특화산업 개발계획 및 지구지정 용역</t>
    <phoneticPr fontId="2" type="noConversion"/>
  </si>
  <si>
    <t>농공단지</t>
    <phoneticPr fontId="2" type="noConversion"/>
  </si>
  <si>
    <t>KG)2035 양주 도시기본계획 수립 및 도시관리계획 변경 용역</t>
    <phoneticPr fontId="2" type="noConversion"/>
  </si>
  <si>
    <t>KG)2036 양주 도시기본계획 수립 및 도시관리계획 변경 용역</t>
    <phoneticPr fontId="2" type="noConversion"/>
  </si>
  <si>
    <t>KG)매봉산 산악관광 조성사업 기본 및 실시설계 용역</t>
    <phoneticPr fontId="2" type="noConversion"/>
  </si>
  <si>
    <t>KG)석수역 주변 도시개발사업 실시계획 및 환지계획 수립용역</t>
    <phoneticPr fontId="2" type="noConversion"/>
  </si>
  <si>
    <t>KG)306 보충대대 도시개발구역 지정 및 개발계획 수립용역</t>
    <phoneticPr fontId="2" type="noConversion"/>
  </si>
  <si>
    <t>KG)2035년 고양도시기본계획 수립 용역</t>
    <phoneticPr fontId="2" type="noConversion"/>
  </si>
  <si>
    <t>KG)신평지역 도시재생활성화계획 수립 용역</t>
    <phoneticPr fontId="2" type="noConversion"/>
  </si>
  <si>
    <t>주차장법</t>
    <phoneticPr fontId="2" type="noConversion"/>
  </si>
  <si>
    <t>노외주차장</t>
    <phoneticPr fontId="2" type="noConversion"/>
  </si>
  <si>
    <t>KG)도시공원 활용 공영주차장 확충방안 기초타당성 조사용역</t>
    <phoneticPr fontId="2" type="noConversion"/>
  </si>
  <si>
    <t>KG)은빛근린공원 활용 공영주차장 확충방안 기초타당성 조사용역</t>
    <phoneticPr fontId="2" type="noConversion"/>
  </si>
  <si>
    <t>자연재해위험개선지구</t>
    <phoneticPr fontId="2" type="noConversion"/>
  </si>
  <si>
    <t>KG)운봉 자연재해위험개선지구 정비사업 실시설계용역</t>
    <phoneticPr fontId="2" type="noConversion"/>
  </si>
  <si>
    <t>하수도시설</t>
    <phoneticPr fontId="2" type="noConversion"/>
  </si>
  <si>
    <t>KG)장자호수생태공원 수질개선 타당성 조사 및 기본계획 용역</t>
    <phoneticPr fontId="2" type="noConversion"/>
  </si>
  <si>
    <t>KG)김포재정비촉진지구 존치지역 관리방안 재정비촉진계획 변경 용역</t>
    <phoneticPr fontId="2" type="noConversion"/>
  </si>
  <si>
    <t>KG)경기 아이누리 놀이터 조성공사 실시설계 용역</t>
    <phoneticPr fontId="2" type="noConversion"/>
  </si>
  <si>
    <t>도시재생사업</t>
    <phoneticPr fontId="2" type="noConversion"/>
  </si>
  <si>
    <t>KG)행궁동 골목길 특성화사업 기본 및 실시설계 용역</t>
    <phoneticPr fontId="2" type="noConversion"/>
  </si>
  <si>
    <t>KG)개발제한구역 합리적 관리방안 용역</t>
    <phoneticPr fontId="2" type="noConversion"/>
  </si>
  <si>
    <t>개발제한구역</t>
    <phoneticPr fontId="2" type="noConversion"/>
  </si>
  <si>
    <t>KG)2025 군포시 기본경관계획(재정비)수립 용역</t>
    <phoneticPr fontId="2" type="noConversion"/>
  </si>
  <si>
    <t>KG)2035년 남양주 도시기본계획 수립 용역</t>
    <phoneticPr fontId="2" type="noConversion"/>
  </si>
  <si>
    <t>KG)학현근린공원 조성계획 변경 및 실시설계 용역</t>
    <phoneticPr fontId="2" type="noConversion"/>
  </si>
  <si>
    <t>KG)고흥 남계지구 어울림마당 조성공사 실시설계 용역</t>
    <phoneticPr fontId="2" type="noConversion"/>
  </si>
  <si>
    <t>군도</t>
    <phoneticPr fontId="2" type="noConversion"/>
  </si>
  <si>
    <t>운동시설</t>
    <phoneticPr fontId="2" type="noConversion"/>
  </si>
  <si>
    <t>KG)세계 바둑스포츠 컴플렉스 계획(중간) 및 실시설계용역</t>
    <phoneticPr fontId="2" type="noConversion"/>
  </si>
  <si>
    <t>KG)경기 아이누리 놀이터 조성(리모델링)사업 실시설계용역</t>
    <phoneticPr fontId="2" type="noConversion"/>
  </si>
  <si>
    <t>KG)제주국제공항 진출입 교통체증 해소사업 기본 및 실시설계용역</t>
    <phoneticPr fontId="2" type="noConversion"/>
  </si>
  <si>
    <t>KG)당진 도시기본계획 재정비 용역</t>
    <phoneticPr fontId="2" type="noConversion"/>
  </si>
  <si>
    <t>KG)영종·용유 성장관리방안 등 수립 용역</t>
    <phoneticPr fontId="2" type="noConversion"/>
  </si>
  <si>
    <t>KG)옥천군 공공하수처리시설 및 하수관로 설치사업 기본 및 실시설계</t>
    <phoneticPr fontId="2" type="noConversion"/>
  </si>
  <si>
    <t>KG)옛다솜이야기원 조성사업 기본 및 실시설계용역</t>
    <phoneticPr fontId="2" type="noConversion"/>
  </si>
  <si>
    <t>KG)2035년 성남 도시기본계획 수립 용역</t>
    <phoneticPr fontId="2" type="noConversion"/>
  </si>
  <si>
    <t>KG)2035 포천도시기본계획 수립용역</t>
    <phoneticPr fontId="2" type="noConversion"/>
  </si>
  <si>
    <t>KG)신천동 생활체육시설 조성사업 실시계획인가 및 설계용역</t>
    <phoneticPr fontId="2" type="noConversion"/>
  </si>
  <si>
    <t>일반산업단지</t>
    <phoneticPr fontId="2" type="noConversion"/>
  </si>
  <si>
    <t>KG)이당일반산업단지 계획 수립 용역</t>
    <phoneticPr fontId="2" type="noConversion"/>
  </si>
  <si>
    <t>KG)오성근린공원 조성계획 수립용역</t>
    <phoneticPr fontId="2" type="noConversion"/>
  </si>
  <si>
    <t>KG)무안군 농업진흥지역 해제에 따른 관리지역 세분 용역</t>
    <phoneticPr fontId="2" type="noConversion"/>
  </si>
  <si>
    <t>KG)당진 수청2지구 도시개발사업 개발계획 및 실시계획 변경용역</t>
    <phoneticPr fontId="2" type="noConversion"/>
  </si>
  <si>
    <t>KG)임실치즈팜랜드 내 관광기반 조성사업 기본및 실시설계용역</t>
    <phoneticPr fontId="2" type="noConversion"/>
  </si>
  <si>
    <t>KG)장기미집행 도시공원(2020년) 타당성조사 및 실시설계용역</t>
    <phoneticPr fontId="2" type="noConversion"/>
  </si>
  <si>
    <t>KG)해남군 군관리계획(용도지역, 관광휴양형 지구단위) 수립 용역</t>
    <phoneticPr fontId="2" type="noConversion"/>
  </si>
  <si>
    <t>용도지역변경</t>
    <phoneticPr fontId="2" type="noConversion"/>
  </si>
  <si>
    <t>KG)2030 창원시 도시·주거환경정비 기본계획 수립 용역</t>
    <phoneticPr fontId="2" type="noConversion"/>
  </si>
  <si>
    <t>KG)안정커뮤니티광장 조성사업 조성(안) 및 실시설계용역</t>
    <phoneticPr fontId="2" type="noConversion"/>
  </si>
  <si>
    <t>KG)2025년 의령군 군관리계획(재정비)수립 용역</t>
    <phoneticPr fontId="2" type="noConversion"/>
  </si>
  <si>
    <t>장사법</t>
    <phoneticPr fontId="2" type="noConversion"/>
  </si>
  <si>
    <t>자연장지(수목장림)</t>
    <phoneticPr fontId="2" type="noConversion"/>
  </si>
  <si>
    <t>KG)추모공원 수목장림조성 실시설계용역</t>
    <phoneticPr fontId="2" type="noConversion"/>
  </si>
  <si>
    <t>KG)삼학도 관광객 유입시설 기본구상 및 타당성조사 용역</t>
    <phoneticPr fontId="2" type="noConversion"/>
  </si>
  <si>
    <t>KG)제3땅굴 역사공원 조성계획 및 기본·실시설계용역</t>
    <phoneticPr fontId="2" type="noConversion"/>
  </si>
  <si>
    <t>KG)물왕저수지 수변데크 산책길 조성사업 실시설계용역</t>
    <phoneticPr fontId="2" type="noConversion"/>
  </si>
  <si>
    <t>KG)명성 어린이공원 및 용화천변 휴게공간 조성사업 실시설계용역</t>
    <phoneticPr fontId="2" type="noConversion"/>
  </si>
  <si>
    <t>도시숲(도시바람길숲)</t>
    <phoneticPr fontId="2" type="noConversion"/>
  </si>
  <si>
    <t>KG)증평군 도시 바람길숲 조성사업 기본 및 실시설계용역</t>
    <phoneticPr fontId="2" type="noConversion"/>
  </si>
  <si>
    <t>KG)성골지구 기본실시·환지계획수립 용역</t>
    <phoneticPr fontId="2" type="noConversion"/>
  </si>
  <si>
    <t>KG)영광 공설추모공원 조성사업 기본 및 실시설계용역</t>
    <phoneticPr fontId="2" type="noConversion"/>
  </si>
  <si>
    <t>장사시설(봉안시설,자연장지)</t>
    <phoneticPr fontId="2" type="noConversion"/>
  </si>
  <si>
    <t>묘지관련시설(봉안당)</t>
    <phoneticPr fontId="2" type="noConversion"/>
  </si>
  <si>
    <t>KG)2035년 울산 공원녹지기본계획 수립용역</t>
    <phoneticPr fontId="2" type="noConversion"/>
  </si>
  <si>
    <t>KG)2036년 울산 공원녹지기본계획 수립용역</t>
    <phoneticPr fontId="2" type="noConversion"/>
  </si>
  <si>
    <t>교통시설(궤도)</t>
    <phoneticPr fontId="2" type="noConversion"/>
  </si>
  <si>
    <t>KG)알프스 하동 프로젝트 군관리계획 및 실시설계 용역</t>
    <phoneticPr fontId="2" type="noConversion"/>
  </si>
  <si>
    <t>궤도(모노레일)</t>
    <phoneticPr fontId="2" type="noConversion"/>
  </si>
  <si>
    <t>KG)팔봉산관광지 조성계획(변경) 수립 용역</t>
    <phoneticPr fontId="2" type="noConversion"/>
  </si>
  <si>
    <t>KG)함파우 지방정원 조성사업 기본 및 실시설계용역</t>
    <phoneticPr fontId="2" type="noConversion"/>
  </si>
  <si>
    <t>도시계획시설(공원)</t>
    <phoneticPr fontId="2" type="noConversion"/>
  </si>
  <si>
    <t>KG)한실들 대곡지 산림휴양공원 도시계획시설(공원) 결정 용역</t>
    <phoneticPr fontId="2" type="noConversion"/>
  </si>
  <si>
    <t>산림휴양공원</t>
    <phoneticPr fontId="2" type="noConversion"/>
  </si>
  <si>
    <t>KG)동두천 산림치유원(산림복지단지) 조성계획 및 실시설계용역</t>
    <phoneticPr fontId="2" type="noConversion"/>
  </si>
  <si>
    <t>산림복지법</t>
    <phoneticPr fontId="2" type="noConversion"/>
  </si>
  <si>
    <t>산림복지단지</t>
    <phoneticPr fontId="2" type="noConversion"/>
  </si>
  <si>
    <t>운동시설(수영장)</t>
    <phoneticPr fontId="2" type="noConversion"/>
  </si>
  <si>
    <t>KG)동두천시 행복드림센터(시민수영장) 건축 설계공모</t>
    <phoneticPr fontId="2" type="noConversion"/>
  </si>
  <si>
    <t>KG)오성근린공원 조성사업 기본 및 실시설계용역</t>
    <phoneticPr fontId="2" type="noConversion"/>
  </si>
  <si>
    <t>KG)만인공원 광장 및 교차로 개선사업 기본 및 실시설계용역</t>
    <phoneticPr fontId="2" type="noConversion"/>
  </si>
  <si>
    <t>KG)양주시 농업기술센터 청사이전(농업인회관 포함) 건립공사 실시설계 용역</t>
    <phoneticPr fontId="2" type="noConversion"/>
  </si>
  <si>
    <t>KG)미사경정공원 안전시설 강화 및 노후시설 정비사업 공원조성계획(변경) 및 실시설계용역</t>
    <phoneticPr fontId="2" type="noConversion"/>
  </si>
  <si>
    <t>KG)동두천시 복합문화커뮤니티센터 건립사업 기본 및 실시설계용역</t>
    <phoneticPr fontId="2" type="noConversion"/>
  </si>
  <si>
    <t>제2종 근린생활시설(공연장)</t>
    <phoneticPr fontId="2" type="noConversion"/>
  </si>
  <si>
    <t>KG)수도권 제2순환고속도로 하부 체육시설 조성 기본구상 용역</t>
    <phoneticPr fontId="2" type="noConversion"/>
  </si>
  <si>
    <t>지역특구법</t>
    <phoneticPr fontId="2" type="noConversion"/>
  </si>
  <si>
    <t>지역특화발전특구계획</t>
    <phoneticPr fontId="2" type="noConversion"/>
  </si>
  <si>
    <t>KG)반려동물 바이오메디컬 특화단지 조성 입지분석 용역</t>
    <phoneticPr fontId="2" type="noConversion"/>
  </si>
  <si>
    <t>산업단지</t>
    <phoneticPr fontId="2" type="noConversion"/>
  </si>
  <si>
    <t>KG)고대산 산림복합휴양단지 기본구상 및 타당성검토 용역</t>
    <phoneticPr fontId="2" type="noConversion"/>
  </si>
  <si>
    <t>KG)장지생태문화공원 조성사업 기본 및 실시설계 용역</t>
    <phoneticPr fontId="2" type="noConversion"/>
  </si>
  <si>
    <t>KG)상천저수지 관광자원화 개발사업 타당성조사 및 기본구상 용역</t>
    <phoneticPr fontId="2" type="noConversion"/>
  </si>
  <si>
    <t>KG)교하중앙공원 공원조성계획(변경) 및 실시설계 용역</t>
    <phoneticPr fontId="2" type="noConversion"/>
  </si>
  <si>
    <t>KG)금산인삼 지역특화 관광단지 조성사업 기본구상 및 타당성 조사</t>
    <phoneticPr fontId="2" type="noConversion"/>
  </si>
  <si>
    <t>KG)고양관광문화단지 개발계획 및 실시계획변경 등 용역</t>
    <phoneticPr fontId="2" type="noConversion"/>
  </si>
  <si>
    <t>교정 및 군사시설</t>
    <phoneticPr fontId="2" type="noConversion"/>
  </si>
  <si>
    <t>KG)DMZ일원 평화생태공원 조성사업 기본 및 실시설계용역</t>
    <phoneticPr fontId="2" type="noConversion"/>
  </si>
  <si>
    <t>국방시설사업법</t>
    <phoneticPr fontId="2" type="noConversion"/>
  </si>
  <si>
    <t>국방군사시설</t>
    <phoneticPr fontId="2" type="noConversion"/>
  </si>
  <si>
    <t>KG)하남시 공원녹지기본계획수립 용역</t>
    <phoneticPr fontId="2" type="noConversion"/>
  </si>
  <si>
    <t>군관리계획</t>
    <phoneticPr fontId="2" type="noConversion"/>
  </si>
  <si>
    <t>KG)연천 군관리계획(초성지구)수립용역</t>
    <phoneticPr fontId="2" type="noConversion"/>
  </si>
  <si>
    <t>KG)선형의 유휴자원 관광상품화사업 기본 및 실시설계용역</t>
    <phoneticPr fontId="2" type="noConversion"/>
  </si>
  <si>
    <t>KG)조리읍 재활용선별장 이전공사 실시설계용역</t>
    <phoneticPr fontId="2" type="noConversion"/>
  </si>
  <si>
    <t>KG)임진강 평화공원(유원지) 조성사업 기본및 실시설계용역</t>
    <phoneticPr fontId="2" type="noConversion"/>
  </si>
  <si>
    <t>KG)만경능제 생태관광지 지정 및 조성계획 수립 용역</t>
    <phoneticPr fontId="2" type="noConversion"/>
  </si>
  <si>
    <t>KG)문화체육공원 조성사업 도시관리계획 결정 및 공원조성계획수립</t>
    <phoneticPr fontId="2" type="noConversion"/>
  </si>
  <si>
    <t>KG)부여군 경관 기본계획 수립용역</t>
    <phoneticPr fontId="2" type="noConversion"/>
  </si>
  <si>
    <t>KG)양주도시관리계획 재정비 용역</t>
    <phoneticPr fontId="2" type="noConversion"/>
  </si>
  <si>
    <t>KG)대소 삼정지구 도시개발사업 지구단위계획 및 실시설계용역</t>
    <phoneticPr fontId="2" type="noConversion"/>
  </si>
  <si>
    <t>KG)딸기향 농촌테마공원 관광휴양단지 사업계획 설계용역</t>
    <phoneticPr fontId="2" type="noConversion"/>
  </si>
  <si>
    <t>문화및집회시설(전시장)</t>
    <phoneticPr fontId="2" type="noConversion"/>
  </si>
  <si>
    <t>KG)한탄강 생태경관단지 조성사업 기본 및 실시설계용역</t>
    <phoneticPr fontId="2" type="noConversion"/>
  </si>
  <si>
    <t>KG)매향리 평화공원 조성계획 수립 및 실시설계 용역</t>
    <phoneticPr fontId="2" type="noConversion"/>
  </si>
  <si>
    <t>KG)진주 상평산업단지 재생계획 수립 용역</t>
    <phoneticPr fontId="2" type="noConversion"/>
  </si>
  <si>
    <t>KG)완도 군관리계획(재정비) 수립 용역</t>
    <phoneticPr fontId="2" type="noConversion"/>
  </si>
  <si>
    <t>KG)호원동 예비군훈련장 개발타당성조사 및 기본계획수립 용역</t>
    <phoneticPr fontId="2" type="noConversion"/>
  </si>
  <si>
    <t>KG)홍천 신규농공단지 지정(개발계획) 및 실시계획 수립용역</t>
    <phoneticPr fontId="2" type="noConversion"/>
  </si>
  <si>
    <t>KG)도시공원 타당성조사 및 조성계획 수립 용역</t>
    <phoneticPr fontId="2" type="noConversion"/>
  </si>
  <si>
    <t>KG)2030 연천 군기본계획 및 군관리계획(재정비) 수립 용역</t>
    <phoneticPr fontId="2" type="noConversion"/>
  </si>
  <si>
    <t>KG)2031 연천 군기본계획 및 군관리계획(재정비) 수립 용역</t>
    <phoneticPr fontId="2" type="noConversion"/>
  </si>
  <si>
    <t>KG)남해해양경비안전본부 특공대 훈련시설 신축공사 도시계획시설(변경)결정 용역</t>
    <phoneticPr fontId="2" type="noConversion"/>
  </si>
  <si>
    <t>KG)하동(청암 상이지구)군관리계획(용도지역 및 복합형 지구단위계획) 수립용역</t>
    <phoneticPr fontId="2" type="noConversion"/>
  </si>
  <si>
    <t>하수도정비기본계획</t>
    <phoneticPr fontId="2" type="noConversion"/>
  </si>
  <si>
    <t>KG)하수도정비기본계획 및 남방하수처리시설 증설공사 설계용역</t>
    <phoneticPr fontId="2" type="noConversion"/>
  </si>
  <si>
    <t>하수처리시설</t>
    <phoneticPr fontId="2" type="noConversion"/>
  </si>
  <si>
    <t>주택법</t>
    <phoneticPr fontId="2" type="noConversion"/>
  </si>
  <si>
    <t>KG)고양시 공동주택 리모델링 기본계획 수립용역</t>
    <phoneticPr fontId="2" type="noConversion"/>
  </si>
  <si>
    <t>KG)가평 군관리계획(군계획시설:공동묘지)변경결정 및 실시설계용역</t>
    <phoneticPr fontId="2" type="noConversion"/>
  </si>
  <si>
    <t>시도(보조간선도로)</t>
    <phoneticPr fontId="2" type="noConversion"/>
  </si>
  <si>
    <t>KG)신도시~성석간 도로개설공사 기본 및 실시설계용역</t>
    <phoneticPr fontId="2" type="noConversion"/>
  </si>
  <si>
    <t>KG)밀레니엄타운 도시개발사업 마스터플랜 설계 용역</t>
    <phoneticPr fontId="2" type="noConversion"/>
  </si>
  <si>
    <t>KG)MTB체험단지 기본·실시설계용역 및 놀자숲 기본계획수립 용역</t>
    <phoneticPr fontId="2" type="noConversion"/>
  </si>
  <si>
    <t>숙박시설</t>
    <phoneticPr fontId="2" type="noConversion"/>
  </si>
  <si>
    <t>수도시설(배수지 및 송배수관로)</t>
    <phoneticPr fontId="2" type="noConversion"/>
  </si>
  <si>
    <t>KG)안산동 배수지 신설공사 기본 및 실시설계용역</t>
    <phoneticPr fontId="2" type="noConversion"/>
  </si>
  <si>
    <t>KG)안성시 도시관리계획 재정비 용역</t>
    <phoneticPr fontId="2" type="noConversion"/>
  </si>
  <si>
    <t>KG)대부황금로 도로(자전거) 확.포장공사 실시설계용역</t>
    <phoneticPr fontId="2" type="noConversion"/>
  </si>
  <si>
    <t>KG)의정부 장기미집행시설 도시관리계획 결정(변경) 용역</t>
    <phoneticPr fontId="2" type="noConversion"/>
  </si>
  <si>
    <t>KG)오천 농어촌(원산도, 효자도)지방상수도 시설공사 기본 및 실시설계용역</t>
    <phoneticPr fontId="2" type="noConversion"/>
  </si>
  <si>
    <t>도시공원 및 녹지</t>
    <phoneticPr fontId="2" type="noConversion"/>
  </si>
  <si>
    <t>KG)부산 에코델타시티 조경 1구역 실시설계 용역</t>
    <phoneticPr fontId="2" type="noConversion"/>
  </si>
  <si>
    <t>KG)초성-차탄간 자전거길 조성사업 실시설계용역</t>
    <phoneticPr fontId="2" type="noConversion"/>
  </si>
  <si>
    <t>KG)2030 부천시 도시·주거환경정비 기본계획 수립 용역</t>
    <phoneticPr fontId="2" type="noConversion"/>
  </si>
  <si>
    <t>KG)2035 평택 도시기본계획 수립 용역</t>
    <phoneticPr fontId="2" type="noConversion"/>
  </si>
  <si>
    <t>도시관리계획(지구단위계획)</t>
    <phoneticPr fontId="2" type="noConversion"/>
  </si>
  <si>
    <t>KG)국지도23호선변 등 녹지지역 도시관리방안(지구단위계획수립) 용역</t>
    <phoneticPr fontId="2" type="noConversion"/>
  </si>
  <si>
    <t>KG)2025 부산도시관리계획 수립용역</t>
    <phoneticPr fontId="2" type="noConversion"/>
  </si>
  <si>
    <t>KG)군관리계획 재정비(장기미집행 군계획시설 해제) 용역</t>
    <phoneticPr fontId="2" type="noConversion"/>
  </si>
  <si>
    <t>소하천정비법</t>
    <phoneticPr fontId="2" type="noConversion"/>
  </si>
  <si>
    <t>소하천정비종합계획</t>
    <phoneticPr fontId="2" type="noConversion"/>
  </si>
  <si>
    <t>KG)하남시 소하천정비종합계획 재수립 및 지형도면고시 용역</t>
    <phoneticPr fontId="2" type="noConversion"/>
  </si>
  <si>
    <t>KG)공주문화관광지 조성계획 결정(변경)용역</t>
    <phoneticPr fontId="2" type="noConversion"/>
  </si>
  <si>
    <t>도시재생전략계획 및 활성화계획</t>
    <phoneticPr fontId="2" type="noConversion"/>
  </si>
  <si>
    <t>KG)논산시 도시재생 전략계획 및 활성화계획 수립용역</t>
    <phoneticPr fontId="2" type="noConversion"/>
  </si>
  <si>
    <t>KG)철원군 역사공원(근대문화거리 테마공원)조성사업 기본 및 실시설계용역</t>
    <phoneticPr fontId="2" type="noConversion"/>
  </si>
  <si>
    <t>역사문화환경관리계획</t>
    <phoneticPr fontId="2" type="noConversion"/>
  </si>
  <si>
    <t>KG)김포 사적 역사문화환경 관리계획 수립 용역</t>
    <phoneticPr fontId="2" type="noConversion"/>
  </si>
  <si>
    <t>KG)의정부 도시개발사업(원머루, 정자말) 기본 및 실시설계 용역</t>
    <phoneticPr fontId="2" type="noConversion"/>
  </si>
  <si>
    <t>택지개발사업</t>
    <phoneticPr fontId="2" type="noConversion"/>
  </si>
  <si>
    <t>KG)경기융합타운 타당성검토 및 기본계획 수립용역</t>
    <phoneticPr fontId="2" type="noConversion"/>
  </si>
  <si>
    <t>KG)고성군 하이면 소재지 군관리계획 수립 용역</t>
    <phoneticPr fontId="2" type="noConversion"/>
  </si>
  <si>
    <t>주거환경정비계획</t>
    <phoneticPr fontId="2" type="noConversion"/>
  </si>
  <si>
    <t>KG)고잔연립2구역 주택재건축 정비계획수립 및 정비구역 지정 용역</t>
    <phoneticPr fontId="2" type="noConversion"/>
  </si>
  <si>
    <t>KG)탑정처리분구 하수관로 정비사업 기본 및 실시설계용역</t>
    <phoneticPr fontId="2" type="noConversion"/>
  </si>
  <si>
    <t>KG)CRC 안보테마관광단지 조성사업 타당성조사 및 개발계획 수립용역</t>
    <phoneticPr fontId="2" type="noConversion"/>
  </si>
  <si>
    <t>KG)산성변전소 부지 도시관리계획(지구단위계획) 변경 용역</t>
    <phoneticPr fontId="2" type="noConversion"/>
  </si>
  <si>
    <t>KG)원종역세권 지구단위계획수립 용역</t>
    <phoneticPr fontId="2" type="noConversion"/>
  </si>
  <si>
    <t>수련시설(청소년수련관)</t>
    <phoneticPr fontId="2" type="noConversion"/>
  </si>
  <si>
    <t>KG)안성시 청소년수련관 건립사업 기본 및 실시설계용역</t>
    <phoneticPr fontId="2" type="noConversion"/>
  </si>
  <si>
    <t>공공업무시설(청사)</t>
    <phoneticPr fontId="2" type="noConversion"/>
  </si>
  <si>
    <t>KG)하남시 시청사 및 의회청사 증축공사 설계용역</t>
    <phoneticPr fontId="2" type="noConversion"/>
  </si>
  <si>
    <t>국가균형발전법</t>
    <phoneticPr fontId="2" type="noConversion"/>
  </si>
  <si>
    <t>생활여건개조사업(새뜰마을사업)</t>
    <phoneticPr fontId="2" type="noConversion"/>
  </si>
  <si>
    <t>KG)구교지구 도시 취약지역 개조사업(새뜰마을사업) 마스터플랜 수립 및 실시설계용역</t>
    <phoneticPr fontId="2" type="noConversion"/>
  </si>
  <si>
    <t>KG)부전천 생태하천 복원사업 실시설계용역</t>
    <phoneticPr fontId="2" type="noConversion"/>
  </si>
  <si>
    <t>KG)영암 군관리계획(재정비) 수립용역</t>
    <phoneticPr fontId="2" type="noConversion"/>
  </si>
  <si>
    <t>KG)임진강 평화문화권 38선역사체험길 기본 및 실시설계 용역</t>
    <phoneticPr fontId="2" type="noConversion"/>
  </si>
  <si>
    <t>도시주거환경정비</t>
    <phoneticPr fontId="2" type="noConversion"/>
  </si>
  <si>
    <t>KG)2030 성남시 도시주거환경정비기본계획 수립 용역</t>
    <phoneticPr fontId="2" type="noConversion"/>
  </si>
  <si>
    <t>교육연구시설(연수원)</t>
    <phoneticPr fontId="2" type="noConversion"/>
  </si>
  <si>
    <t>KG)한국환경공단 연수원 건립사업 공공건축 설계공모</t>
    <phoneticPr fontId="2" type="noConversion"/>
  </si>
  <si>
    <t>KG)소흘생활체육공원 확충사업 공원조성계획 및 실시설계용역</t>
    <phoneticPr fontId="2" type="noConversion"/>
  </si>
  <si>
    <t>KG)성남하이테크밸리 활성화 방안 검토 용역</t>
    <phoneticPr fontId="2" type="noConversion"/>
  </si>
  <si>
    <t>KG)남악신도시(옥암지구)택지개발사업 개발계획 및 실시계획 변경 수립 용역</t>
    <phoneticPr fontId="2" type="noConversion"/>
  </si>
  <si>
    <t>KG)놀자숲 조성사업 기본 및 실시설계용역</t>
    <phoneticPr fontId="2" type="noConversion"/>
  </si>
  <si>
    <t>KG)청계저수지 수변공원 조성계획 수립 및 조성사업 기본 및 실시설계 용역</t>
    <phoneticPr fontId="2" type="noConversion"/>
  </si>
  <si>
    <t>KG)용인시 노후하수관로 개량공사 기본 및 실시설계용역</t>
    <phoneticPr fontId="2" type="noConversion"/>
  </si>
  <si>
    <t>KG)2017년 임진각 관광지 조성사업 사후환경영향조사 용역</t>
    <phoneticPr fontId="2" type="noConversion"/>
  </si>
  <si>
    <t>공공주택특별법</t>
    <phoneticPr fontId="2" type="noConversion"/>
  </si>
  <si>
    <t>공공주택</t>
    <phoneticPr fontId="2" type="noConversion"/>
  </si>
  <si>
    <t>KG)고양장항 공공주택지구 조사설계용역</t>
    <phoneticPr fontId="2" type="noConversion"/>
  </si>
  <si>
    <t>조경기본계획</t>
    <phoneticPr fontId="2" type="noConversion"/>
  </si>
  <si>
    <t>KG)파주시 성장관리방안(2차) 수립용역</t>
    <phoneticPr fontId="2" type="noConversion"/>
  </si>
  <si>
    <t>도시계획시설(유원지)</t>
    <phoneticPr fontId="2" type="noConversion"/>
  </si>
  <si>
    <t>KG)대율저수지 관광자원개발사업 기본 및 실시설계용역</t>
    <phoneticPr fontId="2" type="noConversion"/>
  </si>
  <si>
    <t>KG)선운천 생태하천 복원사업 실시설계</t>
    <phoneticPr fontId="2" type="noConversion"/>
  </si>
  <si>
    <t>KG)평택시 미집행 도시계획시설 정비 및 관리용역</t>
    <phoneticPr fontId="2" type="noConversion"/>
  </si>
  <si>
    <t>KG)재인폭포 공원화사업 기본 및 실시설계용역</t>
    <phoneticPr fontId="2" type="noConversion"/>
  </si>
  <si>
    <t>KG)한탄강 주상절리 조성사업 기본 및 실시설계 용역</t>
    <phoneticPr fontId="2" type="noConversion"/>
  </si>
  <si>
    <t>KG)성골지구 도시개발구역 지정 및 개발계획 수립 용역</t>
    <phoneticPr fontId="2" type="noConversion"/>
  </si>
  <si>
    <t>KG)원주 도시관리계획 결정(변경) 일부정비 용역</t>
    <phoneticPr fontId="2" type="noConversion"/>
  </si>
  <si>
    <t>KG)2030 광주시 공원녹지기본계획 수립용역</t>
    <phoneticPr fontId="2" type="noConversion"/>
  </si>
  <si>
    <t>KG)한탄강 화적연 수변생태공원 조성사업외 1개소 기본 및 실시설계 용역</t>
    <phoneticPr fontId="2" type="noConversion"/>
  </si>
  <si>
    <t>KG)농어촌도로212호선(합성~웃송능)도로확장공사 실시설계용역</t>
    <phoneticPr fontId="2" type="noConversion"/>
  </si>
  <si>
    <t>농도</t>
    <phoneticPr fontId="2" type="noConversion"/>
  </si>
  <si>
    <t>KG)농어촌도로213호선(합성~웃송능)도로확장공사 실시설계용역</t>
    <phoneticPr fontId="2" type="noConversion"/>
  </si>
  <si>
    <t>KG)캠프롱 문화체육공원 조성사업 기본 및 실시설계 용역</t>
    <phoneticPr fontId="2" type="noConversion"/>
  </si>
  <si>
    <t>KG)동두천시 소하천정비종합계획(재수립) 및 지형도면고시 용역</t>
    <phoneticPr fontId="2" type="noConversion"/>
  </si>
  <si>
    <t>KG)국도3호선(창말고개)~안흥IC간 연결공사 실시설계용역</t>
    <phoneticPr fontId="2" type="noConversion"/>
  </si>
  <si>
    <t>KG)2030년 함안군관리계획(재정비) 용역</t>
    <phoneticPr fontId="2" type="noConversion"/>
  </si>
  <si>
    <t>KG)2035 속초도시기본계획 및 도시관리계획(재정비) 용역</t>
    <phoneticPr fontId="2" type="noConversion"/>
  </si>
  <si>
    <t>KG)2036 속초도시기본계획 및 도시관리계획(재정비) 용역</t>
    <phoneticPr fontId="2" type="noConversion"/>
  </si>
  <si>
    <t>재생계획수립</t>
    <phoneticPr fontId="2" type="noConversion"/>
  </si>
  <si>
    <t>KG)평택일반산업단지 재생계획 및 지구지정 용역</t>
    <phoneticPr fontId="2" type="noConversion"/>
  </si>
  <si>
    <t>KG)마동저수지 생태공원 조성사업 2단계 실시설계용역</t>
    <phoneticPr fontId="2" type="noConversion"/>
  </si>
  <si>
    <t>KG)태권브이랜드 조성사업 기본 및 실시설계 용역</t>
    <phoneticPr fontId="2" type="noConversion"/>
  </si>
  <si>
    <t>KG)부천 종합운동장 일원 도시개발계획 수립 용역</t>
    <phoneticPr fontId="2" type="noConversion"/>
  </si>
  <si>
    <t>실적증명 없음</t>
    <phoneticPr fontId="2" type="noConversion"/>
  </si>
  <si>
    <t>KG)백운산 산림복지단지 조성계획 수립 및 실시설계</t>
    <phoneticPr fontId="2" type="noConversion"/>
  </si>
  <si>
    <t>KG)섬마을 너울길 조성사업 실시설계</t>
    <phoneticPr fontId="2" type="noConversion"/>
  </si>
  <si>
    <t>주차장</t>
    <phoneticPr fontId="2" type="noConversion"/>
  </si>
  <si>
    <t>KG)2025년 단양 군관리계획(재정비) 수립용역</t>
    <phoneticPr fontId="2" type="noConversion"/>
  </si>
  <si>
    <t>도시공원(소공원)</t>
    <phoneticPr fontId="2" type="noConversion"/>
  </si>
  <si>
    <t>도시공원(어린이)</t>
    <phoneticPr fontId="2" type="noConversion"/>
  </si>
  <si>
    <t>녹지-연결녹지</t>
    <phoneticPr fontId="2" type="noConversion"/>
  </si>
  <si>
    <t>도시공원(주제_,문화)</t>
    <phoneticPr fontId="2" type="noConversion"/>
  </si>
  <si>
    <t>2030년 안산시 공원녹지 기본계획 수립 용역</t>
    <phoneticPr fontId="2" type="noConversion"/>
  </si>
  <si>
    <t>도시숲, 가로수</t>
    <phoneticPr fontId="2" type="noConversion"/>
  </si>
  <si>
    <t>숲길(산림문화,산림욕장,탐방로,둘레길,치유의숲)</t>
    <phoneticPr fontId="2" type="noConversion"/>
  </si>
  <si>
    <t>진해만 자연휴양림 조성사업 기본계획 및 실시설계 용역</t>
    <phoneticPr fontId="2" type="noConversion"/>
  </si>
  <si>
    <t>숲길, 전망대</t>
    <phoneticPr fontId="2" type="noConversion"/>
  </si>
  <si>
    <t>행위허가</t>
    <phoneticPr fontId="2" type="noConversion"/>
  </si>
  <si>
    <t>공공디자인 심의</t>
    <phoneticPr fontId="2" type="noConversion"/>
  </si>
  <si>
    <t>도시공원(어린이공원)</t>
    <phoneticPr fontId="2" type="noConversion"/>
  </si>
  <si>
    <t>청평 어린이놀이공원 조성사업 기본및실시설계 용역</t>
    <phoneticPr fontId="2" type="noConversion"/>
  </si>
  <si>
    <t>배승환</t>
    <phoneticPr fontId="2" type="noConversion"/>
  </si>
  <si>
    <t>물놀이장, 모험시설, 산책로</t>
    <phoneticPr fontId="2" type="noConversion"/>
  </si>
  <si>
    <t>태봉 근린공원 공원조성계획 변경 및 실시설계 용역</t>
    <phoneticPr fontId="2" type="noConversion"/>
  </si>
  <si>
    <t>산책로, 주차시설 확충, 물놀이터, 벽천, 광장, 체육시설, 숲체험원, 맨발걷기길(황톳길), 휴게시설 등</t>
    <phoneticPr fontId="2" type="noConversion"/>
  </si>
  <si>
    <t>산지전용허가</t>
    <phoneticPr fontId="2" type="noConversion"/>
  </si>
  <si>
    <t>배한수</t>
    <phoneticPr fontId="2" type="noConversion"/>
  </si>
  <si>
    <t>배한수</t>
    <phoneticPr fontId="2" type="noConversion"/>
  </si>
  <si>
    <t>탄소중립기본법</t>
    <phoneticPr fontId="2" type="noConversion"/>
  </si>
  <si>
    <t>탄소흡원 등의 확충</t>
    <phoneticPr fontId="2" type="noConversion"/>
  </si>
  <si>
    <t>세종시 정원도시 기본계획 수립 및 기본설계 용역</t>
    <phoneticPr fontId="2" type="noConversion"/>
  </si>
  <si>
    <t>진흥사업(정원도시)</t>
    <phoneticPr fontId="2" type="noConversion"/>
  </si>
  <si>
    <t>정원(생활정원,주제정원,공동체정원)</t>
    <phoneticPr fontId="2" type="noConversion"/>
  </si>
  <si>
    <t>생활정원 기본설계</t>
    <phoneticPr fontId="2" type="noConversion"/>
  </si>
  <si>
    <t>기반시설(광장,녹지,공공공지) 기본설계</t>
    <phoneticPr fontId="2" type="noConversion"/>
  </si>
  <si>
    <t>이주민</t>
    <phoneticPr fontId="2" type="noConversion"/>
  </si>
  <si>
    <t>양승수</t>
    <phoneticPr fontId="2" type="noConversion"/>
  </si>
  <si>
    <t>배승환</t>
    <phoneticPr fontId="2" type="noConversion"/>
  </si>
  <si>
    <t>김아연</t>
    <phoneticPr fontId="2" type="noConversion"/>
  </si>
  <si>
    <t>고동인</t>
    <phoneticPr fontId="2" type="noConversion"/>
  </si>
  <si>
    <t>한은홍</t>
    <phoneticPr fontId="2" type="noConversion"/>
  </si>
  <si>
    <t>김영민</t>
    <phoneticPr fontId="2" type="noConversion"/>
  </si>
  <si>
    <t>김종완</t>
    <phoneticPr fontId="2" type="noConversion"/>
  </si>
  <si>
    <t>자연공원(국립공원)</t>
    <phoneticPr fontId="2" type="noConversion"/>
  </si>
  <si>
    <t>관매도 곰솔 명품해변 조성사업 기본 및 실시설계 용역</t>
    <phoneticPr fontId="2" type="noConversion"/>
  </si>
  <si>
    <t>조경부</t>
    <phoneticPr fontId="2" type="noConversion"/>
  </si>
  <si>
    <t>배승환</t>
    <phoneticPr fontId="2" type="noConversion"/>
  </si>
  <si>
    <t>공원계획의 결정(변경), 공원사업의 시행허가, 공원행위허가</t>
    <phoneticPr fontId="2" type="noConversion"/>
  </si>
  <si>
    <t>공원시설(야영장, 전망대, 탐방로)</t>
    <phoneticPr fontId="2" type="noConversion"/>
  </si>
  <si>
    <t>개발행위허가</t>
    <phoneticPr fontId="2" type="noConversion"/>
  </si>
  <si>
    <t>해수욕장법</t>
    <phoneticPr fontId="2" type="noConversion"/>
  </si>
  <si>
    <t>해수욕장시설</t>
    <phoneticPr fontId="2" type="noConversion"/>
  </si>
  <si>
    <t>산지일시사용하거,신고</t>
    <phoneticPr fontId="2" type="noConversion"/>
  </si>
  <si>
    <t>숲길, 숲속야영장</t>
    <phoneticPr fontId="2" type="noConversion"/>
  </si>
  <si>
    <t>숲길(등산로, 트레킹길, 둘레길, 산림레포츠길, 탐방로, 휴양·치유숲길)</t>
    <phoneticPr fontId="2" type="noConversion"/>
  </si>
  <si>
    <t>신기마을 관광활성화 방안 기본계획 수립 용역</t>
    <phoneticPr fontId="2" type="noConversion"/>
  </si>
  <si>
    <t>수산업법</t>
    <phoneticPr fontId="2" type="noConversion"/>
  </si>
  <si>
    <t>유어장, 수상시설물</t>
    <phoneticPr fontId="2" type="noConversion"/>
  </si>
  <si>
    <t>기타</t>
    <phoneticPr fontId="2" type="noConversion"/>
  </si>
  <si>
    <t>야영장</t>
    <phoneticPr fontId="2" type="noConversion"/>
  </si>
  <si>
    <t>박동길</t>
    <phoneticPr fontId="2" type="noConversion"/>
  </si>
  <si>
    <t>심상철</t>
    <phoneticPr fontId="2" type="noConversion"/>
  </si>
  <si>
    <t>천승호</t>
    <phoneticPr fontId="2" type="noConversion"/>
  </si>
  <si>
    <t>이주민</t>
    <phoneticPr fontId="2" type="noConversion"/>
  </si>
  <si>
    <t>윤현식</t>
    <phoneticPr fontId="2" type="noConversion"/>
  </si>
  <si>
    <t>양승수</t>
    <phoneticPr fontId="2" type="noConversion"/>
  </si>
  <si>
    <t>임동민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</si>
</sst>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_-* #,##0.0_-;\-* #,##0.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dotted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shrinkToFit="1"/>
    </xf>
    <xf numFmtId="0" fontId="4" fillId="4" borderId="1" xfId="0" applyFont="1" applyFill="1" applyBorder="1" applyAlignment="1">
      <alignment horizontal="center" vertical="center" wrapText="1"/>
    </xf>
    <xf numFmtId="9" fontId="4" fillId="4" borderId="1" xfId="2" applyFont="1" applyFill="1" applyBorder="1" applyAlignment="1">
      <alignment horizontal="center" vertical="center" wrapText="1"/>
    </xf>
    <xf numFmtId="41" fontId="4" fillId="4" borderId="1" xfId="1" applyFont="1" applyFill="1" applyBorder="1">
      <alignment vertical="center"/>
    </xf>
    <xf numFmtId="14" fontId="4" fillId="4" borderId="1" xfId="1" applyNumberFormat="1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0" fontId="4" fillId="4" borderId="1" xfId="0" applyFont="1" applyFill="1" applyBorder="1" applyAlignment="1">
      <alignment horizontal="left" vertical="center" shrinkToFit="1"/>
    </xf>
    <xf numFmtId="0" fontId="5" fillId="2" borderId="2" xfId="0" applyFont="1" applyFill="1" applyBorder="1" applyAlignment="1">
      <alignment horizontal="center" vertical="center"/>
    </xf>
    <xf numFmtId="9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176" fontId="4" fillId="4" borderId="1" xfId="1" applyNumberFormat="1" applyFont="1" applyFill="1" applyBorder="1" applyAlignment="1">
      <alignment vertical="center" wrapText="1"/>
    </xf>
    <xf numFmtId="0" fontId="6" fillId="0" borderId="1" xfId="0" applyNumberFormat="1" applyFont="1" applyFill="1" applyBorder="1" applyAlignment="1">
      <alignment horizontal="center" vertical="center"/>
    </xf>
    <xf numFmtId="176" fontId="4" fillId="4" borderId="1" xfId="1" applyNumberFormat="1" applyFont="1" applyFill="1" applyBorder="1">
      <alignment vertical="center"/>
    </xf>
    <xf numFmtId="0" fontId="4" fillId="4" borderId="0" xfId="0" applyFont="1" applyFill="1" applyBorder="1" applyAlignment="1">
      <alignment horizontal="center" vertical="center" shrinkToFit="1"/>
    </xf>
    <xf numFmtId="0" fontId="4" fillId="4" borderId="0" xfId="0" applyFont="1" applyFill="1" applyBorder="1" applyAlignment="1">
      <alignment horizontal="center" vertical="center" wrapText="1"/>
    </xf>
    <xf numFmtId="9" fontId="4" fillId="4" borderId="0" xfId="2" applyFont="1" applyFill="1" applyBorder="1" applyAlignment="1">
      <alignment horizontal="center" vertical="center" wrapText="1"/>
    </xf>
    <xf numFmtId="176" fontId="4" fillId="4" borderId="0" xfId="1" applyNumberFormat="1" applyFont="1" applyFill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4" fontId="4" fillId="4" borderId="5" xfId="0" applyNumberFormat="1" applyFont="1" applyFill="1" applyBorder="1" applyAlignment="1">
      <alignment horizontal="center" vertical="center"/>
    </xf>
    <xf numFmtId="0" fontId="4" fillId="4" borderId="5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41" fontId="6" fillId="0" borderId="1" xfId="1" applyFont="1" applyFill="1" applyBorder="1">
      <alignment vertical="center"/>
    </xf>
    <xf numFmtId="41" fontId="4" fillId="0" borderId="1" xfId="1" applyFont="1" applyBorder="1" applyAlignment="1">
      <alignment horizontal="center" vertical="center"/>
    </xf>
    <xf numFmtId="41" fontId="4" fillId="0" borderId="1" xfId="0" applyNumberFormat="1" applyFont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left" vertical="center"/>
    </xf>
    <xf numFmtId="0" fontId="4" fillId="4" borderId="5" xfId="0" applyNumberFormat="1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Fill="1" applyBorder="1">
      <alignment vertical="center"/>
    </xf>
    <xf numFmtId="0" fontId="6" fillId="0" borderId="1" xfId="0" applyFont="1" applyBorder="1">
      <alignment vertical="center"/>
    </xf>
    <xf numFmtId="9" fontId="4" fillId="0" borderId="1" xfId="0" applyNumberFormat="1" applyFont="1" applyBorder="1">
      <alignment vertical="center"/>
    </xf>
    <xf numFmtId="176" fontId="4" fillId="0" borderId="1" xfId="1" applyNumberFormat="1" applyFont="1" applyBorder="1">
      <alignment vertical="center"/>
    </xf>
    <xf numFmtId="10" fontId="8" fillId="0" borderId="1" xfId="0" applyNumberFormat="1" applyFont="1" applyBorder="1">
      <alignment vertical="center"/>
    </xf>
    <xf numFmtId="176" fontId="8" fillId="0" borderId="1" xfId="1" applyNumberFormat="1" applyFont="1" applyBorder="1">
      <alignment vertical="center"/>
    </xf>
    <xf numFmtId="9" fontId="8" fillId="0" borderId="1" xfId="0" applyNumberFormat="1" applyFont="1" applyBorder="1">
      <alignment vertical="center"/>
    </xf>
    <xf numFmtId="10" fontId="4" fillId="0" borderId="1" xfId="0" applyNumberFormat="1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4" fillId="4" borderId="1" xfId="0" applyFont="1" applyFill="1" applyBorder="1">
      <alignment vertical="center"/>
    </xf>
    <xf numFmtId="9" fontId="4" fillId="4" borderId="1" xfId="0" applyNumberFormat="1" applyFont="1" applyFill="1" applyBorder="1">
      <alignment vertical="center"/>
    </xf>
    <xf numFmtId="0" fontId="8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176" fontId="4" fillId="0" borderId="0" xfId="1" applyNumberFormat="1" applyFont="1">
      <alignment vertical="center"/>
    </xf>
    <xf numFmtId="0" fontId="4" fillId="0" borderId="0" xfId="0" applyFont="1" applyAlignment="1">
      <alignment horizontal="left" vertical="center"/>
    </xf>
    <xf numFmtId="0" fontId="7" fillId="0" borderId="1" xfId="0" applyFont="1" applyBorder="1">
      <alignment vertical="center"/>
    </xf>
    <xf numFmtId="0" fontId="8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shrinkToFit="1"/>
    </xf>
    <xf numFmtId="0" fontId="8" fillId="4" borderId="1" xfId="0" applyFont="1" applyFill="1" applyBorder="1" applyAlignment="1">
      <alignment vertical="center" shrinkToFit="1"/>
    </xf>
    <xf numFmtId="0" fontId="8" fillId="4" borderId="1" xfId="0" applyFon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center" vertical="center"/>
    </xf>
    <xf numFmtId="41" fontId="4" fillId="0" borderId="1" xfId="1" applyFont="1" applyFill="1" applyBorder="1">
      <alignment vertical="center"/>
    </xf>
    <xf numFmtId="0" fontId="4" fillId="0" borderId="1" xfId="0" applyFont="1" applyFill="1" applyBorder="1" applyAlignment="1">
      <alignment vertical="center" shrinkToFit="1"/>
    </xf>
    <xf numFmtId="0" fontId="4" fillId="0" borderId="1" xfId="0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wrapText="1"/>
    </xf>
    <xf numFmtId="9" fontId="4" fillId="0" borderId="1" xfId="2" applyFont="1" applyFill="1" applyBorder="1" applyAlignment="1">
      <alignment horizontal="center" vertical="center" wrapText="1"/>
    </xf>
    <xf numFmtId="14" fontId="4" fillId="0" borderId="0" xfId="0" applyNumberFormat="1" applyFont="1" applyFill="1" applyAlignment="1">
      <alignment horizontal="center" vertical="center"/>
    </xf>
    <xf numFmtId="0" fontId="4" fillId="0" borderId="0" xfId="0" applyFont="1" applyFill="1">
      <alignment vertical="center"/>
    </xf>
    <xf numFmtId="14" fontId="4" fillId="0" borderId="0" xfId="0" applyNumberFormat="1" applyFont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center" vertical="center" shrinkToFit="1"/>
    </xf>
    <xf numFmtId="14" fontId="4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 shrinkToFit="1"/>
    </xf>
    <xf numFmtId="0" fontId="4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4" borderId="1" xfId="0" applyNumberFormat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 shrinkToFit="1"/>
    </xf>
    <xf numFmtId="0" fontId="4" fillId="0" borderId="7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0" fontId="4" fillId="0" borderId="9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 shrinkToFit="1"/>
    </xf>
    <xf numFmtId="0" fontId="9" fillId="0" borderId="0" xfId="0" applyFont="1" applyAlignment="1">
      <alignment horizontal="center" vertical="center"/>
    </xf>
    <xf numFmtId="14" fontId="8" fillId="4" borderId="1" xfId="0" applyNumberFormat="1" applyFont="1" applyFill="1" applyBorder="1" applyAlignment="1">
      <alignment horizontal="center" vertical="center"/>
    </xf>
    <xf numFmtId="0" fontId="8" fillId="4" borderId="1" xfId="0" applyNumberFormat="1" applyFont="1" applyFill="1" applyBorder="1" applyAlignment="1">
      <alignment horizontal="center" vertical="center"/>
    </xf>
    <xf numFmtId="9" fontId="8" fillId="4" borderId="1" xfId="2" applyFont="1" applyFill="1" applyBorder="1" applyAlignment="1">
      <alignment horizontal="center" vertical="center" wrapText="1"/>
    </xf>
    <xf numFmtId="176" fontId="4" fillId="0" borderId="1" xfId="1" applyNumberFormat="1" applyFont="1" applyBorder="1" applyAlignment="1">
      <alignment horizontal="right" vertical="center"/>
    </xf>
    <xf numFmtId="176" fontId="4" fillId="0" borderId="0" xfId="1" applyNumberFormat="1" applyFont="1" applyBorder="1" applyAlignment="1">
      <alignment horizontal="right" vertical="center"/>
    </xf>
    <xf numFmtId="176" fontId="4" fillId="0" borderId="1" xfId="1" applyNumberFormat="1" applyFont="1" applyFill="1" applyBorder="1" applyAlignment="1">
      <alignment vertical="center" wrapText="1"/>
    </xf>
    <xf numFmtId="176" fontId="4" fillId="0" borderId="0" xfId="1" applyNumberFormat="1" applyFont="1" applyBorder="1">
      <alignment vertical="center"/>
    </xf>
    <xf numFmtId="176" fontId="4" fillId="0" borderId="1" xfId="1" applyNumberFormat="1" applyFont="1" applyFill="1" applyBorder="1">
      <alignment vertical="center"/>
    </xf>
    <xf numFmtId="176" fontId="4" fillId="0" borderId="7" xfId="1" applyNumberFormat="1" applyFont="1" applyBorder="1">
      <alignment vertical="center"/>
    </xf>
    <xf numFmtId="176" fontId="4" fillId="0" borderId="7" xfId="1" applyNumberFormat="1" applyFont="1" applyFill="1" applyBorder="1" applyAlignment="1">
      <alignment vertical="center" wrapText="1"/>
    </xf>
    <xf numFmtId="176" fontId="4" fillId="0" borderId="0" xfId="1" applyNumberFormat="1" applyFont="1" applyFill="1" applyBorder="1" applyAlignment="1">
      <alignment vertical="center" wrapText="1"/>
    </xf>
    <xf numFmtId="176" fontId="7" fillId="4" borderId="1" xfId="1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41" fontId="4" fillId="4" borderId="1" xfId="1" applyFont="1" applyFill="1" applyBorder="1" applyAlignment="1">
      <alignment vertical="center" wrapText="1"/>
    </xf>
    <xf numFmtId="0" fontId="8" fillId="4" borderId="0" xfId="0" applyFont="1" applyFill="1" applyBorder="1" applyAlignment="1">
      <alignment vertical="center" shrinkToFit="1"/>
    </xf>
    <xf numFmtId="41" fontId="8" fillId="4" borderId="1" xfId="1" applyFont="1" applyFill="1" applyBorder="1">
      <alignment vertical="center"/>
    </xf>
    <xf numFmtId="41" fontId="7" fillId="4" borderId="1" xfId="1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76" fontId="5" fillId="3" borderId="1" xfId="1" applyNumberFormat="1" applyFont="1" applyFill="1" applyBorder="1" applyAlignment="1">
      <alignment horizontal="center" vertical="center"/>
    </xf>
    <xf numFmtId="176" fontId="5" fillId="3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2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S689"/>
  <sheetViews>
    <sheetView tabSelected="1" zoomScale="85" zoomScaleNormal="85" workbookViewId="0">
      <pane ySplit="2" topLeftCell="A632" activePane="bottomLeft" state="frozen"/>
      <selection pane="bottomLeft" activeCell="C660" sqref="C660"/>
    </sheetView>
  </sheetViews>
  <sheetFormatPr defaultRowHeight="13.5" x14ac:dyDescent="0.3"/>
  <cols>
    <col min="1" max="1" width="6.875" style="56" bestFit="1" customWidth="1"/>
    <col min="2" max="2" width="5.5" style="42" bestFit="1" customWidth="1"/>
    <col min="3" max="3" width="13" style="56" bestFit="1" customWidth="1"/>
    <col min="4" max="4" width="12.25" style="42" bestFit="1" customWidth="1"/>
    <col min="5" max="5" width="8.375" style="57" bestFit="1" customWidth="1"/>
    <col min="6" max="6" width="4.75" style="57" bestFit="1" customWidth="1"/>
    <col min="7" max="7" width="13.75" style="59" bestFit="1" customWidth="1"/>
    <col min="8" max="8" width="65" style="59" bestFit="1" customWidth="1"/>
    <col min="9" max="9" width="54.875" style="57" bestFit="1" customWidth="1"/>
    <col min="10" max="11" width="6.375" style="57" bestFit="1" customWidth="1"/>
    <col min="12" max="12" width="9.625" style="57" bestFit="1" customWidth="1"/>
    <col min="13" max="13" width="14.5" style="58" bestFit="1" customWidth="1"/>
    <col min="14" max="14" width="11.625" style="58" customWidth="1"/>
    <col min="15" max="22" width="14.5" style="57" customWidth="1"/>
    <col min="23" max="23" width="14.625" style="57" bestFit="1" customWidth="1"/>
    <col min="24" max="24" width="14.25" style="57" bestFit="1" customWidth="1"/>
    <col min="25" max="25" width="19.75" style="57" bestFit="1" customWidth="1"/>
    <col min="26" max="26" width="7.5" style="42" bestFit="1" customWidth="1"/>
    <col min="27" max="28" width="7.5" style="42" customWidth="1"/>
    <col min="29" max="45" width="7.5" style="42" bestFit="1" customWidth="1"/>
    <col min="46" max="49" width="8" style="42" customWidth="1"/>
    <col min="50" max="56" width="4.25" style="37" bestFit="1" customWidth="1"/>
    <col min="57" max="16384" width="9" style="37"/>
  </cols>
  <sheetData>
    <row r="1" spans="1:49" x14ac:dyDescent="0.3">
      <c r="A1" s="112" t="s">
        <v>279</v>
      </c>
      <c r="B1" s="113" t="s">
        <v>110</v>
      </c>
      <c r="C1" s="114" t="s">
        <v>277</v>
      </c>
      <c r="D1" s="113" t="s">
        <v>113</v>
      </c>
      <c r="E1" s="113" t="s">
        <v>70</v>
      </c>
      <c r="F1" s="113" t="s">
        <v>0</v>
      </c>
      <c r="G1" s="113" t="s">
        <v>111</v>
      </c>
      <c r="H1" s="113" t="s">
        <v>112</v>
      </c>
      <c r="I1" s="113" t="s">
        <v>264</v>
      </c>
      <c r="J1" s="113" t="s">
        <v>2</v>
      </c>
      <c r="K1" s="113" t="s">
        <v>3</v>
      </c>
      <c r="L1" s="113" t="s">
        <v>16</v>
      </c>
      <c r="M1" s="116" t="s">
        <v>14</v>
      </c>
      <c r="N1" s="117" t="s">
        <v>15</v>
      </c>
      <c r="O1" s="118" t="s">
        <v>271</v>
      </c>
      <c r="P1" s="118"/>
      <c r="Q1" s="118"/>
      <c r="R1" s="118"/>
      <c r="S1" s="118" t="s">
        <v>272</v>
      </c>
      <c r="T1" s="118"/>
      <c r="U1" s="118"/>
      <c r="V1" s="118"/>
      <c r="W1" s="118" t="s">
        <v>273</v>
      </c>
      <c r="X1" s="118"/>
      <c r="Y1" s="113" t="s">
        <v>11</v>
      </c>
      <c r="Z1" s="115" t="s">
        <v>278</v>
      </c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</row>
    <row r="2" spans="1:49" ht="27" x14ac:dyDescent="0.3">
      <c r="A2" s="112"/>
      <c r="B2" s="113"/>
      <c r="C2" s="114"/>
      <c r="D2" s="113"/>
      <c r="E2" s="113"/>
      <c r="F2" s="113"/>
      <c r="G2" s="113"/>
      <c r="H2" s="113"/>
      <c r="I2" s="113"/>
      <c r="J2" s="113"/>
      <c r="K2" s="113"/>
      <c r="L2" s="113"/>
      <c r="M2" s="116"/>
      <c r="N2" s="117"/>
      <c r="O2" s="35" t="s">
        <v>265</v>
      </c>
      <c r="P2" s="35" t="s">
        <v>266</v>
      </c>
      <c r="Q2" s="26" t="s">
        <v>72</v>
      </c>
      <c r="R2" s="26" t="s">
        <v>71</v>
      </c>
      <c r="S2" s="27" t="s">
        <v>267</v>
      </c>
      <c r="T2" s="27" t="s">
        <v>268</v>
      </c>
      <c r="U2" s="28" t="s">
        <v>269</v>
      </c>
      <c r="V2" s="28" t="s">
        <v>270</v>
      </c>
      <c r="W2" s="29" t="s">
        <v>32</v>
      </c>
      <c r="X2" s="29" t="s">
        <v>31</v>
      </c>
      <c r="Y2" s="113"/>
      <c r="Z2" s="23" t="s">
        <v>44</v>
      </c>
      <c r="AA2" s="11" t="s">
        <v>134</v>
      </c>
      <c r="AB2" s="11" t="s">
        <v>187</v>
      </c>
      <c r="AC2" s="11" t="s">
        <v>119</v>
      </c>
      <c r="AD2" s="11" t="s">
        <v>18</v>
      </c>
      <c r="AE2" s="11" t="s">
        <v>24</v>
      </c>
      <c r="AF2" s="11" t="s">
        <v>5</v>
      </c>
      <c r="AG2" s="11" t="s">
        <v>120</v>
      </c>
      <c r="AH2" s="11" t="s">
        <v>121</v>
      </c>
      <c r="AI2" s="11" t="s">
        <v>122</v>
      </c>
      <c r="AJ2" s="11" t="s">
        <v>123</v>
      </c>
      <c r="AK2" s="11" t="s">
        <v>124</v>
      </c>
      <c r="AL2" s="11" t="s">
        <v>125</v>
      </c>
      <c r="AM2" s="11" t="s">
        <v>126</v>
      </c>
      <c r="AN2" s="11" t="s">
        <v>127</v>
      </c>
      <c r="AO2" s="11" t="s">
        <v>128</v>
      </c>
      <c r="AP2" s="11" t="s">
        <v>129</v>
      </c>
      <c r="AQ2" s="11" t="s">
        <v>130</v>
      </c>
      <c r="AR2" s="11" t="s">
        <v>131</v>
      </c>
      <c r="AS2" s="11" t="s">
        <v>132</v>
      </c>
      <c r="AT2" s="11" t="s">
        <v>133</v>
      </c>
      <c r="AU2" s="11" t="s">
        <v>274</v>
      </c>
      <c r="AV2" s="11" t="s">
        <v>275</v>
      </c>
      <c r="AW2" s="11" t="s">
        <v>276</v>
      </c>
    </row>
    <row r="3" spans="1:49" x14ac:dyDescent="0.3">
      <c r="A3" s="38" t="s">
        <v>281</v>
      </c>
      <c r="B3" s="22">
        <v>1</v>
      </c>
      <c r="C3" s="39" t="str">
        <f t="shared" ref="C3" ca="1" si="0">IF(TODAY()-10*365&gt;D3,"10년 초과",IF(TODAY()-5*365&gt;D3,"10년~5년 사이","5년 이내"))</f>
        <v>10년 초과</v>
      </c>
      <c r="D3" s="40">
        <v>42515</v>
      </c>
      <c r="E3" s="41"/>
      <c r="F3" s="41"/>
      <c r="G3" s="52"/>
      <c r="H3" s="52" t="s">
        <v>458</v>
      </c>
      <c r="I3" s="9" t="s">
        <v>397</v>
      </c>
      <c r="J3" s="2" t="s">
        <v>4</v>
      </c>
      <c r="K3" s="3" t="s">
        <v>121</v>
      </c>
      <c r="L3" s="4"/>
      <c r="M3" s="14"/>
      <c r="N3" s="14"/>
      <c r="O3" s="98"/>
      <c r="P3" s="98"/>
      <c r="Q3" s="98"/>
      <c r="R3" s="98"/>
      <c r="S3" s="98"/>
      <c r="T3" s="98"/>
      <c r="U3" s="98"/>
      <c r="V3" s="98"/>
      <c r="W3" s="98"/>
      <c r="X3" s="98"/>
      <c r="Y3" s="41"/>
      <c r="AH3" s="43"/>
    </row>
    <row r="4" spans="1:49" x14ac:dyDescent="0.3">
      <c r="A4" s="38" t="s">
        <v>281</v>
      </c>
      <c r="B4" s="22">
        <v>2</v>
      </c>
      <c r="C4" s="61" t="str">
        <f t="shared" ref="C4:C35" ca="1" si="1">IF(TODAY()-10*365&gt;D4,"10년 초과",IF(TODAY()-5*365&gt;D4,"10년~5년 사이","5년 이내"))</f>
        <v>10년~5년 사이</v>
      </c>
      <c r="D4" s="62">
        <v>42669</v>
      </c>
      <c r="E4" s="44">
        <f t="shared" ref="E4:E35" si="2">IF((N4&gt;200),2,IF(N4&gt;100,1,IF((N4&lt;99.9),"")))</f>
        <v>1</v>
      </c>
      <c r="F4" s="15" t="s">
        <v>1</v>
      </c>
      <c r="G4" s="63" t="s">
        <v>309</v>
      </c>
      <c r="H4" s="63" t="s">
        <v>363</v>
      </c>
      <c r="I4" s="44" t="s">
        <v>306</v>
      </c>
      <c r="J4" s="45" t="s">
        <v>283</v>
      </c>
      <c r="K4" s="45" t="s">
        <v>284</v>
      </c>
      <c r="L4" s="46">
        <v>1</v>
      </c>
      <c r="M4" s="47">
        <v>157</v>
      </c>
      <c r="N4" s="47">
        <v>157</v>
      </c>
      <c r="O4" s="47">
        <f t="shared" ref="O4" si="3">IF(M4&gt;100,L4,"")</f>
        <v>1</v>
      </c>
      <c r="P4" s="47" t="str">
        <f t="shared" ref="P4" si="4">IF(M4&gt;200,L4,"")</f>
        <v/>
      </c>
      <c r="Q4" s="47">
        <f t="shared" ref="Q4" si="5">IF(M4&gt;100,M4,"")</f>
        <v>157</v>
      </c>
      <c r="R4" s="47" t="str">
        <f>IF(M4&gt;200,M4,"")</f>
        <v/>
      </c>
      <c r="S4" s="47" t="str">
        <f t="shared" ref="S4" si="6">IF(N4&gt;100,P4,"")</f>
        <v/>
      </c>
      <c r="T4" s="47" t="str">
        <f t="shared" ref="T4" si="7">IF(N4&gt;200,P4,"")</f>
        <v/>
      </c>
      <c r="U4" s="47">
        <f t="shared" ref="U4" si="8">IF(N4&gt;100,N4,"")</f>
        <v>157</v>
      </c>
      <c r="V4" s="47" t="str">
        <f>IF(N4&gt;200,N4,"")</f>
        <v/>
      </c>
      <c r="W4" s="47">
        <f t="shared" ref="W4:W35" si="9">N4</f>
        <v>157</v>
      </c>
      <c r="X4" s="47">
        <f t="shared" ref="X4:X35" si="10">IF(W4&gt;0,L4,"")</f>
        <v>1</v>
      </c>
      <c r="Y4" s="41"/>
      <c r="AH4" s="43" t="s">
        <v>284</v>
      </c>
      <c r="AI4" s="43"/>
    </row>
    <row r="5" spans="1:49" x14ac:dyDescent="0.3">
      <c r="A5" s="38" t="s">
        <v>281</v>
      </c>
      <c r="B5" s="36">
        <v>3</v>
      </c>
      <c r="C5" s="61" t="str">
        <f t="shared" ca="1" si="1"/>
        <v>10년~5년 사이</v>
      </c>
      <c r="D5" s="62">
        <v>42669</v>
      </c>
      <c r="E5" s="44">
        <f t="shared" si="2"/>
        <v>1</v>
      </c>
      <c r="F5" s="15" t="s">
        <v>1</v>
      </c>
      <c r="G5" s="63" t="s">
        <v>285</v>
      </c>
      <c r="H5" s="63" t="s">
        <v>286</v>
      </c>
      <c r="I5" s="44" t="s">
        <v>306</v>
      </c>
      <c r="J5" s="45" t="s">
        <v>283</v>
      </c>
      <c r="K5" s="45" t="s">
        <v>284</v>
      </c>
      <c r="L5" s="46">
        <v>1</v>
      </c>
      <c r="M5" s="47">
        <v>157</v>
      </c>
      <c r="N5" s="47">
        <v>157</v>
      </c>
      <c r="O5" s="47">
        <f t="shared" ref="O5:O68" si="11">IF(M5&gt;100,L5,"")</f>
        <v>1</v>
      </c>
      <c r="P5" s="47" t="str">
        <f t="shared" ref="P5:P68" si="12">IF(M5&gt;200,L5,"")</f>
        <v/>
      </c>
      <c r="Q5" s="47">
        <f t="shared" ref="Q5:Q68" si="13">IF(M5&gt;100,M5,"")</f>
        <v>157</v>
      </c>
      <c r="R5" s="47" t="str">
        <f t="shared" ref="R5:R68" si="14">IF(M5&gt;200,M5,"")</f>
        <v/>
      </c>
      <c r="S5" s="47" t="str">
        <f t="shared" ref="S5:S7" si="15">IF(N5&gt;100,P5,"")</f>
        <v/>
      </c>
      <c r="T5" s="47" t="str">
        <f t="shared" ref="T5:T7" si="16">IF(N5&gt;200,P5,"")</f>
        <v/>
      </c>
      <c r="U5" s="47">
        <f t="shared" ref="U5:U68" si="17">IF(N5&gt;100,N5,"")</f>
        <v>157</v>
      </c>
      <c r="V5" s="47" t="str">
        <f t="shared" ref="V5:V68" si="18">IF(N5&gt;200,N5,"")</f>
        <v/>
      </c>
      <c r="W5" s="47">
        <f t="shared" si="9"/>
        <v>157</v>
      </c>
      <c r="X5" s="47">
        <f t="shared" si="10"/>
        <v>1</v>
      </c>
      <c r="Y5" s="41"/>
      <c r="AH5" s="43" t="s">
        <v>284</v>
      </c>
      <c r="AI5" s="43"/>
    </row>
    <row r="6" spans="1:49" x14ac:dyDescent="0.3">
      <c r="A6" s="38" t="s">
        <v>281</v>
      </c>
      <c r="B6" s="36">
        <v>4</v>
      </c>
      <c r="C6" s="61" t="str">
        <f t="shared" ca="1" si="1"/>
        <v>10년~5년 사이</v>
      </c>
      <c r="D6" s="62">
        <v>42669</v>
      </c>
      <c r="E6" s="44">
        <f t="shared" si="2"/>
        <v>1</v>
      </c>
      <c r="F6" s="15" t="s">
        <v>1</v>
      </c>
      <c r="G6" s="63" t="s">
        <v>310</v>
      </c>
      <c r="H6" s="63" t="s">
        <v>311</v>
      </c>
      <c r="I6" s="44" t="s">
        <v>306</v>
      </c>
      <c r="J6" s="45" t="s">
        <v>283</v>
      </c>
      <c r="K6" s="45" t="s">
        <v>284</v>
      </c>
      <c r="L6" s="46">
        <v>1</v>
      </c>
      <c r="M6" s="47">
        <v>157</v>
      </c>
      <c r="N6" s="47">
        <v>157</v>
      </c>
      <c r="O6" s="47">
        <f t="shared" si="11"/>
        <v>1</v>
      </c>
      <c r="P6" s="47" t="str">
        <f t="shared" si="12"/>
        <v/>
      </c>
      <c r="Q6" s="47">
        <f t="shared" si="13"/>
        <v>157</v>
      </c>
      <c r="R6" s="47" t="str">
        <f t="shared" si="14"/>
        <v/>
      </c>
      <c r="S6" s="47" t="str">
        <f t="shared" si="15"/>
        <v/>
      </c>
      <c r="T6" s="47" t="str">
        <f t="shared" si="16"/>
        <v/>
      </c>
      <c r="U6" s="47">
        <f t="shared" si="17"/>
        <v>157</v>
      </c>
      <c r="V6" s="47" t="str">
        <f t="shared" si="18"/>
        <v/>
      </c>
      <c r="W6" s="47">
        <f t="shared" si="9"/>
        <v>157</v>
      </c>
      <c r="X6" s="47">
        <f t="shared" si="10"/>
        <v>1</v>
      </c>
      <c r="Y6" s="41"/>
      <c r="AH6" s="43" t="s">
        <v>284</v>
      </c>
      <c r="AI6" s="43"/>
    </row>
    <row r="7" spans="1:49" x14ac:dyDescent="0.3">
      <c r="A7" s="38" t="s">
        <v>281</v>
      </c>
      <c r="B7" s="36">
        <v>5</v>
      </c>
      <c r="C7" s="61" t="str">
        <f t="shared" ca="1" si="1"/>
        <v>10년~5년 사이</v>
      </c>
      <c r="D7" s="62">
        <v>42719</v>
      </c>
      <c r="E7" s="44">
        <f t="shared" si="2"/>
        <v>2</v>
      </c>
      <c r="F7" s="15" t="s">
        <v>1</v>
      </c>
      <c r="G7" s="63" t="s">
        <v>162</v>
      </c>
      <c r="H7" s="63" t="s">
        <v>305</v>
      </c>
      <c r="I7" s="44" t="s">
        <v>307</v>
      </c>
      <c r="J7" s="45" t="s">
        <v>283</v>
      </c>
      <c r="K7" s="45" t="s">
        <v>284</v>
      </c>
      <c r="L7" s="46">
        <v>1</v>
      </c>
      <c r="M7" s="47">
        <v>450</v>
      </c>
      <c r="N7" s="47">
        <v>450</v>
      </c>
      <c r="O7" s="47">
        <f t="shared" si="11"/>
        <v>1</v>
      </c>
      <c r="P7" s="47">
        <f t="shared" si="12"/>
        <v>1</v>
      </c>
      <c r="Q7" s="47">
        <f t="shared" si="13"/>
        <v>450</v>
      </c>
      <c r="R7" s="47">
        <f t="shared" si="14"/>
        <v>450</v>
      </c>
      <c r="S7" s="47">
        <f t="shared" si="15"/>
        <v>1</v>
      </c>
      <c r="T7" s="47">
        <f t="shared" si="16"/>
        <v>1</v>
      </c>
      <c r="U7" s="47">
        <f t="shared" si="17"/>
        <v>450</v>
      </c>
      <c r="V7" s="47">
        <f t="shared" si="18"/>
        <v>450</v>
      </c>
      <c r="W7" s="47">
        <f t="shared" si="9"/>
        <v>450</v>
      </c>
      <c r="X7" s="47">
        <f t="shared" si="10"/>
        <v>1</v>
      </c>
      <c r="Y7" s="41"/>
      <c r="AH7" s="43" t="s">
        <v>284</v>
      </c>
      <c r="AI7" s="43"/>
    </row>
    <row r="8" spans="1:49" x14ac:dyDescent="0.3">
      <c r="A8" s="38" t="s">
        <v>281</v>
      </c>
      <c r="B8" s="36">
        <v>6</v>
      </c>
      <c r="C8" s="61" t="str">
        <f t="shared" ca="1" si="1"/>
        <v>10년~5년 사이</v>
      </c>
      <c r="D8" s="62">
        <v>42725</v>
      </c>
      <c r="E8" s="44">
        <f t="shared" si="2"/>
        <v>2</v>
      </c>
      <c r="F8" s="15" t="s">
        <v>1</v>
      </c>
      <c r="G8" s="63" t="s">
        <v>162</v>
      </c>
      <c r="H8" s="63" t="s">
        <v>305</v>
      </c>
      <c r="I8" s="44" t="s">
        <v>308</v>
      </c>
      <c r="J8" s="45" t="s">
        <v>283</v>
      </c>
      <c r="K8" s="45" t="s">
        <v>284</v>
      </c>
      <c r="L8" s="46">
        <v>1</v>
      </c>
      <c r="M8" s="47">
        <v>500</v>
      </c>
      <c r="N8" s="47">
        <v>500</v>
      </c>
      <c r="O8" s="47">
        <f t="shared" si="11"/>
        <v>1</v>
      </c>
      <c r="P8" s="47">
        <f t="shared" si="12"/>
        <v>1</v>
      </c>
      <c r="Q8" s="47">
        <f t="shared" si="13"/>
        <v>500</v>
      </c>
      <c r="R8" s="47">
        <f t="shared" si="14"/>
        <v>500</v>
      </c>
      <c r="S8" s="47">
        <f t="shared" ref="S8:S71" si="19">IF(N8&gt;100,L8,"")</f>
        <v>1</v>
      </c>
      <c r="T8" s="47">
        <f t="shared" ref="T8:T71" si="20">IF(N8&gt;200,L8,"")</f>
        <v>1</v>
      </c>
      <c r="U8" s="47">
        <f t="shared" si="17"/>
        <v>500</v>
      </c>
      <c r="V8" s="47">
        <f t="shared" si="18"/>
        <v>500</v>
      </c>
      <c r="W8" s="47">
        <f t="shared" si="9"/>
        <v>500</v>
      </c>
      <c r="X8" s="47">
        <f t="shared" si="10"/>
        <v>1</v>
      </c>
      <c r="Y8" s="41"/>
      <c r="AH8" s="43" t="s">
        <v>284</v>
      </c>
      <c r="AI8" s="43"/>
    </row>
    <row r="9" spans="1:49" x14ac:dyDescent="0.3">
      <c r="A9" s="38" t="s">
        <v>281</v>
      </c>
      <c r="B9" s="36">
        <v>7</v>
      </c>
      <c r="C9" s="61" t="str">
        <f t="shared" ca="1" si="1"/>
        <v>10년~5년 사이</v>
      </c>
      <c r="D9" s="62">
        <v>42731</v>
      </c>
      <c r="E9" s="44">
        <f t="shared" si="2"/>
        <v>2</v>
      </c>
      <c r="F9" s="15" t="s">
        <v>1</v>
      </c>
      <c r="G9" s="63" t="s">
        <v>162</v>
      </c>
      <c r="H9" s="63" t="s">
        <v>432</v>
      </c>
      <c r="I9" s="44" t="s">
        <v>304</v>
      </c>
      <c r="J9" s="45" t="s">
        <v>283</v>
      </c>
      <c r="K9" s="45" t="s">
        <v>284</v>
      </c>
      <c r="L9" s="46">
        <v>0.2</v>
      </c>
      <c r="M9" s="47">
        <v>3566</v>
      </c>
      <c r="N9" s="47">
        <v>713.2</v>
      </c>
      <c r="O9" s="47">
        <f t="shared" si="11"/>
        <v>0.2</v>
      </c>
      <c r="P9" s="47">
        <f t="shared" si="12"/>
        <v>0.2</v>
      </c>
      <c r="Q9" s="47">
        <f t="shared" si="13"/>
        <v>3566</v>
      </c>
      <c r="R9" s="47">
        <f t="shared" si="14"/>
        <v>3566</v>
      </c>
      <c r="S9" s="47">
        <f t="shared" si="19"/>
        <v>0.2</v>
      </c>
      <c r="T9" s="47">
        <f t="shared" si="20"/>
        <v>0.2</v>
      </c>
      <c r="U9" s="47">
        <f t="shared" si="17"/>
        <v>713.2</v>
      </c>
      <c r="V9" s="47">
        <f t="shared" si="18"/>
        <v>713.2</v>
      </c>
      <c r="W9" s="47">
        <f t="shared" si="9"/>
        <v>713.2</v>
      </c>
      <c r="X9" s="47">
        <f t="shared" si="10"/>
        <v>0.2</v>
      </c>
      <c r="Y9" s="41"/>
      <c r="AH9" s="43" t="s">
        <v>284</v>
      </c>
      <c r="AI9" s="43"/>
    </row>
    <row r="10" spans="1:49" x14ac:dyDescent="0.3">
      <c r="A10" s="38" t="s">
        <v>281</v>
      </c>
      <c r="B10" s="36">
        <v>8</v>
      </c>
      <c r="C10" s="8" t="str">
        <f t="shared" ca="1" si="1"/>
        <v>10년~5년 사이</v>
      </c>
      <c r="D10" s="62">
        <v>42830</v>
      </c>
      <c r="E10" s="30">
        <f t="shared" si="2"/>
        <v>2</v>
      </c>
      <c r="F10" s="15" t="s">
        <v>1</v>
      </c>
      <c r="G10" s="63" t="s">
        <v>285</v>
      </c>
      <c r="H10" s="63" t="s">
        <v>286</v>
      </c>
      <c r="I10" s="44" t="s">
        <v>282</v>
      </c>
      <c r="J10" s="45" t="s">
        <v>283</v>
      </c>
      <c r="K10" s="45" t="s">
        <v>284</v>
      </c>
      <c r="L10" s="48">
        <v>0.76800000000000002</v>
      </c>
      <c r="M10" s="49">
        <v>269.5</v>
      </c>
      <c r="N10" s="49">
        <v>206.9</v>
      </c>
      <c r="O10" s="47">
        <f t="shared" si="11"/>
        <v>0.76800000000000002</v>
      </c>
      <c r="P10" s="47">
        <f t="shared" si="12"/>
        <v>0.76800000000000002</v>
      </c>
      <c r="Q10" s="47">
        <f t="shared" si="13"/>
        <v>269.5</v>
      </c>
      <c r="R10" s="47">
        <f t="shared" si="14"/>
        <v>269.5</v>
      </c>
      <c r="S10" s="47">
        <f t="shared" si="19"/>
        <v>0.76800000000000002</v>
      </c>
      <c r="T10" s="47">
        <f t="shared" si="20"/>
        <v>0.76800000000000002</v>
      </c>
      <c r="U10" s="47">
        <f t="shared" si="17"/>
        <v>206.9</v>
      </c>
      <c r="V10" s="47">
        <f t="shared" si="18"/>
        <v>206.9</v>
      </c>
      <c r="W10" s="98">
        <f t="shared" si="9"/>
        <v>206.9</v>
      </c>
      <c r="X10" s="98">
        <f t="shared" si="10"/>
        <v>0.76800000000000002</v>
      </c>
      <c r="Y10" s="41"/>
      <c r="AH10" s="43" t="s">
        <v>284</v>
      </c>
      <c r="AI10" s="43"/>
    </row>
    <row r="11" spans="1:49" x14ac:dyDescent="0.3">
      <c r="A11" s="38" t="s">
        <v>281</v>
      </c>
      <c r="B11" s="36">
        <v>9</v>
      </c>
      <c r="C11" s="8" t="str">
        <f t="shared" ca="1" si="1"/>
        <v>10년~5년 사이</v>
      </c>
      <c r="D11" s="62">
        <v>42830</v>
      </c>
      <c r="E11" s="30">
        <f t="shared" si="2"/>
        <v>2</v>
      </c>
      <c r="F11" s="15" t="s">
        <v>1</v>
      </c>
      <c r="G11" s="63" t="s">
        <v>287</v>
      </c>
      <c r="H11" s="63" t="s">
        <v>288</v>
      </c>
      <c r="I11" s="44" t="s">
        <v>282</v>
      </c>
      <c r="J11" s="45" t="s">
        <v>283</v>
      </c>
      <c r="K11" s="45" t="s">
        <v>284</v>
      </c>
      <c r="L11" s="48">
        <v>0.76800000000000002</v>
      </c>
      <c r="M11" s="49">
        <v>269.5</v>
      </c>
      <c r="N11" s="49">
        <v>206.9</v>
      </c>
      <c r="O11" s="47">
        <f t="shared" si="11"/>
        <v>0.76800000000000002</v>
      </c>
      <c r="P11" s="47">
        <f t="shared" si="12"/>
        <v>0.76800000000000002</v>
      </c>
      <c r="Q11" s="47">
        <f t="shared" si="13"/>
        <v>269.5</v>
      </c>
      <c r="R11" s="47">
        <f t="shared" si="14"/>
        <v>269.5</v>
      </c>
      <c r="S11" s="47">
        <f t="shared" si="19"/>
        <v>0.76800000000000002</v>
      </c>
      <c r="T11" s="47">
        <f t="shared" si="20"/>
        <v>0.76800000000000002</v>
      </c>
      <c r="U11" s="47">
        <f t="shared" si="17"/>
        <v>206.9</v>
      </c>
      <c r="V11" s="47">
        <f t="shared" si="18"/>
        <v>206.9</v>
      </c>
      <c r="W11" s="98">
        <f t="shared" si="9"/>
        <v>206.9</v>
      </c>
      <c r="X11" s="98">
        <f t="shared" si="10"/>
        <v>0.76800000000000002</v>
      </c>
      <c r="Y11" s="41"/>
      <c r="AH11" s="43" t="s">
        <v>284</v>
      </c>
      <c r="AI11" s="43"/>
    </row>
    <row r="12" spans="1:49" x14ac:dyDescent="0.3">
      <c r="A12" s="38" t="s">
        <v>281</v>
      </c>
      <c r="B12" s="36">
        <v>10</v>
      </c>
      <c r="C12" s="8" t="str">
        <f t="shared" ca="1" si="1"/>
        <v>10년~5년 사이</v>
      </c>
      <c r="D12" s="62">
        <v>42830</v>
      </c>
      <c r="E12" s="30">
        <f t="shared" si="2"/>
        <v>2</v>
      </c>
      <c r="F12" s="15" t="s">
        <v>1</v>
      </c>
      <c r="G12" s="63" t="s">
        <v>287</v>
      </c>
      <c r="H12" s="63" t="s">
        <v>289</v>
      </c>
      <c r="I12" s="44" t="s">
        <v>282</v>
      </c>
      <c r="J12" s="45" t="s">
        <v>283</v>
      </c>
      <c r="K12" s="45" t="s">
        <v>284</v>
      </c>
      <c r="L12" s="48">
        <v>0.76800000000000002</v>
      </c>
      <c r="M12" s="49">
        <v>269.5</v>
      </c>
      <c r="N12" s="49">
        <v>206.9</v>
      </c>
      <c r="O12" s="47">
        <f t="shared" si="11"/>
        <v>0.76800000000000002</v>
      </c>
      <c r="P12" s="47">
        <f t="shared" si="12"/>
        <v>0.76800000000000002</v>
      </c>
      <c r="Q12" s="47">
        <f t="shared" si="13"/>
        <v>269.5</v>
      </c>
      <c r="R12" s="47">
        <f t="shared" si="14"/>
        <v>269.5</v>
      </c>
      <c r="S12" s="47">
        <f t="shared" si="19"/>
        <v>0.76800000000000002</v>
      </c>
      <c r="T12" s="47">
        <f t="shared" si="20"/>
        <v>0.76800000000000002</v>
      </c>
      <c r="U12" s="47">
        <f t="shared" si="17"/>
        <v>206.9</v>
      </c>
      <c r="V12" s="47">
        <f t="shared" si="18"/>
        <v>206.9</v>
      </c>
      <c r="W12" s="98">
        <f t="shared" si="9"/>
        <v>206.9</v>
      </c>
      <c r="X12" s="98">
        <f t="shared" si="10"/>
        <v>0.76800000000000002</v>
      </c>
      <c r="Y12" s="41"/>
      <c r="AH12" s="43" t="s">
        <v>284</v>
      </c>
      <c r="AI12" s="43"/>
    </row>
    <row r="13" spans="1:49" x14ac:dyDescent="0.3">
      <c r="A13" s="38" t="s">
        <v>281</v>
      </c>
      <c r="B13" s="36">
        <v>11</v>
      </c>
      <c r="C13" s="61" t="str">
        <f t="shared" ca="1" si="1"/>
        <v>10년~5년 사이</v>
      </c>
      <c r="D13" s="62">
        <v>42846</v>
      </c>
      <c r="E13" s="44" t="str">
        <f t="shared" si="2"/>
        <v/>
      </c>
      <c r="F13" s="15" t="s">
        <v>1</v>
      </c>
      <c r="G13" s="63" t="s">
        <v>297</v>
      </c>
      <c r="H13" s="63" t="s">
        <v>298</v>
      </c>
      <c r="I13" s="44" t="s">
        <v>296</v>
      </c>
      <c r="J13" s="45" t="s">
        <v>283</v>
      </c>
      <c r="K13" s="45" t="s">
        <v>284</v>
      </c>
      <c r="L13" s="50">
        <v>0.35</v>
      </c>
      <c r="M13" s="49">
        <v>180</v>
      </c>
      <c r="N13" s="49">
        <v>0.63</v>
      </c>
      <c r="O13" s="47">
        <f t="shared" si="11"/>
        <v>0.35</v>
      </c>
      <c r="P13" s="47" t="str">
        <f t="shared" si="12"/>
        <v/>
      </c>
      <c r="Q13" s="47">
        <f t="shared" si="13"/>
        <v>180</v>
      </c>
      <c r="R13" s="47" t="str">
        <f t="shared" si="14"/>
        <v/>
      </c>
      <c r="S13" s="47" t="str">
        <f t="shared" si="19"/>
        <v/>
      </c>
      <c r="T13" s="47" t="str">
        <f t="shared" si="20"/>
        <v/>
      </c>
      <c r="U13" s="47" t="str">
        <f t="shared" si="17"/>
        <v/>
      </c>
      <c r="V13" s="47" t="str">
        <f t="shared" si="18"/>
        <v/>
      </c>
      <c r="W13" s="47">
        <f t="shared" si="9"/>
        <v>0.63</v>
      </c>
      <c r="X13" s="47">
        <f t="shared" si="10"/>
        <v>0.35</v>
      </c>
      <c r="Y13" s="41"/>
      <c r="AH13" s="43" t="s">
        <v>284</v>
      </c>
      <c r="AI13" s="43"/>
    </row>
    <row r="14" spans="1:49" x14ac:dyDescent="0.3">
      <c r="A14" s="38" t="s">
        <v>281</v>
      </c>
      <c r="B14" s="36">
        <v>12</v>
      </c>
      <c r="C14" s="61" t="str">
        <f t="shared" ca="1" si="1"/>
        <v>10년~5년 사이</v>
      </c>
      <c r="D14" s="62">
        <v>43087</v>
      </c>
      <c r="E14" s="44">
        <f t="shared" si="2"/>
        <v>2</v>
      </c>
      <c r="F14" s="15" t="s">
        <v>1</v>
      </c>
      <c r="G14" s="63" t="s">
        <v>285</v>
      </c>
      <c r="H14" s="63" t="s">
        <v>286</v>
      </c>
      <c r="I14" s="44" t="s">
        <v>312</v>
      </c>
      <c r="J14" s="45" t="s">
        <v>283</v>
      </c>
      <c r="K14" s="45" t="s">
        <v>284</v>
      </c>
      <c r="L14" s="46">
        <v>0.2</v>
      </c>
      <c r="M14" s="47">
        <v>1645</v>
      </c>
      <c r="N14" s="47">
        <v>329</v>
      </c>
      <c r="O14" s="47">
        <f t="shared" si="11"/>
        <v>0.2</v>
      </c>
      <c r="P14" s="47">
        <f t="shared" si="12"/>
        <v>0.2</v>
      </c>
      <c r="Q14" s="47">
        <f t="shared" si="13"/>
        <v>1645</v>
      </c>
      <c r="R14" s="47">
        <f t="shared" si="14"/>
        <v>1645</v>
      </c>
      <c r="S14" s="47">
        <f t="shared" si="19"/>
        <v>0.2</v>
      </c>
      <c r="T14" s="47">
        <f t="shared" si="20"/>
        <v>0.2</v>
      </c>
      <c r="U14" s="47">
        <f t="shared" si="17"/>
        <v>329</v>
      </c>
      <c r="V14" s="47">
        <f t="shared" si="18"/>
        <v>329</v>
      </c>
      <c r="W14" s="47">
        <f t="shared" si="9"/>
        <v>329</v>
      </c>
      <c r="X14" s="47">
        <f t="shared" si="10"/>
        <v>0.2</v>
      </c>
      <c r="Y14" s="41"/>
      <c r="AH14" s="43" t="s">
        <v>284</v>
      </c>
      <c r="AI14" s="43"/>
    </row>
    <row r="15" spans="1:49" x14ac:dyDescent="0.3">
      <c r="A15" s="38" t="s">
        <v>281</v>
      </c>
      <c r="B15" s="36">
        <v>13</v>
      </c>
      <c r="C15" s="61" t="str">
        <f t="shared" ca="1" si="1"/>
        <v>10년~5년 사이</v>
      </c>
      <c r="D15" s="62">
        <v>43479</v>
      </c>
      <c r="E15" s="44" t="str">
        <f t="shared" si="2"/>
        <v/>
      </c>
      <c r="F15" s="15" t="s">
        <v>1</v>
      </c>
      <c r="G15" s="63" t="s">
        <v>17</v>
      </c>
      <c r="H15" s="63" t="s">
        <v>300</v>
      </c>
      <c r="I15" s="44" t="s">
        <v>302</v>
      </c>
      <c r="J15" s="45" t="s">
        <v>283</v>
      </c>
      <c r="K15" s="45" t="s">
        <v>284</v>
      </c>
      <c r="L15" s="50">
        <v>0.25</v>
      </c>
      <c r="M15" s="49">
        <v>262.7</v>
      </c>
      <c r="N15" s="49">
        <v>65.599999999999994</v>
      </c>
      <c r="O15" s="47">
        <f t="shared" si="11"/>
        <v>0.25</v>
      </c>
      <c r="P15" s="47">
        <f t="shared" si="12"/>
        <v>0.25</v>
      </c>
      <c r="Q15" s="47">
        <f t="shared" si="13"/>
        <v>262.7</v>
      </c>
      <c r="R15" s="47">
        <f t="shared" si="14"/>
        <v>262.7</v>
      </c>
      <c r="S15" s="47" t="str">
        <f t="shared" si="19"/>
        <v/>
      </c>
      <c r="T15" s="47" t="str">
        <f t="shared" si="20"/>
        <v/>
      </c>
      <c r="U15" s="47" t="str">
        <f t="shared" si="17"/>
        <v/>
      </c>
      <c r="V15" s="47" t="str">
        <f t="shared" si="18"/>
        <v/>
      </c>
      <c r="W15" s="47">
        <f t="shared" si="9"/>
        <v>65.599999999999994</v>
      </c>
      <c r="X15" s="47">
        <f t="shared" si="10"/>
        <v>0.25</v>
      </c>
      <c r="Y15" s="41"/>
      <c r="AH15" s="43" t="s">
        <v>284</v>
      </c>
      <c r="AI15" s="43"/>
    </row>
    <row r="16" spans="1:49" x14ac:dyDescent="0.3">
      <c r="A16" s="38" t="s">
        <v>281</v>
      </c>
      <c r="B16" s="36">
        <v>14</v>
      </c>
      <c r="C16" s="61" t="str">
        <f t="shared" ca="1" si="1"/>
        <v>10년~5년 사이</v>
      </c>
      <c r="D16" s="62">
        <v>43479</v>
      </c>
      <c r="E16" s="44" t="str">
        <f t="shared" si="2"/>
        <v/>
      </c>
      <c r="F16" s="15" t="s">
        <v>1</v>
      </c>
      <c r="G16" s="63" t="s">
        <v>17</v>
      </c>
      <c r="H16" s="63" t="s">
        <v>301</v>
      </c>
      <c r="I16" s="44" t="s">
        <v>302</v>
      </c>
      <c r="J16" s="45" t="s">
        <v>283</v>
      </c>
      <c r="K16" s="45" t="s">
        <v>284</v>
      </c>
      <c r="L16" s="50">
        <v>0.25</v>
      </c>
      <c r="M16" s="49">
        <v>262.7</v>
      </c>
      <c r="N16" s="49">
        <v>65.599999999999994</v>
      </c>
      <c r="O16" s="47">
        <f t="shared" si="11"/>
        <v>0.25</v>
      </c>
      <c r="P16" s="47">
        <f t="shared" si="12"/>
        <v>0.25</v>
      </c>
      <c r="Q16" s="47">
        <f t="shared" si="13"/>
        <v>262.7</v>
      </c>
      <c r="R16" s="47">
        <f t="shared" si="14"/>
        <v>262.7</v>
      </c>
      <c r="S16" s="47" t="str">
        <f t="shared" si="19"/>
        <v/>
      </c>
      <c r="T16" s="47" t="str">
        <f t="shared" si="20"/>
        <v/>
      </c>
      <c r="U16" s="47" t="str">
        <f t="shared" si="17"/>
        <v/>
      </c>
      <c r="V16" s="47" t="str">
        <f t="shared" si="18"/>
        <v/>
      </c>
      <c r="W16" s="47">
        <f t="shared" si="9"/>
        <v>65.599999999999994</v>
      </c>
      <c r="X16" s="47">
        <f t="shared" si="10"/>
        <v>0.25</v>
      </c>
      <c r="Y16" s="41"/>
      <c r="AH16" s="43" t="s">
        <v>284</v>
      </c>
      <c r="AI16" s="43"/>
    </row>
    <row r="17" spans="1:35" x14ac:dyDescent="0.3">
      <c r="A17" s="38" t="s">
        <v>281</v>
      </c>
      <c r="B17" s="36">
        <v>15</v>
      </c>
      <c r="C17" s="61" t="str">
        <f t="shared" ca="1" si="1"/>
        <v>10년~5년 사이</v>
      </c>
      <c r="D17" s="62">
        <v>43573</v>
      </c>
      <c r="E17" s="44" t="str">
        <f t="shared" si="2"/>
        <v/>
      </c>
      <c r="F17" s="15" t="s">
        <v>1</v>
      </c>
      <c r="G17" s="63" t="s">
        <v>162</v>
      </c>
      <c r="H17" s="63" t="s">
        <v>315</v>
      </c>
      <c r="I17" s="44" t="s">
        <v>316</v>
      </c>
      <c r="J17" s="45" t="s">
        <v>283</v>
      </c>
      <c r="K17" s="45" t="s">
        <v>284</v>
      </c>
      <c r="L17" s="46">
        <v>1</v>
      </c>
      <c r="M17" s="47">
        <v>19.8</v>
      </c>
      <c r="N17" s="47">
        <v>19.8</v>
      </c>
      <c r="O17" s="47" t="str">
        <f t="shared" si="11"/>
        <v/>
      </c>
      <c r="P17" s="47" t="str">
        <f t="shared" si="12"/>
        <v/>
      </c>
      <c r="Q17" s="47" t="str">
        <f t="shared" si="13"/>
        <v/>
      </c>
      <c r="R17" s="47" t="str">
        <f t="shared" si="14"/>
        <v/>
      </c>
      <c r="S17" s="47" t="str">
        <f t="shared" si="19"/>
        <v/>
      </c>
      <c r="T17" s="47" t="str">
        <f t="shared" si="20"/>
        <v/>
      </c>
      <c r="U17" s="47" t="str">
        <f t="shared" si="17"/>
        <v/>
      </c>
      <c r="V17" s="47" t="str">
        <f t="shared" si="18"/>
        <v/>
      </c>
      <c r="W17" s="47">
        <f t="shared" si="9"/>
        <v>19.8</v>
      </c>
      <c r="X17" s="47">
        <f t="shared" si="10"/>
        <v>1</v>
      </c>
      <c r="Y17" s="41"/>
      <c r="AH17" s="43" t="s">
        <v>284</v>
      </c>
      <c r="AI17" s="43"/>
    </row>
    <row r="18" spans="1:35" x14ac:dyDescent="0.3">
      <c r="A18" s="38" t="s">
        <v>281</v>
      </c>
      <c r="B18" s="36">
        <v>16</v>
      </c>
      <c r="C18" s="61" t="str">
        <f t="shared" ca="1" si="1"/>
        <v>10년~5년 사이</v>
      </c>
      <c r="D18" s="62">
        <v>43592</v>
      </c>
      <c r="E18" s="44" t="str">
        <f t="shared" si="2"/>
        <v/>
      </c>
      <c r="F18" s="15" t="s">
        <v>1</v>
      </c>
      <c r="G18" s="63" t="s">
        <v>299</v>
      </c>
      <c r="H18" s="63" t="s">
        <v>139</v>
      </c>
      <c r="I18" s="44" t="s">
        <v>303</v>
      </c>
      <c r="J18" s="45" t="s">
        <v>283</v>
      </c>
      <c r="K18" s="45" t="s">
        <v>284</v>
      </c>
      <c r="L18" s="50">
        <v>1</v>
      </c>
      <c r="M18" s="49">
        <v>19.399999999999999</v>
      </c>
      <c r="N18" s="49">
        <v>19.399999999999999</v>
      </c>
      <c r="O18" s="47" t="str">
        <f t="shared" si="11"/>
        <v/>
      </c>
      <c r="P18" s="47" t="str">
        <f t="shared" si="12"/>
        <v/>
      </c>
      <c r="Q18" s="47" t="str">
        <f t="shared" si="13"/>
        <v/>
      </c>
      <c r="R18" s="47" t="str">
        <f t="shared" si="14"/>
        <v/>
      </c>
      <c r="S18" s="47" t="str">
        <f t="shared" si="19"/>
        <v/>
      </c>
      <c r="T18" s="47" t="str">
        <f t="shared" si="20"/>
        <v/>
      </c>
      <c r="U18" s="47" t="str">
        <f t="shared" si="17"/>
        <v/>
      </c>
      <c r="V18" s="47" t="str">
        <f t="shared" si="18"/>
        <v/>
      </c>
      <c r="W18" s="47">
        <f t="shared" si="9"/>
        <v>19.399999999999999</v>
      </c>
      <c r="X18" s="47">
        <f t="shared" si="10"/>
        <v>1</v>
      </c>
      <c r="Y18" s="41"/>
      <c r="AH18" s="43" t="s">
        <v>284</v>
      </c>
      <c r="AI18" s="43"/>
    </row>
    <row r="19" spans="1:35" x14ac:dyDescent="0.3">
      <c r="A19" s="38" t="s">
        <v>281</v>
      </c>
      <c r="B19" s="36">
        <v>17</v>
      </c>
      <c r="C19" s="61" t="str">
        <f t="shared" ca="1" si="1"/>
        <v>10년~5년 사이</v>
      </c>
      <c r="D19" s="62">
        <v>43592</v>
      </c>
      <c r="E19" s="44" t="str">
        <f t="shared" si="2"/>
        <v/>
      </c>
      <c r="F19" s="15" t="s">
        <v>1</v>
      </c>
      <c r="G19" s="63" t="s">
        <v>299</v>
      </c>
      <c r="H19" s="63" t="s">
        <v>446</v>
      </c>
      <c r="I19" s="44" t="s">
        <v>303</v>
      </c>
      <c r="J19" s="45" t="s">
        <v>283</v>
      </c>
      <c r="K19" s="45" t="s">
        <v>284</v>
      </c>
      <c r="L19" s="50">
        <v>1</v>
      </c>
      <c r="M19" s="49">
        <v>19.399999999999999</v>
      </c>
      <c r="N19" s="49">
        <v>19.399999999999999</v>
      </c>
      <c r="O19" s="47" t="str">
        <f t="shared" si="11"/>
        <v/>
      </c>
      <c r="P19" s="47" t="str">
        <f t="shared" si="12"/>
        <v/>
      </c>
      <c r="Q19" s="47" t="str">
        <f t="shared" si="13"/>
        <v/>
      </c>
      <c r="R19" s="47" t="str">
        <f t="shared" si="14"/>
        <v/>
      </c>
      <c r="S19" s="47" t="str">
        <f t="shared" si="19"/>
        <v/>
      </c>
      <c r="T19" s="47" t="str">
        <f t="shared" si="20"/>
        <v/>
      </c>
      <c r="U19" s="47" t="str">
        <f t="shared" si="17"/>
        <v/>
      </c>
      <c r="V19" s="47" t="str">
        <f t="shared" si="18"/>
        <v/>
      </c>
      <c r="W19" s="47">
        <f t="shared" si="9"/>
        <v>19.399999999999999</v>
      </c>
      <c r="X19" s="47">
        <f t="shared" si="10"/>
        <v>1</v>
      </c>
      <c r="Y19" s="41"/>
      <c r="AH19" s="43" t="s">
        <v>284</v>
      </c>
      <c r="AI19" s="43"/>
    </row>
    <row r="20" spans="1:35" x14ac:dyDescent="0.3">
      <c r="A20" s="38" t="s">
        <v>281</v>
      </c>
      <c r="B20" s="36">
        <v>18</v>
      </c>
      <c r="C20" s="61" t="str">
        <f t="shared" ca="1" si="1"/>
        <v>10년~5년 사이</v>
      </c>
      <c r="D20" s="62">
        <v>43592</v>
      </c>
      <c r="E20" s="44" t="str">
        <f t="shared" si="2"/>
        <v/>
      </c>
      <c r="F20" s="15" t="s">
        <v>1</v>
      </c>
      <c r="G20" s="63" t="s">
        <v>292</v>
      </c>
      <c r="H20" s="63" t="s">
        <v>293</v>
      </c>
      <c r="I20" s="44" t="s">
        <v>303</v>
      </c>
      <c r="J20" s="45" t="s">
        <v>283</v>
      </c>
      <c r="K20" s="45" t="s">
        <v>284</v>
      </c>
      <c r="L20" s="50">
        <v>1</v>
      </c>
      <c r="M20" s="49">
        <v>19.399999999999999</v>
      </c>
      <c r="N20" s="49">
        <v>19.399999999999999</v>
      </c>
      <c r="O20" s="47" t="str">
        <f t="shared" si="11"/>
        <v/>
      </c>
      <c r="P20" s="47" t="str">
        <f t="shared" si="12"/>
        <v/>
      </c>
      <c r="Q20" s="47" t="str">
        <f t="shared" si="13"/>
        <v/>
      </c>
      <c r="R20" s="47" t="str">
        <f t="shared" si="14"/>
        <v/>
      </c>
      <c r="S20" s="47" t="str">
        <f t="shared" si="19"/>
        <v/>
      </c>
      <c r="T20" s="47" t="str">
        <f t="shared" si="20"/>
        <v/>
      </c>
      <c r="U20" s="47" t="str">
        <f t="shared" si="17"/>
        <v/>
      </c>
      <c r="V20" s="47" t="str">
        <f t="shared" si="18"/>
        <v/>
      </c>
      <c r="W20" s="47">
        <f t="shared" si="9"/>
        <v>19.399999999999999</v>
      </c>
      <c r="X20" s="47">
        <f t="shared" si="10"/>
        <v>1</v>
      </c>
      <c r="Y20" s="41"/>
      <c r="AH20" s="43" t="s">
        <v>284</v>
      </c>
      <c r="AI20" s="43"/>
    </row>
    <row r="21" spans="1:35" x14ac:dyDescent="0.3">
      <c r="A21" s="38" t="s">
        <v>281</v>
      </c>
      <c r="B21" s="36">
        <v>19</v>
      </c>
      <c r="C21" s="61" t="str">
        <f t="shared" ca="1" si="1"/>
        <v>10년~5년 사이</v>
      </c>
      <c r="D21" s="62">
        <v>43751</v>
      </c>
      <c r="E21" s="44" t="str">
        <f t="shared" si="2"/>
        <v/>
      </c>
      <c r="F21" s="15" t="s">
        <v>1</v>
      </c>
      <c r="G21" s="63" t="s">
        <v>162</v>
      </c>
      <c r="H21" s="63" t="s">
        <v>315</v>
      </c>
      <c r="I21" s="44" t="s">
        <v>314</v>
      </c>
      <c r="J21" s="45" t="s">
        <v>283</v>
      </c>
      <c r="K21" s="45" t="s">
        <v>284</v>
      </c>
      <c r="L21" s="46">
        <v>1</v>
      </c>
      <c r="M21" s="47">
        <v>22.3</v>
      </c>
      <c r="N21" s="47">
        <v>22.3</v>
      </c>
      <c r="O21" s="47" t="str">
        <f t="shared" si="11"/>
        <v/>
      </c>
      <c r="P21" s="47" t="str">
        <f t="shared" si="12"/>
        <v/>
      </c>
      <c r="Q21" s="47" t="str">
        <f t="shared" si="13"/>
        <v/>
      </c>
      <c r="R21" s="47" t="str">
        <f t="shared" si="14"/>
        <v/>
      </c>
      <c r="S21" s="47" t="str">
        <f t="shared" si="19"/>
        <v/>
      </c>
      <c r="T21" s="47" t="str">
        <f t="shared" si="20"/>
        <v/>
      </c>
      <c r="U21" s="47" t="str">
        <f t="shared" si="17"/>
        <v/>
      </c>
      <c r="V21" s="47" t="str">
        <f t="shared" si="18"/>
        <v/>
      </c>
      <c r="W21" s="47">
        <f t="shared" si="9"/>
        <v>22.3</v>
      </c>
      <c r="X21" s="47">
        <f t="shared" si="10"/>
        <v>1</v>
      </c>
      <c r="Y21" s="41"/>
      <c r="AH21" s="43" t="s">
        <v>284</v>
      </c>
      <c r="AI21" s="43"/>
    </row>
    <row r="22" spans="1:35" x14ac:dyDescent="0.3">
      <c r="A22" s="38" t="s">
        <v>281</v>
      </c>
      <c r="B22" s="36">
        <v>20</v>
      </c>
      <c r="C22" s="61" t="str">
        <f t="shared" ca="1" si="1"/>
        <v>10년~5년 사이</v>
      </c>
      <c r="D22" s="62">
        <v>43803</v>
      </c>
      <c r="E22" s="30">
        <f t="shared" si="2"/>
        <v>1</v>
      </c>
      <c r="F22" s="15" t="s">
        <v>1</v>
      </c>
      <c r="G22" s="63" t="s">
        <v>68</v>
      </c>
      <c r="H22" s="63" t="s">
        <v>286</v>
      </c>
      <c r="I22" s="44" t="s">
        <v>290</v>
      </c>
      <c r="J22" s="45" t="s">
        <v>283</v>
      </c>
      <c r="K22" s="45" t="s">
        <v>284</v>
      </c>
      <c r="L22" s="50">
        <v>0.59</v>
      </c>
      <c r="M22" s="49">
        <v>295.2</v>
      </c>
      <c r="N22" s="49">
        <v>174.1</v>
      </c>
      <c r="O22" s="47">
        <f t="shared" si="11"/>
        <v>0.59</v>
      </c>
      <c r="P22" s="47">
        <f t="shared" si="12"/>
        <v>0.59</v>
      </c>
      <c r="Q22" s="47">
        <f t="shared" si="13"/>
        <v>295.2</v>
      </c>
      <c r="R22" s="47">
        <f t="shared" si="14"/>
        <v>295.2</v>
      </c>
      <c r="S22" s="47">
        <f t="shared" si="19"/>
        <v>0.59</v>
      </c>
      <c r="T22" s="47" t="str">
        <f t="shared" si="20"/>
        <v/>
      </c>
      <c r="U22" s="47">
        <f t="shared" si="17"/>
        <v>174.1</v>
      </c>
      <c r="V22" s="47" t="str">
        <f t="shared" si="18"/>
        <v/>
      </c>
      <c r="W22" s="47">
        <f t="shared" si="9"/>
        <v>174.1</v>
      </c>
      <c r="X22" s="47">
        <f t="shared" si="10"/>
        <v>0.59</v>
      </c>
      <c r="Y22" s="41"/>
      <c r="AH22" s="43" t="s">
        <v>284</v>
      </c>
      <c r="AI22" s="43"/>
    </row>
    <row r="23" spans="1:35" x14ac:dyDescent="0.3">
      <c r="A23" s="38" t="s">
        <v>281</v>
      </c>
      <c r="B23" s="36">
        <v>21</v>
      </c>
      <c r="C23" s="61" t="str">
        <f t="shared" ca="1" si="1"/>
        <v>10년~5년 사이</v>
      </c>
      <c r="D23" s="62">
        <v>43803</v>
      </c>
      <c r="E23" s="30">
        <f t="shared" si="2"/>
        <v>1</v>
      </c>
      <c r="F23" s="15" t="s">
        <v>1</v>
      </c>
      <c r="G23" s="63" t="s">
        <v>17</v>
      </c>
      <c r="H23" s="63" t="s">
        <v>436</v>
      </c>
      <c r="I23" s="44" t="s">
        <v>290</v>
      </c>
      <c r="J23" s="45" t="s">
        <v>283</v>
      </c>
      <c r="K23" s="45" t="s">
        <v>284</v>
      </c>
      <c r="L23" s="50">
        <v>0.59</v>
      </c>
      <c r="M23" s="49">
        <v>295.2</v>
      </c>
      <c r="N23" s="49">
        <v>174.1</v>
      </c>
      <c r="O23" s="47">
        <f t="shared" si="11"/>
        <v>0.59</v>
      </c>
      <c r="P23" s="47">
        <f t="shared" si="12"/>
        <v>0.59</v>
      </c>
      <c r="Q23" s="47">
        <f t="shared" si="13"/>
        <v>295.2</v>
      </c>
      <c r="R23" s="47">
        <f t="shared" si="14"/>
        <v>295.2</v>
      </c>
      <c r="S23" s="47">
        <f t="shared" si="19"/>
        <v>0.59</v>
      </c>
      <c r="T23" s="47" t="str">
        <f t="shared" si="20"/>
        <v/>
      </c>
      <c r="U23" s="47">
        <f t="shared" si="17"/>
        <v>174.1</v>
      </c>
      <c r="V23" s="47" t="str">
        <f t="shared" si="18"/>
        <v/>
      </c>
      <c r="W23" s="47">
        <f t="shared" si="9"/>
        <v>174.1</v>
      </c>
      <c r="X23" s="47">
        <f t="shared" si="10"/>
        <v>0.59</v>
      </c>
      <c r="Y23" s="41"/>
      <c r="AH23" s="43" t="s">
        <v>284</v>
      </c>
      <c r="AI23" s="43"/>
    </row>
    <row r="24" spans="1:35" x14ac:dyDescent="0.3">
      <c r="A24" s="38" t="s">
        <v>281</v>
      </c>
      <c r="B24" s="36">
        <v>22</v>
      </c>
      <c r="C24" s="61" t="str">
        <f t="shared" ca="1" si="1"/>
        <v>10년~5년 사이</v>
      </c>
      <c r="D24" s="62">
        <v>43807</v>
      </c>
      <c r="E24" s="44" t="str">
        <f t="shared" si="2"/>
        <v/>
      </c>
      <c r="F24" s="15" t="s">
        <v>1</v>
      </c>
      <c r="G24" s="63" t="s">
        <v>162</v>
      </c>
      <c r="H24" s="63" t="s">
        <v>315</v>
      </c>
      <c r="I24" s="44" t="s">
        <v>317</v>
      </c>
      <c r="J24" s="45" t="s">
        <v>283</v>
      </c>
      <c r="K24" s="45" t="s">
        <v>284</v>
      </c>
      <c r="L24" s="46">
        <v>1</v>
      </c>
      <c r="M24" s="47">
        <v>20.2</v>
      </c>
      <c r="N24" s="47">
        <v>19.8</v>
      </c>
      <c r="O24" s="47" t="str">
        <f t="shared" si="11"/>
        <v/>
      </c>
      <c r="P24" s="47" t="str">
        <f t="shared" si="12"/>
        <v/>
      </c>
      <c r="Q24" s="47" t="str">
        <f t="shared" si="13"/>
        <v/>
      </c>
      <c r="R24" s="47" t="str">
        <f t="shared" si="14"/>
        <v/>
      </c>
      <c r="S24" s="47" t="str">
        <f t="shared" si="19"/>
        <v/>
      </c>
      <c r="T24" s="47" t="str">
        <f t="shared" si="20"/>
        <v/>
      </c>
      <c r="U24" s="47" t="str">
        <f t="shared" si="17"/>
        <v/>
      </c>
      <c r="V24" s="47" t="str">
        <f t="shared" si="18"/>
        <v/>
      </c>
      <c r="W24" s="47">
        <f t="shared" si="9"/>
        <v>19.8</v>
      </c>
      <c r="X24" s="47">
        <f t="shared" si="10"/>
        <v>1</v>
      </c>
      <c r="Y24" s="41"/>
      <c r="AH24" s="43" t="s">
        <v>284</v>
      </c>
      <c r="AI24" s="43"/>
    </row>
    <row r="25" spans="1:35" x14ac:dyDescent="0.3">
      <c r="A25" s="38" t="s">
        <v>281</v>
      </c>
      <c r="B25" s="36">
        <v>23</v>
      </c>
      <c r="C25" s="61" t="str">
        <f t="shared" ca="1" si="1"/>
        <v>10년~5년 사이</v>
      </c>
      <c r="D25" s="62">
        <v>43850</v>
      </c>
      <c r="E25" s="44" t="str">
        <f t="shared" si="2"/>
        <v/>
      </c>
      <c r="F25" s="15" t="s">
        <v>1</v>
      </c>
      <c r="G25" s="63" t="s">
        <v>162</v>
      </c>
      <c r="H25" s="63" t="s">
        <v>315</v>
      </c>
      <c r="I25" s="44" t="s">
        <v>318</v>
      </c>
      <c r="J25" s="45" t="s">
        <v>283</v>
      </c>
      <c r="K25" s="45" t="s">
        <v>284</v>
      </c>
      <c r="L25" s="46">
        <v>1</v>
      </c>
      <c r="M25" s="47">
        <v>18.899999999999999</v>
      </c>
      <c r="N25" s="47">
        <v>18.899999999999999</v>
      </c>
      <c r="O25" s="47" t="str">
        <f t="shared" si="11"/>
        <v/>
      </c>
      <c r="P25" s="47" t="str">
        <f t="shared" si="12"/>
        <v/>
      </c>
      <c r="Q25" s="47" t="str">
        <f t="shared" si="13"/>
        <v/>
      </c>
      <c r="R25" s="47" t="str">
        <f t="shared" si="14"/>
        <v/>
      </c>
      <c r="S25" s="47" t="str">
        <f t="shared" si="19"/>
        <v/>
      </c>
      <c r="T25" s="47" t="str">
        <f t="shared" si="20"/>
        <v/>
      </c>
      <c r="U25" s="47" t="str">
        <f t="shared" si="17"/>
        <v/>
      </c>
      <c r="V25" s="47" t="str">
        <f t="shared" si="18"/>
        <v/>
      </c>
      <c r="W25" s="47">
        <f t="shared" si="9"/>
        <v>18.899999999999999</v>
      </c>
      <c r="X25" s="47">
        <f t="shared" si="10"/>
        <v>1</v>
      </c>
      <c r="Y25" s="41"/>
      <c r="AH25" s="43" t="s">
        <v>284</v>
      </c>
      <c r="AI25" s="43"/>
    </row>
    <row r="26" spans="1:35" x14ac:dyDescent="0.3">
      <c r="A26" s="38" t="s">
        <v>281</v>
      </c>
      <c r="B26" s="36">
        <v>24</v>
      </c>
      <c r="C26" s="61" t="str">
        <f t="shared" ca="1" si="1"/>
        <v>10년~5년 사이</v>
      </c>
      <c r="D26" s="62">
        <v>44140</v>
      </c>
      <c r="E26" s="44">
        <f t="shared" si="2"/>
        <v>2</v>
      </c>
      <c r="F26" s="15" t="s">
        <v>1</v>
      </c>
      <c r="G26" s="63" t="s">
        <v>292</v>
      </c>
      <c r="H26" s="63" t="s">
        <v>293</v>
      </c>
      <c r="I26" s="44" t="s">
        <v>291</v>
      </c>
      <c r="J26" s="45" t="s">
        <v>283</v>
      </c>
      <c r="K26" s="45" t="s">
        <v>284</v>
      </c>
      <c r="L26" s="48">
        <v>0.27150000000000002</v>
      </c>
      <c r="M26" s="49">
        <v>826.3</v>
      </c>
      <c r="N26" s="49">
        <v>224.3</v>
      </c>
      <c r="O26" s="47">
        <f t="shared" si="11"/>
        <v>0.27150000000000002</v>
      </c>
      <c r="P26" s="47">
        <f t="shared" si="12"/>
        <v>0.27150000000000002</v>
      </c>
      <c r="Q26" s="47">
        <f t="shared" si="13"/>
        <v>826.3</v>
      </c>
      <c r="R26" s="47">
        <f t="shared" si="14"/>
        <v>826.3</v>
      </c>
      <c r="S26" s="47">
        <f t="shared" si="19"/>
        <v>0.27150000000000002</v>
      </c>
      <c r="T26" s="47">
        <f t="shared" si="20"/>
        <v>0.27150000000000002</v>
      </c>
      <c r="U26" s="47">
        <f t="shared" si="17"/>
        <v>224.3</v>
      </c>
      <c r="V26" s="47">
        <f t="shared" si="18"/>
        <v>224.3</v>
      </c>
      <c r="W26" s="47">
        <f t="shared" si="9"/>
        <v>224.3</v>
      </c>
      <c r="X26" s="47">
        <f t="shared" si="10"/>
        <v>0.27150000000000002</v>
      </c>
      <c r="Y26" s="41"/>
      <c r="AH26" s="43" t="s">
        <v>284</v>
      </c>
      <c r="AI26" s="43"/>
    </row>
    <row r="27" spans="1:35" x14ac:dyDescent="0.3">
      <c r="A27" s="38" t="s">
        <v>281</v>
      </c>
      <c r="B27" s="36">
        <v>25</v>
      </c>
      <c r="C27" s="61" t="str">
        <f t="shared" ca="1" si="1"/>
        <v>10년~5년 사이</v>
      </c>
      <c r="D27" s="62">
        <v>44140</v>
      </c>
      <c r="E27" s="44">
        <f t="shared" si="2"/>
        <v>2</v>
      </c>
      <c r="F27" s="15" t="s">
        <v>1</v>
      </c>
      <c r="G27" s="63" t="s">
        <v>208</v>
      </c>
      <c r="H27" s="63" t="s">
        <v>294</v>
      </c>
      <c r="I27" s="44" t="s">
        <v>291</v>
      </c>
      <c r="J27" s="45" t="s">
        <v>283</v>
      </c>
      <c r="K27" s="45" t="s">
        <v>284</v>
      </c>
      <c r="L27" s="48">
        <v>0.27150000000000002</v>
      </c>
      <c r="M27" s="49">
        <v>826.3</v>
      </c>
      <c r="N27" s="49">
        <v>224.3</v>
      </c>
      <c r="O27" s="47">
        <f t="shared" si="11"/>
        <v>0.27150000000000002</v>
      </c>
      <c r="P27" s="47">
        <f t="shared" si="12"/>
        <v>0.27150000000000002</v>
      </c>
      <c r="Q27" s="47">
        <f t="shared" si="13"/>
        <v>826.3</v>
      </c>
      <c r="R27" s="47">
        <f t="shared" si="14"/>
        <v>826.3</v>
      </c>
      <c r="S27" s="47">
        <f t="shared" si="19"/>
        <v>0.27150000000000002</v>
      </c>
      <c r="T27" s="47">
        <f t="shared" si="20"/>
        <v>0.27150000000000002</v>
      </c>
      <c r="U27" s="47">
        <f t="shared" si="17"/>
        <v>224.3</v>
      </c>
      <c r="V27" s="47">
        <f t="shared" si="18"/>
        <v>224.3</v>
      </c>
      <c r="W27" s="47">
        <f t="shared" si="9"/>
        <v>224.3</v>
      </c>
      <c r="X27" s="47">
        <f t="shared" si="10"/>
        <v>0.27150000000000002</v>
      </c>
      <c r="Y27" s="41"/>
      <c r="AH27" s="43" t="s">
        <v>284</v>
      </c>
      <c r="AI27" s="43"/>
    </row>
    <row r="28" spans="1:35" x14ac:dyDescent="0.3">
      <c r="A28" s="38" t="s">
        <v>281</v>
      </c>
      <c r="B28" s="36">
        <v>26</v>
      </c>
      <c r="C28" s="61" t="str">
        <f t="shared" ca="1" si="1"/>
        <v>10년~5년 사이</v>
      </c>
      <c r="D28" s="62">
        <v>44140</v>
      </c>
      <c r="E28" s="44">
        <f t="shared" si="2"/>
        <v>2</v>
      </c>
      <c r="F28" s="15" t="s">
        <v>1</v>
      </c>
      <c r="G28" s="63" t="s">
        <v>17</v>
      </c>
      <c r="H28" s="63" t="s">
        <v>137</v>
      </c>
      <c r="I28" s="44" t="s">
        <v>291</v>
      </c>
      <c r="J28" s="45" t="s">
        <v>283</v>
      </c>
      <c r="K28" s="45" t="s">
        <v>284</v>
      </c>
      <c r="L28" s="48">
        <v>0.27150000000000002</v>
      </c>
      <c r="M28" s="49">
        <v>826.3</v>
      </c>
      <c r="N28" s="49">
        <v>224.3</v>
      </c>
      <c r="O28" s="47">
        <f t="shared" si="11"/>
        <v>0.27150000000000002</v>
      </c>
      <c r="P28" s="47">
        <f t="shared" si="12"/>
        <v>0.27150000000000002</v>
      </c>
      <c r="Q28" s="47">
        <f t="shared" si="13"/>
        <v>826.3</v>
      </c>
      <c r="R28" s="47">
        <f t="shared" si="14"/>
        <v>826.3</v>
      </c>
      <c r="S28" s="47">
        <f t="shared" si="19"/>
        <v>0.27150000000000002</v>
      </c>
      <c r="T28" s="47">
        <f t="shared" si="20"/>
        <v>0.27150000000000002</v>
      </c>
      <c r="U28" s="47">
        <f t="shared" si="17"/>
        <v>224.3</v>
      </c>
      <c r="V28" s="47">
        <f t="shared" si="18"/>
        <v>224.3</v>
      </c>
      <c r="W28" s="47">
        <f t="shared" si="9"/>
        <v>224.3</v>
      </c>
      <c r="X28" s="47">
        <f t="shared" si="10"/>
        <v>0.27150000000000002</v>
      </c>
      <c r="Y28" s="41"/>
      <c r="AH28" s="43" t="s">
        <v>284</v>
      </c>
      <c r="AI28" s="43"/>
    </row>
    <row r="29" spans="1:35" x14ac:dyDescent="0.3">
      <c r="A29" s="38" t="s">
        <v>281</v>
      </c>
      <c r="B29" s="36">
        <v>27</v>
      </c>
      <c r="C29" s="61" t="str">
        <f t="shared" ca="1" si="1"/>
        <v>10년~5년 사이</v>
      </c>
      <c r="D29" s="62">
        <v>44140</v>
      </c>
      <c r="E29" s="44">
        <f t="shared" si="2"/>
        <v>2</v>
      </c>
      <c r="F29" s="15" t="s">
        <v>1</v>
      </c>
      <c r="G29" s="63" t="s">
        <v>17</v>
      </c>
      <c r="H29" s="63" t="s">
        <v>446</v>
      </c>
      <c r="I29" s="44" t="s">
        <v>291</v>
      </c>
      <c r="J29" s="45" t="s">
        <v>283</v>
      </c>
      <c r="K29" s="45" t="s">
        <v>284</v>
      </c>
      <c r="L29" s="48">
        <v>0.27150000000000002</v>
      </c>
      <c r="M29" s="49">
        <v>826.3</v>
      </c>
      <c r="N29" s="49">
        <v>224.3</v>
      </c>
      <c r="O29" s="47">
        <f t="shared" si="11"/>
        <v>0.27150000000000002</v>
      </c>
      <c r="P29" s="47">
        <f t="shared" si="12"/>
        <v>0.27150000000000002</v>
      </c>
      <c r="Q29" s="47">
        <f t="shared" si="13"/>
        <v>826.3</v>
      </c>
      <c r="R29" s="47">
        <f t="shared" si="14"/>
        <v>826.3</v>
      </c>
      <c r="S29" s="47">
        <f t="shared" si="19"/>
        <v>0.27150000000000002</v>
      </c>
      <c r="T29" s="47">
        <f t="shared" si="20"/>
        <v>0.27150000000000002</v>
      </c>
      <c r="U29" s="47">
        <f t="shared" si="17"/>
        <v>224.3</v>
      </c>
      <c r="V29" s="47">
        <f t="shared" si="18"/>
        <v>224.3</v>
      </c>
      <c r="W29" s="47">
        <f t="shared" si="9"/>
        <v>224.3</v>
      </c>
      <c r="X29" s="47">
        <f t="shared" si="10"/>
        <v>0.27150000000000002</v>
      </c>
      <c r="Y29" s="41"/>
      <c r="AH29" s="43" t="s">
        <v>284</v>
      </c>
      <c r="AI29" s="43"/>
    </row>
    <row r="30" spans="1:35" x14ac:dyDescent="0.3">
      <c r="A30" s="38" t="s">
        <v>281</v>
      </c>
      <c r="B30" s="36">
        <v>28</v>
      </c>
      <c r="C30" s="61" t="str">
        <f t="shared" ca="1" si="1"/>
        <v>10년~5년 사이</v>
      </c>
      <c r="D30" s="62">
        <v>44140</v>
      </c>
      <c r="E30" s="44">
        <f t="shared" si="2"/>
        <v>2</v>
      </c>
      <c r="F30" s="15" t="s">
        <v>1</v>
      </c>
      <c r="G30" s="63" t="s">
        <v>17</v>
      </c>
      <c r="H30" s="63" t="s">
        <v>295</v>
      </c>
      <c r="I30" s="44" t="s">
        <v>291</v>
      </c>
      <c r="J30" s="45" t="s">
        <v>283</v>
      </c>
      <c r="K30" s="45" t="s">
        <v>284</v>
      </c>
      <c r="L30" s="48">
        <v>0.27150000000000002</v>
      </c>
      <c r="M30" s="49">
        <v>826.3</v>
      </c>
      <c r="N30" s="49">
        <v>224.3</v>
      </c>
      <c r="O30" s="47">
        <f t="shared" si="11"/>
        <v>0.27150000000000002</v>
      </c>
      <c r="P30" s="47">
        <f t="shared" si="12"/>
        <v>0.27150000000000002</v>
      </c>
      <c r="Q30" s="47">
        <f t="shared" si="13"/>
        <v>826.3</v>
      </c>
      <c r="R30" s="47">
        <f t="shared" si="14"/>
        <v>826.3</v>
      </c>
      <c r="S30" s="47">
        <f t="shared" si="19"/>
        <v>0.27150000000000002</v>
      </c>
      <c r="T30" s="47">
        <f t="shared" si="20"/>
        <v>0.27150000000000002</v>
      </c>
      <c r="U30" s="47">
        <f t="shared" si="17"/>
        <v>224.3</v>
      </c>
      <c r="V30" s="47">
        <f t="shared" si="18"/>
        <v>224.3</v>
      </c>
      <c r="W30" s="47">
        <f t="shared" si="9"/>
        <v>224.3</v>
      </c>
      <c r="X30" s="47">
        <f t="shared" si="10"/>
        <v>0.27150000000000002</v>
      </c>
      <c r="Y30" s="41"/>
      <c r="AH30" s="43" t="s">
        <v>284</v>
      </c>
      <c r="AI30" s="43"/>
    </row>
    <row r="31" spans="1:35" x14ac:dyDescent="0.3">
      <c r="A31" s="38" t="s">
        <v>281</v>
      </c>
      <c r="B31" s="36">
        <v>29</v>
      </c>
      <c r="C31" s="61" t="str">
        <f t="shared" ca="1" si="1"/>
        <v>10년~5년 사이</v>
      </c>
      <c r="D31" s="62">
        <v>44183</v>
      </c>
      <c r="E31" s="44">
        <f t="shared" si="2"/>
        <v>1</v>
      </c>
      <c r="F31" s="15" t="s">
        <v>1</v>
      </c>
      <c r="G31" s="63" t="s">
        <v>285</v>
      </c>
      <c r="H31" s="63" t="s">
        <v>286</v>
      </c>
      <c r="I31" s="44" t="s">
        <v>313</v>
      </c>
      <c r="J31" s="45" t="s">
        <v>283</v>
      </c>
      <c r="K31" s="45" t="s">
        <v>284</v>
      </c>
      <c r="L31" s="46">
        <v>0.2</v>
      </c>
      <c r="M31" s="47">
        <v>882</v>
      </c>
      <c r="N31" s="47">
        <v>176</v>
      </c>
      <c r="O31" s="47">
        <f t="shared" si="11"/>
        <v>0.2</v>
      </c>
      <c r="P31" s="47">
        <f t="shared" si="12"/>
        <v>0.2</v>
      </c>
      <c r="Q31" s="47">
        <f t="shared" si="13"/>
        <v>882</v>
      </c>
      <c r="R31" s="47">
        <f t="shared" si="14"/>
        <v>882</v>
      </c>
      <c r="S31" s="47">
        <f t="shared" si="19"/>
        <v>0.2</v>
      </c>
      <c r="T31" s="47" t="str">
        <f t="shared" si="20"/>
        <v/>
      </c>
      <c r="U31" s="47">
        <f t="shared" si="17"/>
        <v>176</v>
      </c>
      <c r="V31" s="47" t="str">
        <f t="shared" si="18"/>
        <v/>
      </c>
      <c r="W31" s="47">
        <f t="shared" si="9"/>
        <v>176</v>
      </c>
      <c r="X31" s="47">
        <f t="shared" si="10"/>
        <v>0.2</v>
      </c>
      <c r="Y31" s="41"/>
      <c r="AH31" s="43" t="s">
        <v>284</v>
      </c>
      <c r="AI31" s="43"/>
    </row>
    <row r="32" spans="1:35" x14ac:dyDescent="0.3">
      <c r="A32" s="38" t="s">
        <v>281</v>
      </c>
      <c r="B32" s="36">
        <v>30</v>
      </c>
      <c r="C32" s="61" t="str">
        <f t="shared" ca="1" si="1"/>
        <v>10년~5년 사이</v>
      </c>
      <c r="D32" s="62">
        <v>44195</v>
      </c>
      <c r="E32" s="44" t="str">
        <f t="shared" si="2"/>
        <v/>
      </c>
      <c r="F32" s="15" t="s">
        <v>1</v>
      </c>
      <c r="G32" s="63" t="s">
        <v>17</v>
      </c>
      <c r="H32" s="63" t="s">
        <v>835</v>
      </c>
      <c r="I32" s="44" t="s">
        <v>320</v>
      </c>
      <c r="J32" s="45" t="s">
        <v>283</v>
      </c>
      <c r="K32" s="45" t="s">
        <v>284</v>
      </c>
      <c r="L32" s="46">
        <v>1</v>
      </c>
      <c r="M32" s="47">
        <v>35.4</v>
      </c>
      <c r="N32" s="47">
        <v>35.4</v>
      </c>
      <c r="O32" s="47" t="str">
        <f t="shared" si="11"/>
        <v/>
      </c>
      <c r="P32" s="47" t="str">
        <f t="shared" si="12"/>
        <v/>
      </c>
      <c r="Q32" s="47" t="str">
        <f t="shared" si="13"/>
        <v/>
      </c>
      <c r="R32" s="47" t="str">
        <f t="shared" si="14"/>
        <v/>
      </c>
      <c r="S32" s="47" t="str">
        <f t="shared" si="19"/>
        <v/>
      </c>
      <c r="T32" s="47" t="str">
        <f t="shared" si="20"/>
        <v/>
      </c>
      <c r="U32" s="47" t="str">
        <f t="shared" si="17"/>
        <v/>
      </c>
      <c r="V32" s="47" t="str">
        <f t="shared" si="18"/>
        <v/>
      </c>
      <c r="W32" s="47">
        <f t="shared" si="9"/>
        <v>35.4</v>
      </c>
      <c r="X32" s="47">
        <f t="shared" si="10"/>
        <v>1</v>
      </c>
      <c r="Y32" s="41"/>
      <c r="AH32" s="43" t="s">
        <v>284</v>
      </c>
      <c r="AI32" s="43"/>
    </row>
    <row r="33" spans="1:35" x14ac:dyDescent="0.3">
      <c r="A33" s="38" t="s">
        <v>281</v>
      </c>
      <c r="B33" s="36">
        <v>31</v>
      </c>
      <c r="C33" s="61" t="str">
        <f t="shared" ca="1" si="1"/>
        <v>5년 이내</v>
      </c>
      <c r="D33" s="62">
        <v>44511</v>
      </c>
      <c r="E33" s="44" t="str">
        <f t="shared" si="2"/>
        <v/>
      </c>
      <c r="F33" s="15" t="s">
        <v>1</v>
      </c>
      <c r="G33" s="63" t="s">
        <v>17</v>
      </c>
      <c r="H33" s="63" t="s">
        <v>139</v>
      </c>
      <c r="I33" s="44" t="s">
        <v>319</v>
      </c>
      <c r="J33" s="45" t="s">
        <v>283</v>
      </c>
      <c r="K33" s="45" t="s">
        <v>284</v>
      </c>
      <c r="L33" s="46">
        <v>1</v>
      </c>
      <c r="M33" s="47">
        <v>82.3</v>
      </c>
      <c r="N33" s="47">
        <v>82.3</v>
      </c>
      <c r="O33" s="47" t="str">
        <f t="shared" si="11"/>
        <v/>
      </c>
      <c r="P33" s="47" t="str">
        <f t="shared" si="12"/>
        <v/>
      </c>
      <c r="Q33" s="47" t="str">
        <f t="shared" si="13"/>
        <v/>
      </c>
      <c r="R33" s="47" t="str">
        <f t="shared" si="14"/>
        <v/>
      </c>
      <c r="S33" s="47" t="str">
        <f t="shared" si="19"/>
        <v/>
      </c>
      <c r="T33" s="47" t="str">
        <f t="shared" si="20"/>
        <v/>
      </c>
      <c r="U33" s="47" t="str">
        <f t="shared" si="17"/>
        <v/>
      </c>
      <c r="V33" s="47" t="str">
        <f t="shared" si="18"/>
        <v/>
      </c>
      <c r="W33" s="47">
        <f t="shared" si="9"/>
        <v>82.3</v>
      </c>
      <c r="X33" s="47">
        <f t="shared" si="10"/>
        <v>1</v>
      </c>
      <c r="Y33" s="41"/>
      <c r="AH33" s="43" t="s">
        <v>284</v>
      </c>
      <c r="AI33" s="43"/>
    </row>
    <row r="34" spans="1:35" x14ac:dyDescent="0.3">
      <c r="A34" s="38" t="s">
        <v>281</v>
      </c>
      <c r="B34" s="36">
        <v>32</v>
      </c>
      <c r="C34" s="61" t="str">
        <f t="shared" ca="1" si="1"/>
        <v>10년~5년 사이</v>
      </c>
      <c r="D34" s="64">
        <v>42562</v>
      </c>
      <c r="E34" s="65">
        <f t="shared" si="2"/>
        <v>2</v>
      </c>
      <c r="F34" s="65" t="s">
        <v>329</v>
      </c>
      <c r="G34" s="66" t="s">
        <v>299</v>
      </c>
      <c r="H34" s="66" t="s">
        <v>444</v>
      </c>
      <c r="I34" s="65" t="s">
        <v>395</v>
      </c>
      <c r="J34" s="41" t="s">
        <v>322</v>
      </c>
      <c r="K34" s="41" t="s">
        <v>323</v>
      </c>
      <c r="L34" s="46">
        <v>0.72</v>
      </c>
      <c r="M34" s="47">
        <v>702.9</v>
      </c>
      <c r="N34" s="47">
        <v>506.2</v>
      </c>
      <c r="O34" s="47">
        <f t="shared" si="11"/>
        <v>0.72</v>
      </c>
      <c r="P34" s="47">
        <f t="shared" si="12"/>
        <v>0.72</v>
      </c>
      <c r="Q34" s="47">
        <f t="shared" si="13"/>
        <v>702.9</v>
      </c>
      <c r="R34" s="47">
        <f t="shared" si="14"/>
        <v>702.9</v>
      </c>
      <c r="S34" s="47">
        <f t="shared" si="19"/>
        <v>0.72</v>
      </c>
      <c r="T34" s="47">
        <f>IF(N34&gt;200,L34,"")</f>
        <v>0.72</v>
      </c>
      <c r="U34" s="47">
        <f t="shared" si="17"/>
        <v>506.2</v>
      </c>
      <c r="V34" s="47">
        <f t="shared" si="18"/>
        <v>506.2</v>
      </c>
      <c r="W34" s="47">
        <f t="shared" si="9"/>
        <v>506.2</v>
      </c>
      <c r="X34" s="47">
        <f t="shared" si="10"/>
        <v>0.72</v>
      </c>
      <c r="Y34" s="41"/>
      <c r="AI34" s="42" t="s">
        <v>323</v>
      </c>
    </row>
    <row r="35" spans="1:35" x14ac:dyDescent="0.3">
      <c r="A35" s="38" t="s">
        <v>281</v>
      </c>
      <c r="B35" s="36">
        <v>33</v>
      </c>
      <c r="C35" s="61" t="str">
        <f t="shared" ca="1" si="1"/>
        <v>10년~5년 사이</v>
      </c>
      <c r="D35" s="64">
        <v>42677</v>
      </c>
      <c r="E35" s="65">
        <f t="shared" si="2"/>
        <v>2</v>
      </c>
      <c r="F35" s="65" t="s">
        <v>329</v>
      </c>
      <c r="G35" s="66" t="s">
        <v>285</v>
      </c>
      <c r="H35" s="66" t="s">
        <v>394</v>
      </c>
      <c r="I35" s="65" t="s">
        <v>393</v>
      </c>
      <c r="J35" s="41" t="s">
        <v>322</v>
      </c>
      <c r="K35" s="41" t="s">
        <v>323</v>
      </c>
      <c r="L35" s="46">
        <v>0.3</v>
      </c>
      <c r="M35" s="47">
        <v>736.8</v>
      </c>
      <c r="N35" s="47">
        <v>221</v>
      </c>
      <c r="O35" s="47">
        <f t="shared" si="11"/>
        <v>0.3</v>
      </c>
      <c r="P35" s="47">
        <f t="shared" si="12"/>
        <v>0.3</v>
      </c>
      <c r="Q35" s="47">
        <f t="shared" si="13"/>
        <v>736.8</v>
      </c>
      <c r="R35" s="47">
        <f t="shared" si="14"/>
        <v>736.8</v>
      </c>
      <c r="S35" s="47">
        <f t="shared" si="19"/>
        <v>0.3</v>
      </c>
      <c r="T35" s="47">
        <f t="shared" si="20"/>
        <v>0.3</v>
      </c>
      <c r="U35" s="47">
        <f t="shared" si="17"/>
        <v>221</v>
      </c>
      <c r="V35" s="47">
        <f t="shared" si="18"/>
        <v>221</v>
      </c>
      <c r="W35" s="47">
        <f t="shared" si="9"/>
        <v>221</v>
      </c>
      <c r="X35" s="47">
        <f t="shared" si="10"/>
        <v>0.3</v>
      </c>
      <c r="Y35" s="41"/>
      <c r="AI35" s="42" t="s">
        <v>323</v>
      </c>
    </row>
    <row r="36" spans="1:35" x14ac:dyDescent="0.3">
      <c r="A36" s="38" t="s">
        <v>281</v>
      </c>
      <c r="B36" s="36">
        <v>34</v>
      </c>
      <c r="C36" s="61" t="str">
        <f t="shared" ref="C36:C68" ca="1" si="21">IF(TODAY()-10*365&gt;D36,"10년 초과",IF(TODAY()-5*365&gt;D36,"10년~5년 사이","5년 이내"))</f>
        <v>10년~5년 사이</v>
      </c>
      <c r="D36" s="64">
        <v>42722</v>
      </c>
      <c r="E36" s="65">
        <f t="shared" ref="E36:E68" si="22">IF((N36&gt;200),2,IF(N36&gt;100,1,IF((N36&lt;99.9),"")))</f>
        <v>2</v>
      </c>
      <c r="F36" s="65" t="s">
        <v>329</v>
      </c>
      <c r="G36" s="66" t="s">
        <v>382</v>
      </c>
      <c r="H36" s="66" t="s">
        <v>224</v>
      </c>
      <c r="I36" s="65" t="s">
        <v>381</v>
      </c>
      <c r="J36" s="41" t="s">
        <v>322</v>
      </c>
      <c r="K36" s="41" t="s">
        <v>323</v>
      </c>
      <c r="L36" s="51">
        <v>0.83499999999999996</v>
      </c>
      <c r="M36" s="47">
        <v>610.1</v>
      </c>
      <c r="N36" s="47">
        <v>509.4</v>
      </c>
      <c r="O36" s="47">
        <f t="shared" si="11"/>
        <v>0.83499999999999996</v>
      </c>
      <c r="P36" s="47">
        <f t="shared" si="12"/>
        <v>0.83499999999999996</v>
      </c>
      <c r="Q36" s="47">
        <f t="shared" si="13"/>
        <v>610.1</v>
      </c>
      <c r="R36" s="47">
        <f t="shared" si="14"/>
        <v>610.1</v>
      </c>
      <c r="S36" s="47">
        <f t="shared" si="19"/>
        <v>0.83499999999999996</v>
      </c>
      <c r="T36" s="47">
        <f t="shared" si="20"/>
        <v>0.83499999999999996</v>
      </c>
      <c r="U36" s="47">
        <f t="shared" si="17"/>
        <v>509.4</v>
      </c>
      <c r="V36" s="47">
        <f t="shared" si="18"/>
        <v>509.4</v>
      </c>
      <c r="W36" s="47">
        <f t="shared" ref="W36:W68" si="23">N36</f>
        <v>509.4</v>
      </c>
      <c r="X36" s="47">
        <f t="shared" ref="X36:X68" si="24">IF(W36&gt;0,L36,"")</f>
        <v>0.83499999999999996</v>
      </c>
      <c r="Y36" s="41"/>
      <c r="AI36" s="42" t="s">
        <v>323</v>
      </c>
    </row>
    <row r="37" spans="1:35" x14ac:dyDescent="0.3">
      <c r="A37" s="38" t="s">
        <v>281</v>
      </c>
      <c r="B37" s="36">
        <v>35</v>
      </c>
      <c r="C37" s="61" t="str">
        <f t="shared" ca="1" si="21"/>
        <v>10년~5년 사이</v>
      </c>
      <c r="D37" s="64">
        <v>42722</v>
      </c>
      <c r="E37" s="65">
        <f t="shared" si="22"/>
        <v>2</v>
      </c>
      <c r="F37" s="65" t="s">
        <v>329</v>
      </c>
      <c r="G37" s="66" t="s">
        <v>372</v>
      </c>
      <c r="H37" s="66" t="s">
        <v>229</v>
      </c>
      <c r="I37" s="65" t="s">
        <v>381</v>
      </c>
      <c r="J37" s="41" t="s">
        <v>322</v>
      </c>
      <c r="K37" s="41" t="s">
        <v>323</v>
      </c>
      <c r="L37" s="51">
        <v>0.83499999999999996</v>
      </c>
      <c r="M37" s="47">
        <v>610.1</v>
      </c>
      <c r="N37" s="47">
        <v>509.4</v>
      </c>
      <c r="O37" s="47">
        <f t="shared" si="11"/>
        <v>0.83499999999999996</v>
      </c>
      <c r="P37" s="47">
        <f t="shared" si="12"/>
        <v>0.83499999999999996</v>
      </c>
      <c r="Q37" s="47">
        <f t="shared" si="13"/>
        <v>610.1</v>
      </c>
      <c r="R37" s="47">
        <f t="shared" si="14"/>
        <v>610.1</v>
      </c>
      <c r="S37" s="47">
        <f t="shared" si="19"/>
        <v>0.83499999999999996</v>
      </c>
      <c r="T37" s="47">
        <f t="shared" si="20"/>
        <v>0.83499999999999996</v>
      </c>
      <c r="U37" s="47">
        <f t="shared" si="17"/>
        <v>509.4</v>
      </c>
      <c r="V37" s="47">
        <f t="shared" si="18"/>
        <v>509.4</v>
      </c>
      <c r="W37" s="47">
        <f t="shared" si="23"/>
        <v>509.4</v>
      </c>
      <c r="X37" s="47">
        <f t="shared" si="24"/>
        <v>0.83499999999999996</v>
      </c>
      <c r="Y37" s="41"/>
      <c r="AI37" s="42" t="s">
        <v>323</v>
      </c>
    </row>
    <row r="38" spans="1:35" x14ac:dyDescent="0.3">
      <c r="A38" s="38" t="s">
        <v>281</v>
      </c>
      <c r="B38" s="36">
        <v>36</v>
      </c>
      <c r="C38" s="61" t="str">
        <f t="shared" ca="1" si="21"/>
        <v>10년~5년 사이</v>
      </c>
      <c r="D38" s="64">
        <v>42722</v>
      </c>
      <c r="E38" s="65">
        <f t="shared" si="22"/>
        <v>2</v>
      </c>
      <c r="F38" s="65" t="s">
        <v>329</v>
      </c>
      <c r="G38" s="66" t="s">
        <v>383</v>
      </c>
      <c r="H38" s="66" t="s">
        <v>549</v>
      </c>
      <c r="I38" s="65" t="s">
        <v>381</v>
      </c>
      <c r="J38" s="41" t="s">
        <v>322</v>
      </c>
      <c r="K38" s="41" t="s">
        <v>323</v>
      </c>
      <c r="L38" s="51">
        <v>0.83499999999999996</v>
      </c>
      <c r="M38" s="47">
        <v>610.1</v>
      </c>
      <c r="N38" s="47">
        <v>509.4</v>
      </c>
      <c r="O38" s="47">
        <f t="shared" si="11"/>
        <v>0.83499999999999996</v>
      </c>
      <c r="P38" s="47">
        <f t="shared" si="12"/>
        <v>0.83499999999999996</v>
      </c>
      <c r="Q38" s="47">
        <f t="shared" si="13"/>
        <v>610.1</v>
      </c>
      <c r="R38" s="47">
        <f t="shared" si="14"/>
        <v>610.1</v>
      </c>
      <c r="S38" s="47">
        <f t="shared" si="19"/>
        <v>0.83499999999999996</v>
      </c>
      <c r="T38" s="47">
        <f t="shared" si="20"/>
        <v>0.83499999999999996</v>
      </c>
      <c r="U38" s="47">
        <f t="shared" si="17"/>
        <v>509.4</v>
      </c>
      <c r="V38" s="47">
        <f t="shared" si="18"/>
        <v>509.4</v>
      </c>
      <c r="W38" s="47">
        <f t="shared" si="23"/>
        <v>509.4</v>
      </c>
      <c r="X38" s="47">
        <f t="shared" si="24"/>
        <v>0.83499999999999996</v>
      </c>
      <c r="Y38" s="41"/>
      <c r="AI38" s="42" t="s">
        <v>323</v>
      </c>
    </row>
    <row r="39" spans="1:35" x14ac:dyDescent="0.3">
      <c r="A39" s="38" t="s">
        <v>281</v>
      </c>
      <c r="B39" s="36">
        <v>37</v>
      </c>
      <c r="C39" s="61" t="str">
        <f t="shared" ca="1" si="21"/>
        <v>10년~5년 사이</v>
      </c>
      <c r="D39" s="64">
        <v>42739</v>
      </c>
      <c r="E39" s="65">
        <f t="shared" si="22"/>
        <v>2</v>
      </c>
      <c r="F39" s="65" t="s">
        <v>329</v>
      </c>
      <c r="G39" s="66" t="s">
        <v>10</v>
      </c>
      <c r="H39" s="67" t="s">
        <v>48</v>
      </c>
      <c r="I39" s="65" t="s">
        <v>379</v>
      </c>
      <c r="J39" s="41" t="s">
        <v>322</v>
      </c>
      <c r="K39" s="41" t="s">
        <v>323</v>
      </c>
      <c r="L39" s="46">
        <v>0.75</v>
      </c>
      <c r="M39" s="47">
        <v>434.1</v>
      </c>
      <c r="N39" s="47">
        <v>325.60000000000002</v>
      </c>
      <c r="O39" s="47">
        <f t="shared" si="11"/>
        <v>0.75</v>
      </c>
      <c r="P39" s="47">
        <f t="shared" si="12"/>
        <v>0.75</v>
      </c>
      <c r="Q39" s="47">
        <f t="shared" si="13"/>
        <v>434.1</v>
      </c>
      <c r="R39" s="47">
        <f t="shared" si="14"/>
        <v>434.1</v>
      </c>
      <c r="S39" s="47">
        <f t="shared" si="19"/>
        <v>0.75</v>
      </c>
      <c r="T39" s="47">
        <f t="shared" si="20"/>
        <v>0.75</v>
      </c>
      <c r="U39" s="47">
        <f t="shared" si="17"/>
        <v>325.60000000000002</v>
      </c>
      <c r="V39" s="47">
        <f t="shared" si="18"/>
        <v>325.60000000000002</v>
      </c>
      <c r="W39" s="47">
        <f t="shared" si="23"/>
        <v>325.60000000000002</v>
      </c>
      <c r="X39" s="47">
        <f t="shared" si="24"/>
        <v>0.75</v>
      </c>
      <c r="Y39" s="41"/>
      <c r="AI39" s="42" t="s">
        <v>323</v>
      </c>
    </row>
    <row r="40" spans="1:35" x14ac:dyDescent="0.3">
      <c r="A40" s="38" t="s">
        <v>281</v>
      </c>
      <c r="B40" s="36">
        <v>38</v>
      </c>
      <c r="C40" s="61" t="str">
        <f t="shared" ca="1" si="21"/>
        <v>10년~5년 사이</v>
      </c>
      <c r="D40" s="64">
        <v>42739</v>
      </c>
      <c r="E40" s="65">
        <f t="shared" si="22"/>
        <v>2</v>
      </c>
      <c r="F40" s="65" t="s">
        <v>329</v>
      </c>
      <c r="G40" s="66" t="s">
        <v>285</v>
      </c>
      <c r="H40" s="66" t="s">
        <v>75</v>
      </c>
      <c r="I40" s="65" t="s">
        <v>379</v>
      </c>
      <c r="J40" s="41" t="s">
        <v>322</v>
      </c>
      <c r="K40" s="41" t="s">
        <v>323</v>
      </c>
      <c r="L40" s="46">
        <v>0.75</v>
      </c>
      <c r="M40" s="47">
        <v>434.1</v>
      </c>
      <c r="N40" s="47">
        <v>325.60000000000002</v>
      </c>
      <c r="O40" s="47">
        <f t="shared" si="11"/>
        <v>0.75</v>
      </c>
      <c r="P40" s="47">
        <f t="shared" si="12"/>
        <v>0.75</v>
      </c>
      <c r="Q40" s="47">
        <f t="shared" si="13"/>
        <v>434.1</v>
      </c>
      <c r="R40" s="47">
        <f t="shared" si="14"/>
        <v>434.1</v>
      </c>
      <c r="S40" s="47">
        <f t="shared" si="19"/>
        <v>0.75</v>
      </c>
      <c r="T40" s="47">
        <f t="shared" si="20"/>
        <v>0.75</v>
      </c>
      <c r="U40" s="47">
        <f t="shared" si="17"/>
        <v>325.60000000000002</v>
      </c>
      <c r="V40" s="47">
        <f t="shared" si="18"/>
        <v>325.60000000000002</v>
      </c>
      <c r="W40" s="47">
        <f t="shared" si="23"/>
        <v>325.60000000000002</v>
      </c>
      <c r="X40" s="47">
        <f t="shared" si="24"/>
        <v>0.75</v>
      </c>
      <c r="Y40" s="41"/>
      <c r="AI40" s="42" t="s">
        <v>323</v>
      </c>
    </row>
    <row r="41" spans="1:35" x14ac:dyDescent="0.3">
      <c r="A41" s="38" t="s">
        <v>281</v>
      </c>
      <c r="B41" s="36">
        <v>39</v>
      </c>
      <c r="C41" s="61" t="str">
        <f t="shared" ca="1" si="21"/>
        <v>10년~5년 사이</v>
      </c>
      <c r="D41" s="64">
        <v>42739</v>
      </c>
      <c r="E41" s="65">
        <f t="shared" si="22"/>
        <v>2</v>
      </c>
      <c r="F41" s="65" t="s">
        <v>329</v>
      </c>
      <c r="G41" s="66" t="s">
        <v>372</v>
      </c>
      <c r="H41" s="66" t="s">
        <v>229</v>
      </c>
      <c r="I41" s="65" t="s">
        <v>379</v>
      </c>
      <c r="J41" s="41" t="s">
        <v>322</v>
      </c>
      <c r="K41" s="41" t="s">
        <v>323</v>
      </c>
      <c r="L41" s="46">
        <v>0.75</v>
      </c>
      <c r="M41" s="47">
        <v>434.1</v>
      </c>
      <c r="N41" s="47">
        <v>325.60000000000002</v>
      </c>
      <c r="O41" s="47">
        <f t="shared" si="11"/>
        <v>0.75</v>
      </c>
      <c r="P41" s="47">
        <f t="shared" si="12"/>
        <v>0.75</v>
      </c>
      <c r="Q41" s="47">
        <f t="shared" si="13"/>
        <v>434.1</v>
      </c>
      <c r="R41" s="47">
        <f t="shared" si="14"/>
        <v>434.1</v>
      </c>
      <c r="S41" s="47">
        <f t="shared" si="19"/>
        <v>0.75</v>
      </c>
      <c r="T41" s="47">
        <f t="shared" si="20"/>
        <v>0.75</v>
      </c>
      <c r="U41" s="47">
        <f t="shared" si="17"/>
        <v>325.60000000000002</v>
      </c>
      <c r="V41" s="47">
        <f t="shared" si="18"/>
        <v>325.60000000000002</v>
      </c>
      <c r="W41" s="47">
        <f t="shared" si="23"/>
        <v>325.60000000000002</v>
      </c>
      <c r="X41" s="47">
        <f t="shared" si="24"/>
        <v>0.75</v>
      </c>
      <c r="Y41" s="41"/>
      <c r="AI41" s="42" t="s">
        <v>323</v>
      </c>
    </row>
    <row r="42" spans="1:35" x14ac:dyDescent="0.3">
      <c r="A42" s="38" t="s">
        <v>281</v>
      </c>
      <c r="B42" s="36">
        <v>40</v>
      </c>
      <c r="C42" s="61" t="str">
        <f t="shared" ca="1" si="21"/>
        <v>10년~5년 사이</v>
      </c>
      <c r="D42" s="64">
        <v>42823</v>
      </c>
      <c r="E42" s="65">
        <f t="shared" si="22"/>
        <v>2</v>
      </c>
      <c r="F42" s="65" t="s">
        <v>329</v>
      </c>
      <c r="G42" s="66" t="s">
        <v>285</v>
      </c>
      <c r="H42" s="66" t="s">
        <v>108</v>
      </c>
      <c r="I42" s="65" t="s">
        <v>371</v>
      </c>
      <c r="J42" s="41" t="s">
        <v>322</v>
      </c>
      <c r="K42" s="41" t="s">
        <v>323</v>
      </c>
      <c r="L42" s="46">
        <v>0.49</v>
      </c>
      <c r="M42" s="47">
        <v>1368.7</v>
      </c>
      <c r="N42" s="47">
        <v>613.9</v>
      </c>
      <c r="O42" s="47">
        <f t="shared" si="11"/>
        <v>0.49</v>
      </c>
      <c r="P42" s="47">
        <f t="shared" si="12"/>
        <v>0.49</v>
      </c>
      <c r="Q42" s="47">
        <f t="shared" si="13"/>
        <v>1368.7</v>
      </c>
      <c r="R42" s="47">
        <f t="shared" si="14"/>
        <v>1368.7</v>
      </c>
      <c r="S42" s="47">
        <f t="shared" si="19"/>
        <v>0.49</v>
      </c>
      <c r="T42" s="47">
        <f t="shared" si="20"/>
        <v>0.49</v>
      </c>
      <c r="U42" s="47">
        <f t="shared" si="17"/>
        <v>613.9</v>
      </c>
      <c r="V42" s="47">
        <f t="shared" si="18"/>
        <v>613.9</v>
      </c>
      <c r="W42" s="47">
        <f t="shared" si="23"/>
        <v>613.9</v>
      </c>
      <c r="X42" s="47">
        <f t="shared" si="24"/>
        <v>0.49</v>
      </c>
      <c r="Y42" s="41"/>
      <c r="AI42" s="42" t="s">
        <v>323</v>
      </c>
    </row>
    <row r="43" spans="1:35" x14ac:dyDescent="0.3">
      <c r="A43" s="38" t="s">
        <v>281</v>
      </c>
      <c r="B43" s="36">
        <v>41</v>
      </c>
      <c r="C43" s="61" t="str">
        <f t="shared" ref="C43" ca="1" si="25">IF(TODAY()-10*365&gt;D43,"10년 초과",IF(TODAY()-5*365&gt;D43,"10년~5년 사이","5년 이내"))</f>
        <v>10년~5년 사이</v>
      </c>
      <c r="D43" s="64">
        <v>42823</v>
      </c>
      <c r="E43" s="65">
        <f t="shared" ref="E43" si="26">IF((N43&gt;200),2,IF(N43&gt;100,1,IF((N43&lt;99.9),"")))</f>
        <v>2</v>
      </c>
      <c r="F43" s="65" t="s">
        <v>1</v>
      </c>
      <c r="G43" s="66" t="s">
        <v>68</v>
      </c>
      <c r="H43" s="66" t="s">
        <v>837</v>
      </c>
      <c r="I43" s="65" t="s">
        <v>371</v>
      </c>
      <c r="J43" s="41" t="s">
        <v>4</v>
      </c>
      <c r="K43" s="41" t="s">
        <v>122</v>
      </c>
      <c r="L43" s="46">
        <v>0.49</v>
      </c>
      <c r="M43" s="47">
        <v>1368.7</v>
      </c>
      <c r="N43" s="47">
        <v>613.9</v>
      </c>
      <c r="O43" s="47">
        <f t="shared" si="11"/>
        <v>0.49</v>
      </c>
      <c r="P43" s="47">
        <f t="shared" si="12"/>
        <v>0.49</v>
      </c>
      <c r="Q43" s="47">
        <f t="shared" si="13"/>
        <v>1368.7</v>
      </c>
      <c r="R43" s="47">
        <f t="shared" si="14"/>
        <v>1368.7</v>
      </c>
      <c r="S43" s="47">
        <f t="shared" si="19"/>
        <v>0.49</v>
      </c>
      <c r="T43" s="47">
        <f t="shared" si="20"/>
        <v>0.49</v>
      </c>
      <c r="U43" s="47">
        <f t="shared" si="17"/>
        <v>613.9</v>
      </c>
      <c r="V43" s="47">
        <f t="shared" si="18"/>
        <v>613.9</v>
      </c>
      <c r="W43" s="47">
        <f t="shared" ref="W43" si="27">N43</f>
        <v>613.9</v>
      </c>
      <c r="X43" s="47">
        <f t="shared" ref="X43" si="28">IF(W43&gt;0,L43,"")</f>
        <v>0.49</v>
      </c>
      <c r="Y43" s="41"/>
      <c r="AI43" s="42" t="s">
        <v>122</v>
      </c>
    </row>
    <row r="44" spans="1:35" x14ac:dyDescent="0.3">
      <c r="A44" s="38" t="s">
        <v>281</v>
      </c>
      <c r="B44" s="36">
        <v>42</v>
      </c>
      <c r="C44" s="61" t="str">
        <f t="shared" ca="1" si="21"/>
        <v>10년~5년 사이</v>
      </c>
      <c r="D44" s="64">
        <v>42823</v>
      </c>
      <c r="E44" s="65">
        <f t="shared" si="22"/>
        <v>2</v>
      </c>
      <c r="F44" s="65" t="s">
        <v>329</v>
      </c>
      <c r="G44" s="66" t="s">
        <v>287</v>
      </c>
      <c r="H44" s="66" t="s">
        <v>370</v>
      </c>
      <c r="I44" s="65" t="s">
        <v>371</v>
      </c>
      <c r="J44" s="41" t="s">
        <v>322</v>
      </c>
      <c r="K44" s="41" t="s">
        <v>323</v>
      </c>
      <c r="L44" s="46">
        <v>0.49</v>
      </c>
      <c r="M44" s="47">
        <v>1368.7</v>
      </c>
      <c r="N44" s="47">
        <v>613.9</v>
      </c>
      <c r="O44" s="47">
        <f t="shared" si="11"/>
        <v>0.49</v>
      </c>
      <c r="P44" s="47">
        <f t="shared" si="12"/>
        <v>0.49</v>
      </c>
      <c r="Q44" s="47">
        <f t="shared" si="13"/>
        <v>1368.7</v>
      </c>
      <c r="R44" s="47">
        <f t="shared" si="14"/>
        <v>1368.7</v>
      </c>
      <c r="S44" s="47">
        <f t="shared" si="19"/>
        <v>0.49</v>
      </c>
      <c r="T44" s="47">
        <f t="shared" si="20"/>
        <v>0.49</v>
      </c>
      <c r="U44" s="47">
        <f t="shared" si="17"/>
        <v>613.9</v>
      </c>
      <c r="V44" s="47">
        <f t="shared" si="18"/>
        <v>613.9</v>
      </c>
      <c r="W44" s="47">
        <f t="shared" si="23"/>
        <v>613.9</v>
      </c>
      <c r="X44" s="47">
        <f t="shared" si="24"/>
        <v>0.49</v>
      </c>
      <c r="Y44" s="41"/>
      <c r="AI44" s="42" t="s">
        <v>323</v>
      </c>
    </row>
    <row r="45" spans="1:35" x14ac:dyDescent="0.3">
      <c r="A45" s="38" t="s">
        <v>281</v>
      </c>
      <c r="B45" s="36">
        <v>43</v>
      </c>
      <c r="C45" s="61" t="str">
        <f t="shared" ca="1" si="21"/>
        <v>10년~5년 사이</v>
      </c>
      <c r="D45" s="64">
        <v>42823</v>
      </c>
      <c r="E45" s="65">
        <f t="shared" si="22"/>
        <v>2</v>
      </c>
      <c r="F45" s="65" t="s">
        <v>329</v>
      </c>
      <c r="G45" s="66" t="s">
        <v>299</v>
      </c>
      <c r="H45" s="63" t="s">
        <v>137</v>
      </c>
      <c r="I45" s="65" t="s">
        <v>371</v>
      </c>
      <c r="J45" s="41" t="s">
        <v>322</v>
      </c>
      <c r="K45" s="41" t="s">
        <v>323</v>
      </c>
      <c r="L45" s="46">
        <v>0.49</v>
      </c>
      <c r="M45" s="47">
        <v>1368.7</v>
      </c>
      <c r="N45" s="47">
        <v>613.9</v>
      </c>
      <c r="O45" s="47">
        <f t="shared" si="11"/>
        <v>0.49</v>
      </c>
      <c r="P45" s="47">
        <f t="shared" si="12"/>
        <v>0.49</v>
      </c>
      <c r="Q45" s="47">
        <f t="shared" si="13"/>
        <v>1368.7</v>
      </c>
      <c r="R45" s="47">
        <f t="shared" si="14"/>
        <v>1368.7</v>
      </c>
      <c r="S45" s="47">
        <f t="shared" si="19"/>
        <v>0.49</v>
      </c>
      <c r="T45" s="47">
        <f t="shared" si="20"/>
        <v>0.49</v>
      </c>
      <c r="U45" s="47">
        <f t="shared" si="17"/>
        <v>613.9</v>
      </c>
      <c r="V45" s="47">
        <f t="shared" si="18"/>
        <v>613.9</v>
      </c>
      <c r="W45" s="47">
        <f t="shared" si="23"/>
        <v>613.9</v>
      </c>
      <c r="X45" s="47">
        <f t="shared" si="24"/>
        <v>0.49</v>
      </c>
      <c r="Y45" s="41"/>
      <c r="AI45" s="42" t="s">
        <v>323</v>
      </c>
    </row>
    <row r="46" spans="1:35" x14ac:dyDescent="0.3">
      <c r="A46" s="38" t="s">
        <v>281</v>
      </c>
      <c r="B46" s="36">
        <v>44</v>
      </c>
      <c r="C46" s="61" t="str">
        <f t="shared" ca="1" si="21"/>
        <v>10년~5년 사이</v>
      </c>
      <c r="D46" s="64">
        <v>42823</v>
      </c>
      <c r="E46" s="65">
        <f t="shared" si="22"/>
        <v>2</v>
      </c>
      <c r="F46" s="65" t="s">
        <v>329</v>
      </c>
      <c r="G46" s="66" t="s">
        <v>372</v>
      </c>
      <c r="H46" s="66" t="s">
        <v>373</v>
      </c>
      <c r="I46" s="65" t="s">
        <v>371</v>
      </c>
      <c r="J46" s="41" t="s">
        <v>322</v>
      </c>
      <c r="K46" s="41" t="s">
        <v>323</v>
      </c>
      <c r="L46" s="46">
        <v>0.49</v>
      </c>
      <c r="M46" s="47">
        <v>1368.7</v>
      </c>
      <c r="N46" s="47">
        <v>613.9</v>
      </c>
      <c r="O46" s="47">
        <f t="shared" si="11"/>
        <v>0.49</v>
      </c>
      <c r="P46" s="47">
        <f t="shared" si="12"/>
        <v>0.49</v>
      </c>
      <c r="Q46" s="47">
        <f t="shared" si="13"/>
        <v>1368.7</v>
      </c>
      <c r="R46" s="47">
        <f t="shared" si="14"/>
        <v>1368.7</v>
      </c>
      <c r="S46" s="47">
        <f t="shared" si="19"/>
        <v>0.49</v>
      </c>
      <c r="T46" s="47">
        <f t="shared" si="20"/>
        <v>0.49</v>
      </c>
      <c r="U46" s="47">
        <f t="shared" si="17"/>
        <v>613.9</v>
      </c>
      <c r="V46" s="47">
        <f t="shared" si="18"/>
        <v>613.9</v>
      </c>
      <c r="W46" s="47">
        <f t="shared" si="23"/>
        <v>613.9</v>
      </c>
      <c r="X46" s="47">
        <f t="shared" si="24"/>
        <v>0.49</v>
      </c>
      <c r="Y46" s="41"/>
      <c r="AI46" s="42" t="s">
        <v>323</v>
      </c>
    </row>
    <row r="47" spans="1:35" x14ac:dyDescent="0.3">
      <c r="A47" s="38" t="s">
        <v>281</v>
      </c>
      <c r="B47" s="36">
        <v>45</v>
      </c>
      <c r="C47" s="61" t="str">
        <f t="shared" ca="1" si="21"/>
        <v>10년~5년 사이</v>
      </c>
      <c r="D47" s="64">
        <v>42823</v>
      </c>
      <c r="E47" s="65">
        <f t="shared" si="22"/>
        <v>2</v>
      </c>
      <c r="F47" s="65" t="s">
        <v>329</v>
      </c>
      <c r="G47" s="66" t="s">
        <v>310</v>
      </c>
      <c r="H47" s="66" t="s">
        <v>311</v>
      </c>
      <c r="I47" s="65" t="s">
        <v>371</v>
      </c>
      <c r="J47" s="41" t="s">
        <v>322</v>
      </c>
      <c r="K47" s="41" t="s">
        <v>323</v>
      </c>
      <c r="L47" s="46">
        <v>0.49</v>
      </c>
      <c r="M47" s="47">
        <v>1368.7</v>
      </c>
      <c r="N47" s="47">
        <v>613.9</v>
      </c>
      <c r="O47" s="47">
        <f t="shared" si="11"/>
        <v>0.49</v>
      </c>
      <c r="P47" s="47">
        <f t="shared" si="12"/>
        <v>0.49</v>
      </c>
      <c r="Q47" s="47">
        <f t="shared" si="13"/>
        <v>1368.7</v>
      </c>
      <c r="R47" s="47">
        <f t="shared" si="14"/>
        <v>1368.7</v>
      </c>
      <c r="S47" s="47">
        <f t="shared" si="19"/>
        <v>0.49</v>
      </c>
      <c r="T47" s="47">
        <f t="shared" si="20"/>
        <v>0.49</v>
      </c>
      <c r="U47" s="47">
        <f t="shared" si="17"/>
        <v>613.9</v>
      </c>
      <c r="V47" s="47">
        <f t="shared" si="18"/>
        <v>613.9</v>
      </c>
      <c r="W47" s="47">
        <f t="shared" si="23"/>
        <v>613.9</v>
      </c>
      <c r="X47" s="47">
        <f t="shared" si="24"/>
        <v>0.49</v>
      </c>
      <c r="Y47" s="41"/>
      <c r="AI47" s="42" t="s">
        <v>323</v>
      </c>
    </row>
    <row r="48" spans="1:35" x14ac:dyDescent="0.3">
      <c r="A48" s="38" t="s">
        <v>281</v>
      </c>
      <c r="B48" s="36">
        <v>46</v>
      </c>
      <c r="C48" s="61" t="str">
        <f t="shared" ca="1" si="21"/>
        <v>10년~5년 사이</v>
      </c>
      <c r="D48" s="64">
        <v>42840</v>
      </c>
      <c r="E48" s="65">
        <f t="shared" si="22"/>
        <v>2</v>
      </c>
      <c r="F48" s="65" t="s">
        <v>329</v>
      </c>
      <c r="G48" s="66" t="s">
        <v>285</v>
      </c>
      <c r="H48" s="66" t="s">
        <v>286</v>
      </c>
      <c r="I48" s="65" t="s">
        <v>386</v>
      </c>
      <c r="J48" s="41" t="s">
        <v>322</v>
      </c>
      <c r="K48" s="41" t="s">
        <v>323</v>
      </c>
      <c r="L48" s="46">
        <v>0.4</v>
      </c>
      <c r="M48" s="47">
        <v>841.8</v>
      </c>
      <c r="N48" s="47">
        <v>336.7</v>
      </c>
      <c r="O48" s="47">
        <f t="shared" si="11"/>
        <v>0.4</v>
      </c>
      <c r="P48" s="47">
        <f t="shared" si="12"/>
        <v>0.4</v>
      </c>
      <c r="Q48" s="47">
        <f t="shared" si="13"/>
        <v>841.8</v>
      </c>
      <c r="R48" s="47">
        <f t="shared" si="14"/>
        <v>841.8</v>
      </c>
      <c r="S48" s="47">
        <f t="shared" si="19"/>
        <v>0.4</v>
      </c>
      <c r="T48" s="47">
        <f t="shared" si="20"/>
        <v>0.4</v>
      </c>
      <c r="U48" s="47">
        <f t="shared" si="17"/>
        <v>336.7</v>
      </c>
      <c r="V48" s="47">
        <f t="shared" si="18"/>
        <v>336.7</v>
      </c>
      <c r="W48" s="47">
        <f t="shared" si="23"/>
        <v>336.7</v>
      </c>
      <c r="X48" s="47">
        <f t="shared" si="24"/>
        <v>0.4</v>
      </c>
      <c r="Y48" s="41"/>
      <c r="AI48" s="42" t="s">
        <v>323</v>
      </c>
    </row>
    <row r="49" spans="1:35" x14ac:dyDescent="0.3">
      <c r="A49" s="38" t="s">
        <v>281</v>
      </c>
      <c r="B49" s="36">
        <v>47</v>
      </c>
      <c r="C49" s="61" t="str">
        <f t="shared" ca="1" si="21"/>
        <v>10년~5년 사이</v>
      </c>
      <c r="D49" s="64">
        <v>42850</v>
      </c>
      <c r="E49" s="65">
        <f t="shared" si="22"/>
        <v>1</v>
      </c>
      <c r="F49" s="65" t="s">
        <v>329</v>
      </c>
      <c r="G49" s="66" t="s">
        <v>285</v>
      </c>
      <c r="H49" s="66" t="s">
        <v>445</v>
      </c>
      <c r="I49" s="65" t="s">
        <v>385</v>
      </c>
      <c r="J49" s="41" t="s">
        <v>322</v>
      </c>
      <c r="K49" s="41" t="s">
        <v>323</v>
      </c>
      <c r="L49" s="46">
        <v>1</v>
      </c>
      <c r="M49" s="47">
        <v>102</v>
      </c>
      <c r="N49" s="47">
        <v>102</v>
      </c>
      <c r="O49" s="47">
        <f t="shared" si="11"/>
        <v>1</v>
      </c>
      <c r="P49" s="47" t="str">
        <f t="shared" si="12"/>
        <v/>
      </c>
      <c r="Q49" s="47">
        <f t="shared" si="13"/>
        <v>102</v>
      </c>
      <c r="R49" s="47" t="str">
        <f t="shared" si="14"/>
        <v/>
      </c>
      <c r="S49" s="47">
        <f t="shared" si="19"/>
        <v>1</v>
      </c>
      <c r="T49" s="47" t="str">
        <f t="shared" si="20"/>
        <v/>
      </c>
      <c r="U49" s="47">
        <f t="shared" si="17"/>
        <v>102</v>
      </c>
      <c r="V49" s="47" t="str">
        <f t="shared" si="18"/>
        <v/>
      </c>
      <c r="W49" s="47">
        <f t="shared" si="23"/>
        <v>102</v>
      </c>
      <c r="X49" s="47">
        <f t="shared" si="24"/>
        <v>1</v>
      </c>
      <c r="Y49" s="41"/>
      <c r="AI49" s="42" t="s">
        <v>323</v>
      </c>
    </row>
    <row r="50" spans="1:35" x14ac:dyDescent="0.3">
      <c r="A50" s="38" t="s">
        <v>281</v>
      </c>
      <c r="B50" s="36">
        <v>48</v>
      </c>
      <c r="C50" s="61" t="str">
        <f t="shared" ca="1" si="21"/>
        <v>10년~5년 사이</v>
      </c>
      <c r="D50" s="64">
        <v>42850</v>
      </c>
      <c r="E50" s="65">
        <f t="shared" si="22"/>
        <v>1</v>
      </c>
      <c r="F50" s="65" t="s">
        <v>329</v>
      </c>
      <c r="G50" s="66" t="s">
        <v>285</v>
      </c>
      <c r="H50" s="66" t="s">
        <v>384</v>
      </c>
      <c r="I50" s="65" t="s">
        <v>385</v>
      </c>
      <c r="J50" s="41" t="s">
        <v>322</v>
      </c>
      <c r="K50" s="41" t="s">
        <v>323</v>
      </c>
      <c r="L50" s="46">
        <v>1</v>
      </c>
      <c r="M50" s="47">
        <v>102</v>
      </c>
      <c r="N50" s="47">
        <v>102</v>
      </c>
      <c r="O50" s="47">
        <f t="shared" si="11"/>
        <v>1</v>
      </c>
      <c r="P50" s="47" t="str">
        <f t="shared" si="12"/>
        <v/>
      </c>
      <c r="Q50" s="47">
        <f t="shared" si="13"/>
        <v>102</v>
      </c>
      <c r="R50" s="47" t="str">
        <f t="shared" si="14"/>
        <v/>
      </c>
      <c r="S50" s="47">
        <f t="shared" si="19"/>
        <v>1</v>
      </c>
      <c r="T50" s="47" t="str">
        <f t="shared" si="20"/>
        <v/>
      </c>
      <c r="U50" s="47">
        <f t="shared" si="17"/>
        <v>102</v>
      </c>
      <c r="V50" s="47" t="str">
        <f t="shared" si="18"/>
        <v/>
      </c>
      <c r="W50" s="47">
        <f t="shared" si="23"/>
        <v>102</v>
      </c>
      <c r="X50" s="47">
        <f t="shared" si="24"/>
        <v>1</v>
      </c>
      <c r="Y50" s="41"/>
      <c r="AI50" s="42" t="s">
        <v>323</v>
      </c>
    </row>
    <row r="51" spans="1:35" x14ac:dyDescent="0.3">
      <c r="A51" s="38" t="s">
        <v>281</v>
      </c>
      <c r="B51" s="36">
        <v>49</v>
      </c>
      <c r="C51" s="61" t="str">
        <f t="shared" ca="1" si="21"/>
        <v>10년~5년 사이</v>
      </c>
      <c r="D51" s="64">
        <v>42850</v>
      </c>
      <c r="E51" s="65">
        <f t="shared" si="22"/>
        <v>1</v>
      </c>
      <c r="F51" s="65" t="s">
        <v>329</v>
      </c>
      <c r="G51" s="66" t="s">
        <v>372</v>
      </c>
      <c r="H51" s="66" t="s">
        <v>229</v>
      </c>
      <c r="I51" s="65" t="s">
        <v>385</v>
      </c>
      <c r="J51" s="41" t="s">
        <v>322</v>
      </c>
      <c r="K51" s="41" t="s">
        <v>323</v>
      </c>
      <c r="L51" s="46">
        <v>1</v>
      </c>
      <c r="M51" s="47">
        <v>102</v>
      </c>
      <c r="N51" s="47">
        <v>102</v>
      </c>
      <c r="O51" s="47">
        <f t="shared" si="11"/>
        <v>1</v>
      </c>
      <c r="P51" s="47" t="str">
        <f t="shared" si="12"/>
        <v/>
      </c>
      <c r="Q51" s="47">
        <f t="shared" si="13"/>
        <v>102</v>
      </c>
      <c r="R51" s="47" t="str">
        <f t="shared" si="14"/>
        <v/>
      </c>
      <c r="S51" s="47">
        <f t="shared" si="19"/>
        <v>1</v>
      </c>
      <c r="T51" s="47" t="str">
        <f t="shared" si="20"/>
        <v/>
      </c>
      <c r="U51" s="47">
        <f t="shared" si="17"/>
        <v>102</v>
      </c>
      <c r="V51" s="47" t="str">
        <f t="shared" si="18"/>
        <v/>
      </c>
      <c r="W51" s="47">
        <f t="shared" si="23"/>
        <v>102</v>
      </c>
      <c r="X51" s="47">
        <f t="shared" si="24"/>
        <v>1</v>
      </c>
      <c r="Y51" s="41"/>
      <c r="AI51" s="42" t="s">
        <v>323</v>
      </c>
    </row>
    <row r="52" spans="1:35" x14ac:dyDescent="0.3">
      <c r="A52" s="38" t="s">
        <v>281</v>
      </c>
      <c r="B52" s="36">
        <v>50</v>
      </c>
      <c r="C52" s="61" t="str">
        <f t="shared" ca="1" si="21"/>
        <v>10년~5년 사이</v>
      </c>
      <c r="D52" s="64">
        <v>42873</v>
      </c>
      <c r="E52" s="65" t="str">
        <f t="shared" si="22"/>
        <v/>
      </c>
      <c r="F52" s="65" t="s">
        <v>329</v>
      </c>
      <c r="G52" s="66" t="s">
        <v>376</v>
      </c>
      <c r="H52" s="66"/>
      <c r="I52" s="65" t="s">
        <v>375</v>
      </c>
      <c r="J52" s="41" t="s">
        <v>322</v>
      </c>
      <c r="K52" s="41" t="s">
        <v>323</v>
      </c>
      <c r="L52" s="46">
        <v>0.7</v>
      </c>
      <c r="M52" s="47">
        <v>61.6</v>
      </c>
      <c r="N52" s="47">
        <v>43.1</v>
      </c>
      <c r="O52" s="47" t="str">
        <f t="shared" si="11"/>
        <v/>
      </c>
      <c r="P52" s="47" t="str">
        <f t="shared" si="12"/>
        <v/>
      </c>
      <c r="Q52" s="47" t="str">
        <f t="shared" si="13"/>
        <v/>
      </c>
      <c r="R52" s="47" t="str">
        <f t="shared" si="14"/>
        <v/>
      </c>
      <c r="S52" s="47" t="str">
        <f t="shared" si="19"/>
        <v/>
      </c>
      <c r="T52" s="47" t="str">
        <f t="shared" si="20"/>
        <v/>
      </c>
      <c r="U52" s="47" t="str">
        <f t="shared" si="17"/>
        <v/>
      </c>
      <c r="V52" s="47" t="str">
        <f t="shared" si="18"/>
        <v/>
      </c>
      <c r="W52" s="47">
        <f t="shared" si="23"/>
        <v>43.1</v>
      </c>
      <c r="X52" s="47">
        <f t="shared" si="24"/>
        <v>0.7</v>
      </c>
      <c r="Y52" s="41"/>
      <c r="AI52" s="42" t="s">
        <v>323</v>
      </c>
    </row>
    <row r="53" spans="1:35" x14ac:dyDescent="0.3">
      <c r="A53" s="38" t="s">
        <v>281</v>
      </c>
      <c r="B53" s="36">
        <v>51</v>
      </c>
      <c r="C53" s="61" t="str">
        <f t="shared" ca="1" si="21"/>
        <v>10년~5년 사이</v>
      </c>
      <c r="D53" s="64">
        <v>42873</v>
      </c>
      <c r="E53" s="65" t="str">
        <f t="shared" si="22"/>
        <v/>
      </c>
      <c r="F53" s="65" t="s">
        <v>329</v>
      </c>
      <c r="G53" s="66" t="s">
        <v>39</v>
      </c>
      <c r="H53" s="66" t="s">
        <v>377</v>
      </c>
      <c r="I53" s="65" t="s">
        <v>375</v>
      </c>
      <c r="J53" s="41" t="s">
        <v>322</v>
      </c>
      <c r="K53" s="41" t="s">
        <v>323</v>
      </c>
      <c r="L53" s="46">
        <v>0.7</v>
      </c>
      <c r="M53" s="47">
        <v>61.6</v>
      </c>
      <c r="N53" s="47">
        <v>43.1</v>
      </c>
      <c r="O53" s="47" t="str">
        <f t="shared" si="11"/>
        <v/>
      </c>
      <c r="P53" s="47" t="str">
        <f t="shared" si="12"/>
        <v/>
      </c>
      <c r="Q53" s="47" t="str">
        <f t="shared" si="13"/>
        <v/>
      </c>
      <c r="R53" s="47" t="str">
        <f t="shared" si="14"/>
        <v/>
      </c>
      <c r="S53" s="47" t="str">
        <f t="shared" si="19"/>
        <v/>
      </c>
      <c r="T53" s="47" t="str">
        <f t="shared" si="20"/>
        <v/>
      </c>
      <c r="U53" s="47" t="str">
        <f t="shared" si="17"/>
        <v/>
      </c>
      <c r="V53" s="47" t="str">
        <f t="shared" si="18"/>
        <v/>
      </c>
      <c r="W53" s="47">
        <f t="shared" si="23"/>
        <v>43.1</v>
      </c>
      <c r="X53" s="47">
        <f t="shared" si="24"/>
        <v>0.7</v>
      </c>
      <c r="Y53" s="41"/>
      <c r="AI53" s="42" t="s">
        <v>323</v>
      </c>
    </row>
    <row r="54" spans="1:35" x14ac:dyDescent="0.3">
      <c r="A54" s="38" t="s">
        <v>281</v>
      </c>
      <c r="B54" s="36">
        <v>52</v>
      </c>
      <c r="C54" s="61" t="str">
        <f t="shared" ca="1" si="21"/>
        <v>10년~5년 사이</v>
      </c>
      <c r="D54" s="64">
        <v>42873</v>
      </c>
      <c r="E54" s="65" t="str">
        <f t="shared" si="22"/>
        <v/>
      </c>
      <c r="F54" s="65" t="s">
        <v>329</v>
      </c>
      <c r="G54" s="66" t="s">
        <v>372</v>
      </c>
      <c r="H54" s="66"/>
      <c r="I54" s="65" t="s">
        <v>375</v>
      </c>
      <c r="J54" s="41" t="s">
        <v>322</v>
      </c>
      <c r="K54" s="41" t="s">
        <v>323</v>
      </c>
      <c r="L54" s="46">
        <v>0.7</v>
      </c>
      <c r="M54" s="47">
        <v>61.6</v>
      </c>
      <c r="N54" s="47">
        <v>43.1</v>
      </c>
      <c r="O54" s="47" t="str">
        <f t="shared" si="11"/>
        <v/>
      </c>
      <c r="P54" s="47" t="str">
        <f t="shared" si="12"/>
        <v/>
      </c>
      <c r="Q54" s="47" t="str">
        <f t="shared" si="13"/>
        <v/>
      </c>
      <c r="R54" s="47" t="str">
        <f t="shared" si="14"/>
        <v/>
      </c>
      <c r="S54" s="47" t="str">
        <f t="shared" si="19"/>
        <v/>
      </c>
      <c r="T54" s="47" t="str">
        <f t="shared" si="20"/>
        <v/>
      </c>
      <c r="U54" s="47" t="str">
        <f t="shared" si="17"/>
        <v/>
      </c>
      <c r="V54" s="47" t="str">
        <f t="shared" si="18"/>
        <v/>
      </c>
      <c r="W54" s="47">
        <f t="shared" si="23"/>
        <v>43.1</v>
      </c>
      <c r="X54" s="47">
        <f t="shared" si="24"/>
        <v>0.7</v>
      </c>
      <c r="Y54" s="41"/>
      <c r="AI54" s="42" t="s">
        <v>323</v>
      </c>
    </row>
    <row r="55" spans="1:35" x14ac:dyDescent="0.3">
      <c r="A55" s="38" t="s">
        <v>281</v>
      </c>
      <c r="B55" s="36">
        <v>53</v>
      </c>
      <c r="C55" s="61" t="str">
        <f t="shared" ca="1" si="21"/>
        <v>10년~5년 사이</v>
      </c>
      <c r="D55" s="64">
        <v>42873</v>
      </c>
      <c r="E55" s="65" t="str">
        <f t="shared" si="22"/>
        <v/>
      </c>
      <c r="F55" s="65" t="s">
        <v>329</v>
      </c>
      <c r="G55" s="66" t="s">
        <v>299</v>
      </c>
      <c r="H55" s="66" t="s">
        <v>443</v>
      </c>
      <c r="I55" s="65" t="s">
        <v>375</v>
      </c>
      <c r="J55" s="41" t="s">
        <v>322</v>
      </c>
      <c r="K55" s="41" t="s">
        <v>323</v>
      </c>
      <c r="L55" s="46">
        <v>0.7</v>
      </c>
      <c r="M55" s="47">
        <v>61.6</v>
      </c>
      <c r="N55" s="47">
        <v>43.1</v>
      </c>
      <c r="O55" s="47" t="str">
        <f t="shared" si="11"/>
        <v/>
      </c>
      <c r="P55" s="47" t="str">
        <f t="shared" si="12"/>
        <v/>
      </c>
      <c r="Q55" s="47" t="str">
        <f t="shared" si="13"/>
        <v/>
      </c>
      <c r="R55" s="47" t="str">
        <f t="shared" si="14"/>
        <v/>
      </c>
      <c r="S55" s="47" t="str">
        <f t="shared" si="19"/>
        <v/>
      </c>
      <c r="T55" s="47" t="str">
        <f t="shared" si="20"/>
        <v/>
      </c>
      <c r="U55" s="47" t="str">
        <f t="shared" si="17"/>
        <v/>
      </c>
      <c r="V55" s="47" t="str">
        <f t="shared" si="18"/>
        <v/>
      </c>
      <c r="W55" s="47">
        <f t="shared" si="23"/>
        <v>43.1</v>
      </c>
      <c r="X55" s="47">
        <f t="shared" si="24"/>
        <v>0.7</v>
      </c>
      <c r="Y55" s="41"/>
      <c r="AI55" s="42" t="s">
        <v>323</v>
      </c>
    </row>
    <row r="56" spans="1:35" x14ac:dyDescent="0.3">
      <c r="A56" s="38" t="s">
        <v>281</v>
      </c>
      <c r="B56" s="36">
        <v>54</v>
      </c>
      <c r="C56" s="61" t="str">
        <f t="shared" ca="1" si="21"/>
        <v>10년~5년 사이</v>
      </c>
      <c r="D56" s="64">
        <v>42906</v>
      </c>
      <c r="E56" s="65">
        <f t="shared" si="22"/>
        <v>2</v>
      </c>
      <c r="F56" s="65" t="s">
        <v>329</v>
      </c>
      <c r="G56" s="66" t="s">
        <v>285</v>
      </c>
      <c r="H56" s="66" t="s">
        <v>450</v>
      </c>
      <c r="I56" s="65" t="s">
        <v>387</v>
      </c>
      <c r="J56" s="41" t="s">
        <v>322</v>
      </c>
      <c r="K56" s="41" t="s">
        <v>323</v>
      </c>
      <c r="L56" s="46">
        <v>0.7</v>
      </c>
      <c r="M56" s="47">
        <v>10.63</v>
      </c>
      <c r="N56" s="47">
        <v>774.1</v>
      </c>
      <c r="O56" s="47" t="str">
        <f t="shared" si="11"/>
        <v/>
      </c>
      <c r="P56" s="47" t="str">
        <f t="shared" si="12"/>
        <v/>
      </c>
      <c r="Q56" s="47" t="str">
        <f t="shared" si="13"/>
        <v/>
      </c>
      <c r="R56" s="47" t="str">
        <f t="shared" si="14"/>
        <v/>
      </c>
      <c r="S56" s="47">
        <f t="shared" si="19"/>
        <v>0.7</v>
      </c>
      <c r="T56" s="47">
        <f t="shared" si="20"/>
        <v>0.7</v>
      </c>
      <c r="U56" s="47">
        <f t="shared" si="17"/>
        <v>774.1</v>
      </c>
      <c r="V56" s="47">
        <f t="shared" si="18"/>
        <v>774.1</v>
      </c>
      <c r="W56" s="47">
        <f t="shared" si="23"/>
        <v>774.1</v>
      </c>
      <c r="X56" s="47">
        <f t="shared" si="24"/>
        <v>0.7</v>
      </c>
      <c r="Y56" s="41"/>
      <c r="AI56" s="42" t="s">
        <v>323</v>
      </c>
    </row>
    <row r="57" spans="1:35" x14ac:dyDescent="0.3">
      <c r="A57" s="38" t="s">
        <v>281</v>
      </c>
      <c r="B57" s="36">
        <v>55</v>
      </c>
      <c r="C57" s="61" t="str">
        <f t="shared" ca="1" si="21"/>
        <v>10년~5년 사이</v>
      </c>
      <c r="D57" s="64">
        <v>42938</v>
      </c>
      <c r="E57" s="65" t="str">
        <f t="shared" si="22"/>
        <v/>
      </c>
      <c r="F57" s="65" t="s">
        <v>329</v>
      </c>
      <c r="G57" s="66" t="s">
        <v>285</v>
      </c>
      <c r="H57" s="66" t="s">
        <v>286</v>
      </c>
      <c r="I57" s="65" t="s">
        <v>380</v>
      </c>
      <c r="J57" s="41" t="s">
        <v>322</v>
      </c>
      <c r="K57" s="41" t="s">
        <v>323</v>
      </c>
      <c r="L57" s="46">
        <v>1</v>
      </c>
      <c r="M57" s="47">
        <v>19.5</v>
      </c>
      <c r="N57" s="47">
        <v>19.5</v>
      </c>
      <c r="O57" s="47" t="str">
        <f t="shared" si="11"/>
        <v/>
      </c>
      <c r="P57" s="47" t="str">
        <f t="shared" si="12"/>
        <v/>
      </c>
      <c r="Q57" s="47" t="str">
        <f t="shared" si="13"/>
        <v/>
      </c>
      <c r="R57" s="47" t="str">
        <f t="shared" si="14"/>
        <v/>
      </c>
      <c r="S57" s="47" t="str">
        <f t="shared" si="19"/>
        <v/>
      </c>
      <c r="T57" s="47" t="str">
        <f t="shared" si="20"/>
        <v/>
      </c>
      <c r="U57" s="47" t="str">
        <f t="shared" si="17"/>
        <v/>
      </c>
      <c r="V57" s="47" t="str">
        <f t="shared" si="18"/>
        <v/>
      </c>
      <c r="W57" s="47">
        <f t="shared" si="23"/>
        <v>19.5</v>
      </c>
      <c r="X57" s="47">
        <f t="shared" si="24"/>
        <v>1</v>
      </c>
      <c r="Y57" s="41"/>
      <c r="AI57" s="42" t="s">
        <v>323</v>
      </c>
    </row>
    <row r="58" spans="1:35" x14ac:dyDescent="0.3">
      <c r="A58" s="38" t="s">
        <v>281</v>
      </c>
      <c r="B58" s="36">
        <v>56</v>
      </c>
      <c r="C58" s="61" t="str">
        <f t="shared" ca="1" si="21"/>
        <v>10년~5년 사이</v>
      </c>
      <c r="D58" s="64">
        <v>42938</v>
      </c>
      <c r="E58" s="65" t="str">
        <f t="shared" si="22"/>
        <v/>
      </c>
      <c r="F58" s="65" t="s">
        <v>329</v>
      </c>
      <c r="G58" s="66" t="s">
        <v>299</v>
      </c>
      <c r="H58" s="66" t="s">
        <v>139</v>
      </c>
      <c r="I58" s="65" t="s">
        <v>380</v>
      </c>
      <c r="J58" s="41" t="s">
        <v>322</v>
      </c>
      <c r="K58" s="41" t="s">
        <v>323</v>
      </c>
      <c r="L58" s="46">
        <v>1</v>
      </c>
      <c r="M58" s="47">
        <v>19.5</v>
      </c>
      <c r="N58" s="47">
        <v>19.5</v>
      </c>
      <c r="O58" s="47" t="str">
        <f t="shared" si="11"/>
        <v/>
      </c>
      <c r="P58" s="47" t="str">
        <f t="shared" si="12"/>
        <v/>
      </c>
      <c r="Q58" s="47" t="str">
        <f t="shared" si="13"/>
        <v/>
      </c>
      <c r="R58" s="47" t="str">
        <f t="shared" si="14"/>
        <v/>
      </c>
      <c r="S58" s="47" t="str">
        <f t="shared" si="19"/>
        <v/>
      </c>
      <c r="T58" s="47" t="str">
        <f t="shared" si="20"/>
        <v/>
      </c>
      <c r="U58" s="47" t="str">
        <f t="shared" si="17"/>
        <v/>
      </c>
      <c r="V58" s="47" t="str">
        <f t="shared" si="18"/>
        <v/>
      </c>
      <c r="W58" s="47">
        <f t="shared" si="23"/>
        <v>19.5</v>
      </c>
      <c r="X58" s="47">
        <f t="shared" si="24"/>
        <v>1</v>
      </c>
      <c r="Y58" s="41"/>
      <c r="AI58" s="42" t="s">
        <v>323</v>
      </c>
    </row>
    <row r="59" spans="1:35" x14ac:dyDescent="0.3">
      <c r="A59" s="38" t="s">
        <v>281</v>
      </c>
      <c r="B59" s="36">
        <v>57</v>
      </c>
      <c r="C59" s="61" t="str">
        <f t="shared" ca="1" si="21"/>
        <v>10년~5년 사이</v>
      </c>
      <c r="D59" s="64">
        <v>42984</v>
      </c>
      <c r="E59" s="65">
        <f t="shared" si="22"/>
        <v>1</v>
      </c>
      <c r="F59" s="65" t="s">
        <v>329</v>
      </c>
      <c r="G59" s="66" t="s">
        <v>285</v>
      </c>
      <c r="H59" s="66" t="s">
        <v>95</v>
      </c>
      <c r="I59" s="65" t="s">
        <v>378</v>
      </c>
      <c r="J59" s="41" t="s">
        <v>322</v>
      </c>
      <c r="K59" s="41" t="s">
        <v>323</v>
      </c>
      <c r="L59" s="46">
        <v>1</v>
      </c>
      <c r="M59" s="47">
        <v>100.5</v>
      </c>
      <c r="N59" s="47">
        <v>100.5</v>
      </c>
      <c r="O59" s="47">
        <f t="shared" si="11"/>
        <v>1</v>
      </c>
      <c r="P59" s="47" t="str">
        <f t="shared" si="12"/>
        <v/>
      </c>
      <c r="Q59" s="47">
        <f t="shared" si="13"/>
        <v>100.5</v>
      </c>
      <c r="R59" s="47" t="str">
        <f t="shared" si="14"/>
        <v/>
      </c>
      <c r="S59" s="47">
        <f t="shared" si="19"/>
        <v>1</v>
      </c>
      <c r="T59" s="47" t="str">
        <f t="shared" si="20"/>
        <v/>
      </c>
      <c r="U59" s="47">
        <f t="shared" si="17"/>
        <v>100.5</v>
      </c>
      <c r="V59" s="47" t="str">
        <f t="shared" si="18"/>
        <v/>
      </c>
      <c r="W59" s="47">
        <f t="shared" si="23"/>
        <v>100.5</v>
      </c>
      <c r="X59" s="47">
        <f t="shared" si="24"/>
        <v>1</v>
      </c>
      <c r="Y59" s="41"/>
      <c r="AI59" s="42" t="s">
        <v>323</v>
      </c>
    </row>
    <row r="60" spans="1:35" x14ac:dyDescent="0.3">
      <c r="A60" s="38" t="s">
        <v>281</v>
      </c>
      <c r="B60" s="36">
        <v>58</v>
      </c>
      <c r="C60" s="61" t="str">
        <f t="shared" ca="1" si="21"/>
        <v>10년~5년 사이</v>
      </c>
      <c r="D60" s="64">
        <v>42984</v>
      </c>
      <c r="E60" s="65">
        <f t="shared" si="22"/>
        <v>1</v>
      </c>
      <c r="F60" s="65" t="s">
        <v>329</v>
      </c>
      <c r="G60" s="66" t="s">
        <v>299</v>
      </c>
      <c r="H60" s="66" t="s">
        <v>139</v>
      </c>
      <c r="I60" s="65" t="s">
        <v>378</v>
      </c>
      <c r="J60" s="41" t="s">
        <v>322</v>
      </c>
      <c r="K60" s="41" t="s">
        <v>323</v>
      </c>
      <c r="L60" s="46">
        <v>1</v>
      </c>
      <c r="M60" s="47">
        <v>100.5</v>
      </c>
      <c r="N60" s="47">
        <v>100.5</v>
      </c>
      <c r="O60" s="47">
        <f t="shared" si="11"/>
        <v>1</v>
      </c>
      <c r="P60" s="47" t="str">
        <f t="shared" si="12"/>
        <v/>
      </c>
      <c r="Q60" s="47">
        <f t="shared" si="13"/>
        <v>100.5</v>
      </c>
      <c r="R60" s="47" t="str">
        <f t="shared" si="14"/>
        <v/>
      </c>
      <c r="S60" s="47">
        <f t="shared" si="19"/>
        <v>1</v>
      </c>
      <c r="T60" s="47" t="str">
        <f t="shared" si="20"/>
        <v/>
      </c>
      <c r="U60" s="47">
        <f t="shared" si="17"/>
        <v>100.5</v>
      </c>
      <c r="V60" s="47" t="str">
        <f t="shared" si="18"/>
        <v/>
      </c>
      <c r="W60" s="47">
        <f t="shared" si="23"/>
        <v>100.5</v>
      </c>
      <c r="X60" s="47">
        <f t="shared" si="24"/>
        <v>1</v>
      </c>
      <c r="Y60" s="41"/>
      <c r="AI60" s="42" t="s">
        <v>323</v>
      </c>
    </row>
    <row r="61" spans="1:35" x14ac:dyDescent="0.3">
      <c r="A61" s="38" t="s">
        <v>281</v>
      </c>
      <c r="B61" s="36">
        <v>59</v>
      </c>
      <c r="C61" s="61" t="str">
        <f t="shared" ca="1" si="21"/>
        <v>10년~5년 사이</v>
      </c>
      <c r="D61" s="64">
        <v>43050</v>
      </c>
      <c r="E61" s="65">
        <f t="shared" si="22"/>
        <v>1</v>
      </c>
      <c r="F61" s="65" t="s">
        <v>329</v>
      </c>
      <c r="G61" s="66" t="s">
        <v>285</v>
      </c>
      <c r="H61" s="66"/>
      <c r="I61" s="65" t="s">
        <v>374</v>
      </c>
      <c r="J61" s="41" t="s">
        <v>322</v>
      </c>
      <c r="K61" s="41" t="s">
        <v>323</v>
      </c>
      <c r="L61" s="46">
        <v>0.51</v>
      </c>
      <c r="M61" s="47">
        <v>239.2</v>
      </c>
      <c r="N61" s="47">
        <v>122</v>
      </c>
      <c r="O61" s="47">
        <f t="shared" si="11"/>
        <v>0.51</v>
      </c>
      <c r="P61" s="47">
        <f t="shared" si="12"/>
        <v>0.51</v>
      </c>
      <c r="Q61" s="47">
        <f t="shared" si="13"/>
        <v>239.2</v>
      </c>
      <c r="R61" s="47">
        <f t="shared" si="14"/>
        <v>239.2</v>
      </c>
      <c r="S61" s="47">
        <f t="shared" si="19"/>
        <v>0.51</v>
      </c>
      <c r="T61" s="47" t="str">
        <f t="shared" si="20"/>
        <v/>
      </c>
      <c r="U61" s="47">
        <f t="shared" si="17"/>
        <v>122</v>
      </c>
      <c r="V61" s="47" t="str">
        <f t="shared" si="18"/>
        <v/>
      </c>
      <c r="W61" s="47">
        <f t="shared" si="23"/>
        <v>122</v>
      </c>
      <c r="X61" s="47">
        <f t="shared" si="24"/>
        <v>0.51</v>
      </c>
      <c r="Y61" s="41"/>
      <c r="AI61" s="42" t="s">
        <v>323</v>
      </c>
    </row>
    <row r="62" spans="1:35" x14ac:dyDescent="0.3">
      <c r="A62" s="38" t="s">
        <v>281</v>
      </c>
      <c r="B62" s="36">
        <v>60</v>
      </c>
      <c r="C62" s="61" t="str">
        <f t="shared" ca="1" si="21"/>
        <v>10년~5년 사이</v>
      </c>
      <c r="D62" s="64">
        <v>43050</v>
      </c>
      <c r="E62" s="65">
        <f t="shared" si="22"/>
        <v>1</v>
      </c>
      <c r="F62" s="65" t="s">
        <v>329</v>
      </c>
      <c r="G62" s="66" t="s">
        <v>231</v>
      </c>
      <c r="H62" s="66"/>
      <c r="I62" s="65" t="s">
        <v>374</v>
      </c>
      <c r="J62" s="41" t="s">
        <v>322</v>
      </c>
      <c r="K62" s="41" t="s">
        <v>323</v>
      </c>
      <c r="L62" s="46">
        <v>0.51</v>
      </c>
      <c r="M62" s="47">
        <v>239.2</v>
      </c>
      <c r="N62" s="47">
        <v>122</v>
      </c>
      <c r="O62" s="47">
        <f t="shared" si="11"/>
        <v>0.51</v>
      </c>
      <c r="P62" s="47">
        <f t="shared" si="12"/>
        <v>0.51</v>
      </c>
      <c r="Q62" s="47">
        <f t="shared" si="13"/>
        <v>239.2</v>
      </c>
      <c r="R62" s="47">
        <f t="shared" si="14"/>
        <v>239.2</v>
      </c>
      <c r="S62" s="47">
        <f t="shared" si="19"/>
        <v>0.51</v>
      </c>
      <c r="T62" s="47" t="str">
        <f t="shared" si="20"/>
        <v/>
      </c>
      <c r="U62" s="47">
        <f t="shared" si="17"/>
        <v>122</v>
      </c>
      <c r="V62" s="47" t="str">
        <f t="shared" si="18"/>
        <v/>
      </c>
      <c r="W62" s="47">
        <f t="shared" si="23"/>
        <v>122</v>
      </c>
      <c r="X62" s="47">
        <f t="shared" si="24"/>
        <v>0.51</v>
      </c>
      <c r="Y62" s="41"/>
      <c r="AI62" s="42" t="s">
        <v>323</v>
      </c>
    </row>
    <row r="63" spans="1:35" x14ac:dyDescent="0.3">
      <c r="A63" s="38" t="s">
        <v>281</v>
      </c>
      <c r="B63" s="36">
        <v>61</v>
      </c>
      <c r="C63" s="61" t="str">
        <f t="shared" ca="1" si="21"/>
        <v>10년~5년 사이</v>
      </c>
      <c r="D63" s="64">
        <v>43050</v>
      </c>
      <c r="E63" s="65">
        <f t="shared" si="22"/>
        <v>1</v>
      </c>
      <c r="F63" s="65" t="s">
        <v>329</v>
      </c>
      <c r="G63" s="66" t="s">
        <v>299</v>
      </c>
      <c r="H63" s="66" t="s">
        <v>138</v>
      </c>
      <c r="I63" s="65" t="s">
        <v>374</v>
      </c>
      <c r="J63" s="41" t="s">
        <v>322</v>
      </c>
      <c r="K63" s="41" t="s">
        <v>323</v>
      </c>
      <c r="L63" s="46">
        <v>0.51</v>
      </c>
      <c r="M63" s="47">
        <v>239.2</v>
      </c>
      <c r="N63" s="47">
        <v>122</v>
      </c>
      <c r="O63" s="47">
        <f t="shared" si="11"/>
        <v>0.51</v>
      </c>
      <c r="P63" s="47">
        <f t="shared" si="12"/>
        <v>0.51</v>
      </c>
      <c r="Q63" s="47">
        <f t="shared" si="13"/>
        <v>239.2</v>
      </c>
      <c r="R63" s="47">
        <f t="shared" si="14"/>
        <v>239.2</v>
      </c>
      <c r="S63" s="47">
        <f t="shared" si="19"/>
        <v>0.51</v>
      </c>
      <c r="T63" s="47" t="str">
        <f t="shared" si="20"/>
        <v/>
      </c>
      <c r="U63" s="47">
        <f t="shared" si="17"/>
        <v>122</v>
      </c>
      <c r="V63" s="47" t="str">
        <f t="shared" si="18"/>
        <v/>
      </c>
      <c r="W63" s="47">
        <f t="shared" si="23"/>
        <v>122</v>
      </c>
      <c r="X63" s="47">
        <f t="shared" si="24"/>
        <v>0.51</v>
      </c>
      <c r="Y63" s="41"/>
      <c r="AI63" s="42" t="s">
        <v>323</v>
      </c>
    </row>
    <row r="64" spans="1:35" x14ac:dyDescent="0.3">
      <c r="A64" s="38" t="s">
        <v>281</v>
      </c>
      <c r="B64" s="36">
        <v>62</v>
      </c>
      <c r="C64" s="61" t="str">
        <f t="shared" ca="1" si="21"/>
        <v>10년~5년 사이</v>
      </c>
      <c r="D64" s="64">
        <v>43064</v>
      </c>
      <c r="E64" s="65">
        <f t="shared" si="22"/>
        <v>2</v>
      </c>
      <c r="F64" s="65" t="s">
        <v>329</v>
      </c>
      <c r="G64" s="66" t="s">
        <v>285</v>
      </c>
      <c r="H64" s="66" t="s">
        <v>286</v>
      </c>
      <c r="I64" s="65" t="s">
        <v>388</v>
      </c>
      <c r="J64" s="41" t="s">
        <v>322</v>
      </c>
      <c r="K64" s="41" t="s">
        <v>323</v>
      </c>
      <c r="L64" s="46">
        <v>0.4</v>
      </c>
      <c r="M64" s="47">
        <v>1042.9000000000001</v>
      </c>
      <c r="N64" s="47">
        <v>417.1</v>
      </c>
      <c r="O64" s="47">
        <f t="shared" si="11"/>
        <v>0.4</v>
      </c>
      <c r="P64" s="47">
        <f t="shared" si="12"/>
        <v>0.4</v>
      </c>
      <c r="Q64" s="47">
        <f t="shared" si="13"/>
        <v>1042.9000000000001</v>
      </c>
      <c r="R64" s="47">
        <f t="shared" si="14"/>
        <v>1042.9000000000001</v>
      </c>
      <c r="S64" s="47">
        <f t="shared" si="19"/>
        <v>0.4</v>
      </c>
      <c r="T64" s="47">
        <f t="shared" si="20"/>
        <v>0.4</v>
      </c>
      <c r="U64" s="47">
        <f t="shared" si="17"/>
        <v>417.1</v>
      </c>
      <c r="V64" s="47">
        <f t="shared" si="18"/>
        <v>417.1</v>
      </c>
      <c r="W64" s="47">
        <f t="shared" si="23"/>
        <v>417.1</v>
      </c>
      <c r="X64" s="47">
        <f t="shared" si="24"/>
        <v>0.4</v>
      </c>
      <c r="Y64" s="41"/>
      <c r="AI64" s="42" t="s">
        <v>323</v>
      </c>
    </row>
    <row r="65" spans="1:35" x14ac:dyDescent="0.3">
      <c r="A65" s="38" t="s">
        <v>281</v>
      </c>
      <c r="B65" s="36">
        <v>63</v>
      </c>
      <c r="C65" s="61" t="str">
        <f t="shared" ca="1" si="21"/>
        <v>10년~5년 사이</v>
      </c>
      <c r="D65" s="64">
        <v>43070</v>
      </c>
      <c r="E65" s="65">
        <f t="shared" si="22"/>
        <v>2</v>
      </c>
      <c r="F65" s="65" t="s">
        <v>329</v>
      </c>
      <c r="G65" s="66" t="s">
        <v>309</v>
      </c>
      <c r="H65" s="66" t="s">
        <v>363</v>
      </c>
      <c r="I65" s="65" t="s">
        <v>396</v>
      </c>
      <c r="J65" s="41" t="s">
        <v>322</v>
      </c>
      <c r="K65" s="41" t="s">
        <v>323</v>
      </c>
      <c r="L65" s="46">
        <v>0.7</v>
      </c>
      <c r="M65" s="47">
        <v>719.3</v>
      </c>
      <c r="N65" s="47">
        <v>503.4</v>
      </c>
      <c r="O65" s="47">
        <f t="shared" si="11"/>
        <v>0.7</v>
      </c>
      <c r="P65" s="47">
        <f t="shared" si="12"/>
        <v>0.7</v>
      </c>
      <c r="Q65" s="47">
        <f t="shared" si="13"/>
        <v>719.3</v>
      </c>
      <c r="R65" s="47">
        <f t="shared" si="14"/>
        <v>719.3</v>
      </c>
      <c r="S65" s="47">
        <f t="shared" si="19"/>
        <v>0.7</v>
      </c>
      <c r="T65" s="47">
        <f t="shared" si="20"/>
        <v>0.7</v>
      </c>
      <c r="U65" s="47">
        <f t="shared" si="17"/>
        <v>503.4</v>
      </c>
      <c r="V65" s="47">
        <f t="shared" si="18"/>
        <v>503.4</v>
      </c>
      <c r="W65" s="47">
        <f t="shared" si="23"/>
        <v>503.4</v>
      </c>
      <c r="X65" s="47">
        <f t="shared" si="24"/>
        <v>0.7</v>
      </c>
      <c r="Y65" s="41"/>
      <c r="AI65" s="42" t="s">
        <v>323</v>
      </c>
    </row>
    <row r="66" spans="1:35" x14ac:dyDescent="0.3">
      <c r="A66" s="38" t="s">
        <v>281</v>
      </c>
      <c r="B66" s="36">
        <v>64</v>
      </c>
      <c r="C66" s="61" t="str">
        <f t="shared" ca="1" si="21"/>
        <v>10년~5년 사이</v>
      </c>
      <c r="D66" s="64">
        <v>43070</v>
      </c>
      <c r="E66" s="65">
        <f t="shared" si="22"/>
        <v>2</v>
      </c>
      <c r="F66" s="65" t="s">
        <v>329</v>
      </c>
      <c r="G66" s="66" t="s">
        <v>68</v>
      </c>
      <c r="H66" s="66" t="s">
        <v>75</v>
      </c>
      <c r="I66" s="65" t="s">
        <v>396</v>
      </c>
      <c r="J66" s="41" t="s">
        <v>322</v>
      </c>
      <c r="K66" s="41" t="s">
        <v>323</v>
      </c>
      <c r="L66" s="46">
        <v>0.7</v>
      </c>
      <c r="M66" s="47">
        <v>719.3</v>
      </c>
      <c r="N66" s="47">
        <v>503.4</v>
      </c>
      <c r="O66" s="47">
        <f t="shared" si="11"/>
        <v>0.7</v>
      </c>
      <c r="P66" s="47">
        <f t="shared" si="12"/>
        <v>0.7</v>
      </c>
      <c r="Q66" s="47">
        <f t="shared" si="13"/>
        <v>719.3</v>
      </c>
      <c r="R66" s="47">
        <f t="shared" si="14"/>
        <v>719.3</v>
      </c>
      <c r="S66" s="47">
        <f t="shared" si="19"/>
        <v>0.7</v>
      </c>
      <c r="T66" s="47">
        <f t="shared" si="20"/>
        <v>0.7</v>
      </c>
      <c r="U66" s="47">
        <f t="shared" si="17"/>
        <v>503.4</v>
      </c>
      <c r="V66" s="47">
        <f t="shared" si="18"/>
        <v>503.4</v>
      </c>
      <c r="W66" s="47">
        <f t="shared" si="23"/>
        <v>503.4</v>
      </c>
      <c r="X66" s="47">
        <f t="shared" si="24"/>
        <v>0.7</v>
      </c>
      <c r="Y66" s="41"/>
      <c r="AI66" s="42" t="s">
        <v>323</v>
      </c>
    </row>
    <row r="67" spans="1:35" x14ac:dyDescent="0.3">
      <c r="A67" s="38" t="s">
        <v>281</v>
      </c>
      <c r="B67" s="36">
        <v>65</v>
      </c>
      <c r="C67" s="61" t="str">
        <f t="shared" ca="1" si="21"/>
        <v>10년~5년 사이</v>
      </c>
      <c r="D67" s="64">
        <v>43097</v>
      </c>
      <c r="E67" s="65">
        <f t="shared" si="22"/>
        <v>2</v>
      </c>
      <c r="F67" s="65" t="s">
        <v>329</v>
      </c>
      <c r="G67" s="66" t="s">
        <v>285</v>
      </c>
      <c r="H67" s="66" t="s">
        <v>389</v>
      </c>
      <c r="I67" s="65" t="s">
        <v>390</v>
      </c>
      <c r="J67" s="41" t="s">
        <v>322</v>
      </c>
      <c r="K67" s="41" t="s">
        <v>323</v>
      </c>
      <c r="L67" s="46">
        <v>0.45</v>
      </c>
      <c r="M67" s="47">
        <v>485.9</v>
      </c>
      <c r="N67" s="47">
        <v>218.6</v>
      </c>
      <c r="O67" s="47">
        <f t="shared" si="11"/>
        <v>0.45</v>
      </c>
      <c r="P67" s="47">
        <f t="shared" si="12"/>
        <v>0.45</v>
      </c>
      <c r="Q67" s="47">
        <f t="shared" si="13"/>
        <v>485.9</v>
      </c>
      <c r="R67" s="47">
        <f t="shared" si="14"/>
        <v>485.9</v>
      </c>
      <c r="S67" s="47">
        <f t="shared" si="19"/>
        <v>0.45</v>
      </c>
      <c r="T67" s="47">
        <f t="shared" si="20"/>
        <v>0.45</v>
      </c>
      <c r="U67" s="47">
        <f t="shared" si="17"/>
        <v>218.6</v>
      </c>
      <c r="V67" s="47">
        <f t="shared" si="18"/>
        <v>218.6</v>
      </c>
      <c r="W67" s="47">
        <f t="shared" si="23"/>
        <v>218.6</v>
      </c>
      <c r="X67" s="47">
        <f t="shared" si="24"/>
        <v>0.45</v>
      </c>
      <c r="Y67" s="41"/>
      <c r="AI67" s="42" t="s">
        <v>323</v>
      </c>
    </row>
    <row r="68" spans="1:35" x14ac:dyDescent="0.3">
      <c r="A68" s="38" t="s">
        <v>281</v>
      </c>
      <c r="B68" s="36">
        <v>66</v>
      </c>
      <c r="C68" s="61" t="str">
        <f t="shared" ca="1" si="21"/>
        <v>10년~5년 사이</v>
      </c>
      <c r="D68" s="64">
        <v>43107</v>
      </c>
      <c r="E68" s="65">
        <f t="shared" si="22"/>
        <v>2</v>
      </c>
      <c r="F68" s="65" t="s">
        <v>329</v>
      </c>
      <c r="G68" s="66" t="s">
        <v>97</v>
      </c>
      <c r="H68" s="66" t="s">
        <v>98</v>
      </c>
      <c r="I68" s="65" t="s">
        <v>368</v>
      </c>
      <c r="J68" s="41" t="s">
        <v>322</v>
      </c>
      <c r="K68" s="41" t="s">
        <v>323</v>
      </c>
      <c r="L68" s="46">
        <v>0.95</v>
      </c>
      <c r="M68" s="47">
        <v>316.39999999999998</v>
      </c>
      <c r="N68" s="47">
        <v>300.5</v>
      </c>
      <c r="O68" s="47">
        <f t="shared" si="11"/>
        <v>0.95</v>
      </c>
      <c r="P68" s="47">
        <f t="shared" si="12"/>
        <v>0.95</v>
      </c>
      <c r="Q68" s="47">
        <f t="shared" si="13"/>
        <v>316.39999999999998</v>
      </c>
      <c r="R68" s="47">
        <f t="shared" si="14"/>
        <v>316.39999999999998</v>
      </c>
      <c r="S68" s="47">
        <f t="shared" si="19"/>
        <v>0.95</v>
      </c>
      <c r="T68" s="47">
        <f t="shared" si="20"/>
        <v>0.95</v>
      </c>
      <c r="U68" s="47">
        <f t="shared" si="17"/>
        <v>300.5</v>
      </c>
      <c r="V68" s="47">
        <f t="shared" si="18"/>
        <v>300.5</v>
      </c>
      <c r="W68" s="47">
        <f t="shared" si="23"/>
        <v>300.5</v>
      </c>
      <c r="X68" s="47">
        <f t="shared" si="24"/>
        <v>0.95</v>
      </c>
      <c r="Y68" s="41"/>
      <c r="AI68" s="42" t="s">
        <v>323</v>
      </c>
    </row>
    <row r="69" spans="1:35" x14ac:dyDescent="0.3">
      <c r="A69" s="38" t="s">
        <v>281</v>
      </c>
      <c r="B69" s="36">
        <v>67</v>
      </c>
      <c r="C69" s="61" t="str">
        <f t="shared" ref="C69:C100" ca="1" si="29">IF(TODAY()-10*365&gt;D69,"10년 초과",IF(TODAY()-5*365&gt;D69,"10년~5년 사이","5년 이내"))</f>
        <v>10년~5년 사이</v>
      </c>
      <c r="D69" s="64">
        <v>43117</v>
      </c>
      <c r="E69" s="65" t="str">
        <f t="shared" ref="E69:E100" si="30">IF((N69&gt;200),2,IF(N69&gt;100,1,IF((N69&lt;99.9),"")))</f>
        <v/>
      </c>
      <c r="F69" s="65" t="s">
        <v>329</v>
      </c>
      <c r="G69" s="66" t="s">
        <v>287</v>
      </c>
      <c r="H69" s="66" t="s">
        <v>370</v>
      </c>
      <c r="I69" s="65" t="s">
        <v>369</v>
      </c>
      <c r="J69" s="41" t="s">
        <v>322</v>
      </c>
      <c r="K69" s="41" t="s">
        <v>323</v>
      </c>
      <c r="L69" s="46">
        <v>1</v>
      </c>
      <c r="M69" s="47">
        <v>19.600000000000001</v>
      </c>
      <c r="N69" s="47">
        <v>19.600000000000001</v>
      </c>
      <c r="O69" s="47" t="str">
        <f t="shared" ref="O69:O132" si="31">IF(M69&gt;100,L69,"")</f>
        <v/>
      </c>
      <c r="P69" s="47" t="str">
        <f t="shared" ref="P69:P132" si="32">IF(M69&gt;200,L69,"")</f>
        <v/>
      </c>
      <c r="Q69" s="47" t="str">
        <f t="shared" ref="Q69:Q132" si="33">IF(M69&gt;100,M69,"")</f>
        <v/>
      </c>
      <c r="R69" s="47" t="str">
        <f t="shared" ref="R69:R132" si="34">IF(M69&gt;200,M69,"")</f>
        <v/>
      </c>
      <c r="S69" s="47" t="str">
        <f t="shared" si="19"/>
        <v/>
      </c>
      <c r="T69" s="47" t="str">
        <f t="shared" si="20"/>
        <v/>
      </c>
      <c r="U69" s="47" t="str">
        <f t="shared" ref="U69:U132" si="35">IF(N69&gt;100,N69,"")</f>
        <v/>
      </c>
      <c r="V69" s="47" t="str">
        <f t="shared" ref="V69:V132" si="36">IF(N69&gt;200,N69,"")</f>
        <v/>
      </c>
      <c r="W69" s="47">
        <f t="shared" ref="W69:W100" si="37">N69</f>
        <v>19.600000000000001</v>
      </c>
      <c r="X69" s="47">
        <f t="shared" ref="X69:X100" si="38">IF(W69&gt;0,L69,"")</f>
        <v>1</v>
      </c>
      <c r="Y69" s="41"/>
      <c r="AI69" s="42" t="s">
        <v>323</v>
      </c>
    </row>
    <row r="70" spans="1:35" x14ac:dyDescent="0.3">
      <c r="A70" s="38" t="s">
        <v>281</v>
      </c>
      <c r="B70" s="36">
        <v>68</v>
      </c>
      <c r="C70" s="61" t="str">
        <f t="shared" ca="1" si="29"/>
        <v>10년~5년 사이</v>
      </c>
      <c r="D70" s="64">
        <v>43117</v>
      </c>
      <c r="E70" s="65" t="str">
        <f t="shared" si="30"/>
        <v/>
      </c>
      <c r="F70" s="65" t="s">
        <v>329</v>
      </c>
      <c r="G70" s="66" t="s">
        <v>17</v>
      </c>
      <c r="H70" s="66" t="s">
        <v>441</v>
      </c>
      <c r="I70" s="65" t="s">
        <v>369</v>
      </c>
      <c r="J70" s="41" t="s">
        <v>322</v>
      </c>
      <c r="K70" s="41" t="s">
        <v>323</v>
      </c>
      <c r="L70" s="46">
        <v>1</v>
      </c>
      <c r="M70" s="47">
        <v>19.600000000000001</v>
      </c>
      <c r="N70" s="47">
        <v>19.600000000000001</v>
      </c>
      <c r="O70" s="47" t="str">
        <f t="shared" si="31"/>
        <v/>
      </c>
      <c r="P70" s="47" t="str">
        <f t="shared" si="32"/>
        <v/>
      </c>
      <c r="Q70" s="47" t="str">
        <f t="shared" si="33"/>
        <v/>
      </c>
      <c r="R70" s="47" t="str">
        <f t="shared" si="34"/>
        <v/>
      </c>
      <c r="S70" s="47" t="str">
        <f t="shared" si="19"/>
        <v/>
      </c>
      <c r="T70" s="47" t="str">
        <f t="shared" si="20"/>
        <v/>
      </c>
      <c r="U70" s="47" t="str">
        <f t="shared" si="35"/>
        <v/>
      </c>
      <c r="V70" s="47" t="str">
        <f t="shared" si="36"/>
        <v/>
      </c>
      <c r="W70" s="47">
        <f t="shared" si="37"/>
        <v>19.600000000000001</v>
      </c>
      <c r="X70" s="47">
        <f t="shared" si="38"/>
        <v>1</v>
      </c>
      <c r="Y70" s="41"/>
      <c r="AI70" s="42" t="s">
        <v>323</v>
      </c>
    </row>
    <row r="71" spans="1:35" x14ac:dyDescent="0.3">
      <c r="A71" s="38" t="s">
        <v>281</v>
      </c>
      <c r="B71" s="36">
        <v>69</v>
      </c>
      <c r="C71" s="61" t="str">
        <f t="shared" ca="1" si="29"/>
        <v>10년~5년 사이</v>
      </c>
      <c r="D71" s="64">
        <v>43122</v>
      </c>
      <c r="E71" s="65">
        <f t="shared" si="30"/>
        <v>2</v>
      </c>
      <c r="F71" s="65" t="s">
        <v>329</v>
      </c>
      <c r="G71" s="66" t="s">
        <v>78</v>
      </c>
      <c r="H71" s="66" t="s">
        <v>391</v>
      </c>
      <c r="I71" s="65" t="s">
        <v>392</v>
      </c>
      <c r="J71" s="41" t="s">
        <v>322</v>
      </c>
      <c r="K71" s="41" t="s">
        <v>323</v>
      </c>
      <c r="L71" s="46">
        <v>0.7</v>
      </c>
      <c r="M71" s="47">
        <v>528.1</v>
      </c>
      <c r="N71" s="47">
        <v>369.6</v>
      </c>
      <c r="O71" s="47">
        <f t="shared" si="31"/>
        <v>0.7</v>
      </c>
      <c r="P71" s="47">
        <f t="shared" si="32"/>
        <v>0.7</v>
      </c>
      <c r="Q71" s="47">
        <f t="shared" si="33"/>
        <v>528.1</v>
      </c>
      <c r="R71" s="47">
        <f t="shared" si="34"/>
        <v>528.1</v>
      </c>
      <c r="S71" s="47">
        <f t="shared" si="19"/>
        <v>0.7</v>
      </c>
      <c r="T71" s="47">
        <f t="shared" si="20"/>
        <v>0.7</v>
      </c>
      <c r="U71" s="47">
        <f t="shared" si="35"/>
        <v>369.6</v>
      </c>
      <c r="V71" s="47">
        <f t="shared" si="36"/>
        <v>369.6</v>
      </c>
      <c r="W71" s="47">
        <f t="shared" si="37"/>
        <v>369.6</v>
      </c>
      <c r="X71" s="47">
        <f t="shared" si="38"/>
        <v>0.7</v>
      </c>
      <c r="Y71" s="41"/>
      <c r="AI71" s="42" t="s">
        <v>323</v>
      </c>
    </row>
    <row r="72" spans="1:35" x14ac:dyDescent="0.3">
      <c r="A72" s="38" t="s">
        <v>281</v>
      </c>
      <c r="B72" s="36">
        <v>70</v>
      </c>
      <c r="C72" s="61" t="str">
        <f t="shared" ca="1" si="29"/>
        <v>10년~5년 사이</v>
      </c>
      <c r="D72" s="64">
        <v>43823</v>
      </c>
      <c r="E72" s="65">
        <f t="shared" si="30"/>
        <v>2</v>
      </c>
      <c r="F72" s="65" t="s">
        <v>329</v>
      </c>
      <c r="G72" s="66" t="s">
        <v>330</v>
      </c>
      <c r="H72" s="66" t="s">
        <v>346</v>
      </c>
      <c r="I72" s="65" t="s">
        <v>345</v>
      </c>
      <c r="J72" s="41" t="s">
        <v>322</v>
      </c>
      <c r="K72" s="41" t="s">
        <v>323</v>
      </c>
      <c r="L72" s="46">
        <v>1</v>
      </c>
      <c r="M72" s="47">
        <v>414.4</v>
      </c>
      <c r="N72" s="47">
        <v>372.4</v>
      </c>
      <c r="O72" s="47">
        <f t="shared" si="31"/>
        <v>1</v>
      </c>
      <c r="P72" s="47">
        <f t="shared" si="32"/>
        <v>1</v>
      </c>
      <c r="Q72" s="47">
        <f t="shared" si="33"/>
        <v>414.4</v>
      </c>
      <c r="R72" s="47">
        <f t="shared" si="34"/>
        <v>414.4</v>
      </c>
      <c r="S72" s="47">
        <f t="shared" ref="S72:S135" si="39">IF(N72&gt;100,L72,"")</f>
        <v>1</v>
      </c>
      <c r="T72" s="47">
        <f t="shared" ref="T72:T135" si="40">IF(N72&gt;200,L72,"")</f>
        <v>1</v>
      </c>
      <c r="U72" s="47">
        <f t="shared" si="35"/>
        <v>372.4</v>
      </c>
      <c r="V72" s="47">
        <f t="shared" si="36"/>
        <v>372.4</v>
      </c>
      <c r="W72" s="47">
        <f t="shared" si="37"/>
        <v>372.4</v>
      </c>
      <c r="X72" s="47">
        <f t="shared" si="38"/>
        <v>1</v>
      </c>
      <c r="Y72" s="41"/>
      <c r="AI72" s="42" t="s">
        <v>323</v>
      </c>
    </row>
    <row r="73" spans="1:35" x14ac:dyDescent="0.3">
      <c r="A73" s="38" t="s">
        <v>281</v>
      </c>
      <c r="B73" s="36">
        <v>71</v>
      </c>
      <c r="C73" s="61" t="str">
        <f t="shared" ca="1" si="29"/>
        <v>10년~5년 사이</v>
      </c>
      <c r="D73" s="64">
        <v>43823</v>
      </c>
      <c r="E73" s="65">
        <f t="shared" si="30"/>
        <v>2</v>
      </c>
      <c r="F73" s="65" t="s">
        <v>329</v>
      </c>
      <c r="G73" s="66" t="s">
        <v>347</v>
      </c>
      <c r="H73" s="66" t="s">
        <v>348</v>
      </c>
      <c r="I73" s="65" t="s">
        <v>345</v>
      </c>
      <c r="J73" s="41" t="s">
        <v>322</v>
      </c>
      <c r="K73" s="41" t="s">
        <v>323</v>
      </c>
      <c r="L73" s="46">
        <v>1</v>
      </c>
      <c r="M73" s="47">
        <v>414.4</v>
      </c>
      <c r="N73" s="47">
        <v>372.4</v>
      </c>
      <c r="O73" s="47">
        <f t="shared" si="31"/>
        <v>1</v>
      </c>
      <c r="P73" s="47">
        <f t="shared" si="32"/>
        <v>1</v>
      </c>
      <c r="Q73" s="47">
        <f t="shared" si="33"/>
        <v>414.4</v>
      </c>
      <c r="R73" s="47">
        <f t="shared" si="34"/>
        <v>414.4</v>
      </c>
      <c r="S73" s="47">
        <f t="shared" si="39"/>
        <v>1</v>
      </c>
      <c r="T73" s="47">
        <f t="shared" si="40"/>
        <v>1</v>
      </c>
      <c r="U73" s="47">
        <f t="shared" si="35"/>
        <v>372.4</v>
      </c>
      <c r="V73" s="47">
        <f t="shared" si="36"/>
        <v>372.4</v>
      </c>
      <c r="W73" s="47">
        <f t="shared" si="37"/>
        <v>372.4</v>
      </c>
      <c r="X73" s="47">
        <f t="shared" si="38"/>
        <v>1</v>
      </c>
      <c r="Y73" s="41"/>
      <c r="AI73" s="42" t="s">
        <v>323</v>
      </c>
    </row>
    <row r="74" spans="1:35" x14ac:dyDescent="0.3">
      <c r="A74" s="38" t="s">
        <v>281</v>
      </c>
      <c r="B74" s="36">
        <v>72</v>
      </c>
      <c r="C74" s="61" t="str">
        <f t="shared" ca="1" si="29"/>
        <v>10년~5년 사이</v>
      </c>
      <c r="D74" s="64">
        <v>43823</v>
      </c>
      <c r="E74" s="65">
        <f t="shared" si="30"/>
        <v>2</v>
      </c>
      <c r="F74" s="65" t="s">
        <v>329</v>
      </c>
      <c r="G74" s="66" t="s">
        <v>17</v>
      </c>
      <c r="H74" s="66" t="s">
        <v>139</v>
      </c>
      <c r="I74" s="65" t="s">
        <v>345</v>
      </c>
      <c r="J74" s="41" t="s">
        <v>322</v>
      </c>
      <c r="K74" s="41" t="s">
        <v>323</v>
      </c>
      <c r="L74" s="46">
        <v>1</v>
      </c>
      <c r="M74" s="47">
        <v>414.4</v>
      </c>
      <c r="N74" s="47">
        <v>372.4</v>
      </c>
      <c r="O74" s="47">
        <f t="shared" si="31"/>
        <v>1</v>
      </c>
      <c r="P74" s="47">
        <f t="shared" si="32"/>
        <v>1</v>
      </c>
      <c r="Q74" s="47">
        <f t="shared" si="33"/>
        <v>414.4</v>
      </c>
      <c r="R74" s="47">
        <f t="shared" si="34"/>
        <v>414.4</v>
      </c>
      <c r="S74" s="47">
        <f t="shared" si="39"/>
        <v>1</v>
      </c>
      <c r="T74" s="47">
        <f t="shared" si="40"/>
        <v>1</v>
      </c>
      <c r="U74" s="47">
        <f t="shared" si="35"/>
        <v>372.4</v>
      </c>
      <c r="V74" s="47">
        <f t="shared" si="36"/>
        <v>372.4</v>
      </c>
      <c r="W74" s="47">
        <f t="shared" si="37"/>
        <v>372.4</v>
      </c>
      <c r="X74" s="47">
        <f t="shared" si="38"/>
        <v>1</v>
      </c>
      <c r="Y74" s="41"/>
      <c r="AI74" s="42" t="s">
        <v>323</v>
      </c>
    </row>
    <row r="75" spans="1:35" x14ac:dyDescent="0.3">
      <c r="A75" s="38" t="s">
        <v>281</v>
      </c>
      <c r="B75" s="36">
        <v>73</v>
      </c>
      <c r="C75" s="61" t="str">
        <f t="shared" ca="1" si="29"/>
        <v>10년~5년 사이</v>
      </c>
      <c r="D75" s="64">
        <v>43823</v>
      </c>
      <c r="E75" s="65">
        <f t="shared" si="30"/>
        <v>2</v>
      </c>
      <c r="F75" s="65" t="s">
        <v>329</v>
      </c>
      <c r="G75" s="66" t="s">
        <v>310</v>
      </c>
      <c r="H75" s="66" t="s">
        <v>98</v>
      </c>
      <c r="I75" s="65" t="s">
        <v>345</v>
      </c>
      <c r="J75" s="41" t="s">
        <v>322</v>
      </c>
      <c r="K75" s="41" t="s">
        <v>323</v>
      </c>
      <c r="L75" s="46">
        <v>1</v>
      </c>
      <c r="M75" s="47">
        <v>414.4</v>
      </c>
      <c r="N75" s="47">
        <v>372.4</v>
      </c>
      <c r="O75" s="47">
        <f t="shared" si="31"/>
        <v>1</v>
      </c>
      <c r="P75" s="47">
        <f t="shared" si="32"/>
        <v>1</v>
      </c>
      <c r="Q75" s="47">
        <f t="shared" si="33"/>
        <v>414.4</v>
      </c>
      <c r="R75" s="47">
        <f t="shared" si="34"/>
        <v>414.4</v>
      </c>
      <c r="S75" s="47">
        <f t="shared" si="39"/>
        <v>1</v>
      </c>
      <c r="T75" s="47">
        <f t="shared" si="40"/>
        <v>1</v>
      </c>
      <c r="U75" s="47">
        <f t="shared" si="35"/>
        <v>372.4</v>
      </c>
      <c r="V75" s="47">
        <f t="shared" si="36"/>
        <v>372.4</v>
      </c>
      <c r="W75" s="47">
        <f t="shared" si="37"/>
        <v>372.4</v>
      </c>
      <c r="X75" s="47">
        <f t="shared" si="38"/>
        <v>1</v>
      </c>
      <c r="Y75" s="41"/>
      <c r="AI75" s="42" t="s">
        <v>323</v>
      </c>
    </row>
    <row r="76" spans="1:35" x14ac:dyDescent="0.3">
      <c r="A76" s="38" t="s">
        <v>281</v>
      </c>
      <c r="B76" s="36">
        <v>74</v>
      </c>
      <c r="C76" s="61" t="str">
        <f t="shared" ca="1" si="29"/>
        <v>10년~5년 사이</v>
      </c>
      <c r="D76" s="64">
        <v>43823</v>
      </c>
      <c r="E76" s="65">
        <f t="shared" si="30"/>
        <v>2</v>
      </c>
      <c r="F76" s="65" t="s">
        <v>329</v>
      </c>
      <c r="G76" s="66" t="s">
        <v>349</v>
      </c>
      <c r="H76" s="59" t="s">
        <v>518</v>
      </c>
      <c r="I76" s="65" t="s">
        <v>345</v>
      </c>
      <c r="J76" s="41" t="s">
        <v>322</v>
      </c>
      <c r="K76" s="41" t="s">
        <v>323</v>
      </c>
      <c r="L76" s="46">
        <v>1</v>
      </c>
      <c r="M76" s="47">
        <v>414.4</v>
      </c>
      <c r="N76" s="47">
        <v>372.4</v>
      </c>
      <c r="O76" s="47">
        <f t="shared" si="31"/>
        <v>1</v>
      </c>
      <c r="P76" s="47">
        <f t="shared" si="32"/>
        <v>1</v>
      </c>
      <c r="Q76" s="47">
        <f t="shared" si="33"/>
        <v>414.4</v>
      </c>
      <c r="R76" s="47">
        <f t="shared" si="34"/>
        <v>414.4</v>
      </c>
      <c r="S76" s="47">
        <f t="shared" si="39"/>
        <v>1</v>
      </c>
      <c r="T76" s="47">
        <f t="shared" si="40"/>
        <v>1</v>
      </c>
      <c r="U76" s="47">
        <f t="shared" si="35"/>
        <v>372.4</v>
      </c>
      <c r="V76" s="47">
        <f t="shared" si="36"/>
        <v>372.4</v>
      </c>
      <c r="W76" s="47">
        <f t="shared" si="37"/>
        <v>372.4</v>
      </c>
      <c r="X76" s="47">
        <f t="shared" si="38"/>
        <v>1</v>
      </c>
      <c r="Y76" s="41"/>
      <c r="AI76" s="42" t="s">
        <v>323</v>
      </c>
    </row>
    <row r="77" spans="1:35" x14ac:dyDescent="0.3">
      <c r="A77" s="38" t="s">
        <v>281</v>
      </c>
      <c r="B77" s="36">
        <v>75</v>
      </c>
      <c r="C77" s="61" t="str">
        <f t="shared" ca="1" si="29"/>
        <v>10년~5년 사이</v>
      </c>
      <c r="D77" s="64">
        <v>43951</v>
      </c>
      <c r="E77" s="65">
        <f t="shared" si="30"/>
        <v>2</v>
      </c>
      <c r="F77" s="65" t="s">
        <v>329</v>
      </c>
      <c r="G77" s="66" t="s">
        <v>10</v>
      </c>
      <c r="H77" s="67" t="s">
        <v>48</v>
      </c>
      <c r="I77" s="65" t="s">
        <v>342</v>
      </c>
      <c r="J77" s="41" t="s">
        <v>322</v>
      </c>
      <c r="K77" s="41" t="s">
        <v>323</v>
      </c>
      <c r="L77" s="46">
        <v>1</v>
      </c>
      <c r="M77" s="47">
        <v>527.4</v>
      </c>
      <c r="N77" s="47">
        <v>264.3</v>
      </c>
      <c r="O77" s="47">
        <f t="shared" si="31"/>
        <v>1</v>
      </c>
      <c r="P77" s="47">
        <f t="shared" si="32"/>
        <v>1</v>
      </c>
      <c r="Q77" s="47">
        <f t="shared" si="33"/>
        <v>527.4</v>
      </c>
      <c r="R77" s="47">
        <f t="shared" si="34"/>
        <v>527.4</v>
      </c>
      <c r="S77" s="47">
        <f t="shared" si="39"/>
        <v>1</v>
      </c>
      <c r="T77" s="47">
        <f t="shared" si="40"/>
        <v>1</v>
      </c>
      <c r="U77" s="47">
        <f t="shared" si="35"/>
        <v>264.3</v>
      </c>
      <c r="V77" s="47">
        <f t="shared" si="36"/>
        <v>264.3</v>
      </c>
      <c r="W77" s="47">
        <f t="shared" si="37"/>
        <v>264.3</v>
      </c>
      <c r="X77" s="47">
        <f t="shared" si="38"/>
        <v>1</v>
      </c>
      <c r="Y77" s="41"/>
      <c r="AI77" s="42" t="s">
        <v>323</v>
      </c>
    </row>
    <row r="78" spans="1:35" x14ac:dyDescent="0.3">
      <c r="A78" s="38" t="s">
        <v>281</v>
      </c>
      <c r="B78" s="36">
        <v>76</v>
      </c>
      <c r="C78" s="61" t="str">
        <f t="shared" ca="1" si="29"/>
        <v>10년~5년 사이</v>
      </c>
      <c r="D78" s="64">
        <v>43951</v>
      </c>
      <c r="E78" s="65">
        <f t="shared" si="30"/>
        <v>2</v>
      </c>
      <c r="F78" s="65" t="s">
        <v>329</v>
      </c>
      <c r="G78" s="66" t="s">
        <v>97</v>
      </c>
      <c r="H78" s="66" t="s">
        <v>311</v>
      </c>
      <c r="I78" s="65" t="s">
        <v>342</v>
      </c>
      <c r="J78" s="41" t="s">
        <v>322</v>
      </c>
      <c r="K78" s="41" t="s">
        <v>323</v>
      </c>
      <c r="L78" s="46">
        <v>1</v>
      </c>
      <c r="M78" s="47">
        <v>527.4</v>
      </c>
      <c r="N78" s="47">
        <v>264.3</v>
      </c>
      <c r="O78" s="47">
        <f t="shared" si="31"/>
        <v>1</v>
      </c>
      <c r="P78" s="47">
        <f t="shared" si="32"/>
        <v>1</v>
      </c>
      <c r="Q78" s="47">
        <f t="shared" si="33"/>
        <v>527.4</v>
      </c>
      <c r="R78" s="47">
        <f t="shared" si="34"/>
        <v>527.4</v>
      </c>
      <c r="S78" s="47">
        <f t="shared" si="39"/>
        <v>1</v>
      </c>
      <c r="T78" s="47">
        <f t="shared" si="40"/>
        <v>1</v>
      </c>
      <c r="U78" s="47">
        <f t="shared" si="35"/>
        <v>264.3</v>
      </c>
      <c r="V78" s="47">
        <f t="shared" si="36"/>
        <v>264.3</v>
      </c>
      <c r="W78" s="47">
        <f t="shared" si="37"/>
        <v>264.3</v>
      </c>
      <c r="X78" s="47">
        <f t="shared" si="38"/>
        <v>1</v>
      </c>
      <c r="Y78" s="41"/>
      <c r="AI78" s="42" t="s">
        <v>323</v>
      </c>
    </row>
    <row r="79" spans="1:35" x14ac:dyDescent="0.3">
      <c r="A79" s="38" t="s">
        <v>281</v>
      </c>
      <c r="B79" s="36">
        <v>77</v>
      </c>
      <c r="C79" s="61" t="str">
        <f t="shared" ca="1" si="29"/>
        <v>10년~5년 사이</v>
      </c>
      <c r="D79" s="64">
        <v>44165</v>
      </c>
      <c r="E79" s="65">
        <f t="shared" si="30"/>
        <v>2</v>
      </c>
      <c r="F79" s="65" t="s">
        <v>329</v>
      </c>
      <c r="G79" s="66" t="s">
        <v>17</v>
      </c>
      <c r="H79" s="66" t="s">
        <v>335</v>
      </c>
      <c r="I79" s="65" t="s">
        <v>332</v>
      </c>
      <c r="J79" s="41" t="s">
        <v>322</v>
      </c>
      <c r="K79" s="41" t="s">
        <v>323</v>
      </c>
      <c r="L79" s="46">
        <v>1</v>
      </c>
      <c r="M79" s="47">
        <v>445</v>
      </c>
      <c r="N79" s="47">
        <v>281.60000000000002</v>
      </c>
      <c r="O79" s="47">
        <f t="shared" si="31"/>
        <v>1</v>
      </c>
      <c r="P79" s="47">
        <f t="shared" si="32"/>
        <v>1</v>
      </c>
      <c r="Q79" s="47">
        <f t="shared" si="33"/>
        <v>445</v>
      </c>
      <c r="R79" s="47">
        <f t="shared" si="34"/>
        <v>445</v>
      </c>
      <c r="S79" s="47">
        <f t="shared" si="39"/>
        <v>1</v>
      </c>
      <c r="T79" s="47">
        <f t="shared" si="40"/>
        <v>1</v>
      </c>
      <c r="U79" s="47">
        <f t="shared" si="35"/>
        <v>281.60000000000002</v>
      </c>
      <c r="V79" s="47">
        <f t="shared" si="36"/>
        <v>281.60000000000002</v>
      </c>
      <c r="W79" s="47">
        <f t="shared" si="37"/>
        <v>281.60000000000002</v>
      </c>
      <c r="X79" s="47">
        <f t="shared" si="38"/>
        <v>1</v>
      </c>
      <c r="Y79" s="41"/>
      <c r="AI79" s="42" t="s">
        <v>323</v>
      </c>
    </row>
    <row r="80" spans="1:35" x14ac:dyDescent="0.3">
      <c r="A80" s="38" t="s">
        <v>281</v>
      </c>
      <c r="B80" s="36">
        <v>78</v>
      </c>
      <c r="C80" s="61" t="str">
        <f t="shared" ca="1" si="29"/>
        <v>10년~5년 사이</v>
      </c>
      <c r="D80" s="64">
        <v>44165</v>
      </c>
      <c r="E80" s="65">
        <f t="shared" si="30"/>
        <v>2</v>
      </c>
      <c r="F80" s="65" t="s">
        <v>329</v>
      </c>
      <c r="G80" s="66" t="s">
        <v>17</v>
      </c>
      <c r="H80" s="66" t="s">
        <v>139</v>
      </c>
      <c r="I80" s="65" t="s">
        <v>332</v>
      </c>
      <c r="J80" s="41" t="s">
        <v>322</v>
      </c>
      <c r="K80" s="41" t="s">
        <v>323</v>
      </c>
      <c r="L80" s="46">
        <v>1</v>
      </c>
      <c r="M80" s="47">
        <v>445</v>
      </c>
      <c r="N80" s="47">
        <v>281.60000000000002</v>
      </c>
      <c r="O80" s="47">
        <f t="shared" si="31"/>
        <v>1</v>
      </c>
      <c r="P80" s="47">
        <f t="shared" si="32"/>
        <v>1</v>
      </c>
      <c r="Q80" s="47">
        <f t="shared" si="33"/>
        <v>445</v>
      </c>
      <c r="R80" s="47">
        <f t="shared" si="34"/>
        <v>445</v>
      </c>
      <c r="S80" s="47">
        <f t="shared" si="39"/>
        <v>1</v>
      </c>
      <c r="T80" s="47">
        <f t="shared" si="40"/>
        <v>1</v>
      </c>
      <c r="U80" s="47">
        <f t="shared" si="35"/>
        <v>281.60000000000002</v>
      </c>
      <c r="V80" s="47">
        <f t="shared" si="36"/>
        <v>281.60000000000002</v>
      </c>
      <c r="W80" s="47">
        <f t="shared" si="37"/>
        <v>281.60000000000002</v>
      </c>
      <c r="X80" s="47">
        <f t="shared" si="38"/>
        <v>1</v>
      </c>
      <c r="Y80" s="41"/>
      <c r="AI80" s="42" t="s">
        <v>323</v>
      </c>
    </row>
    <row r="81" spans="1:35" x14ac:dyDescent="0.3">
      <c r="A81" s="38" t="s">
        <v>281</v>
      </c>
      <c r="B81" s="36">
        <v>79</v>
      </c>
      <c r="C81" s="61" t="str">
        <f t="shared" ca="1" si="29"/>
        <v>10년~5년 사이</v>
      </c>
      <c r="D81" s="64">
        <v>44165</v>
      </c>
      <c r="E81" s="65">
        <f t="shared" si="30"/>
        <v>2</v>
      </c>
      <c r="F81" s="65" t="s">
        <v>329</v>
      </c>
      <c r="G81" s="66" t="s">
        <v>310</v>
      </c>
      <c r="H81" s="66" t="s">
        <v>98</v>
      </c>
      <c r="I81" s="65" t="s">
        <v>332</v>
      </c>
      <c r="J81" s="41" t="s">
        <v>322</v>
      </c>
      <c r="K81" s="41" t="s">
        <v>323</v>
      </c>
      <c r="L81" s="46">
        <v>1</v>
      </c>
      <c r="M81" s="47">
        <v>445</v>
      </c>
      <c r="N81" s="47">
        <v>281.60000000000002</v>
      </c>
      <c r="O81" s="47">
        <f t="shared" si="31"/>
        <v>1</v>
      </c>
      <c r="P81" s="47">
        <f t="shared" si="32"/>
        <v>1</v>
      </c>
      <c r="Q81" s="47">
        <f t="shared" si="33"/>
        <v>445</v>
      </c>
      <c r="R81" s="47">
        <f t="shared" si="34"/>
        <v>445</v>
      </c>
      <c r="S81" s="47">
        <f t="shared" si="39"/>
        <v>1</v>
      </c>
      <c r="T81" s="47">
        <f t="shared" si="40"/>
        <v>1</v>
      </c>
      <c r="U81" s="47">
        <f t="shared" si="35"/>
        <v>281.60000000000002</v>
      </c>
      <c r="V81" s="47">
        <f t="shared" si="36"/>
        <v>281.60000000000002</v>
      </c>
      <c r="W81" s="47">
        <f t="shared" si="37"/>
        <v>281.60000000000002</v>
      </c>
      <c r="X81" s="47">
        <f t="shared" si="38"/>
        <v>1</v>
      </c>
      <c r="Y81" s="41"/>
      <c r="AI81" s="42" t="s">
        <v>323</v>
      </c>
    </row>
    <row r="82" spans="1:35" x14ac:dyDescent="0.3">
      <c r="A82" s="38" t="s">
        <v>281</v>
      </c>
      <c r="B82" s="36">
        <v>80</v>
      </c>
      <c r="C82" s="61" t="str">
        <f t="shared" ca="1" si="29"/>
        <v>10년~5년 사이</v>
      </c>
      <c r="D82" s="64">
        <v>44165</v>
      </c>
      <c r="E82" s="65">
        <f t="shared" si="30"/>
        <v>2</v>
      </c>
      <c r="F82" s="65" t="s">
        <v>329</v>
      </c>
      <c r="G82" s="66" t="s">
        <v>39</v>
      </c>
      <c r="H82" s="66" t="s">
        <v>333</v>
      </c>
      <c r="I82" s="65" t="s">
        <v>332</v>
      </c>
      <c r="J82" s="41" t="s">
        <v>322</v>
      </c>
      <c r="K82" s="41" t="s">
        <v>323</v>
      </c>
      <c r="L82" s="46">
        <v>1</v>
      </c>
      <c r="M82" s="47">
        <v>445</v>
      </c>
      <c r="N82" s="47">
        <v>281.60000000000002</v>
      </c>
      <c r="O82" s="47">
        <f t="shared" si="31"/>
        <v>1</v>
      </c>
      <c r="P82" s="47">
        <f t="shared" si="32"/>
        <v>1</v>
      </c>
      <c r="Q82" s="47">
        <f t="shared" si="33"/>
        <v>445</v>
      </c>
      <c r="R82" s="47">
        <f t="shared" si="34"/>
        <v>445</v>
      </c>
      <c r="S82" s="47">
        <f t="shared" si="39"/>
        <v>1</v>
      </c>
      <c r="T82" s="47">
        <f t="shared" si="40"/>
        <v>1</v>
      </c>
      <c r="U82" s="47">
        <f t="shared" si="35"/>
        <v>281.60000000000002</v>
      </c>
      <c r="V82" s="47">
        <f t="shared" si="36"/>
        <v>281.60000000000002</v>
      </c>
      <c r="W82" s="47">
        <f t="shared" si="37"/>
        <v>281.60000000000002</v>
      </c>
      <c r="X82" s="47">
        <f t="shared" si="38"/>
        <v>1</v>
      </c>
      <c r="Y82" s="41"/>
      <c r="AI82" s="42" t="s">
        <v>323</v>
      </c>
    </row>
    <row r="83" spans="1:35" x14ac:dyDescent="0.3">
      <c r="A83" s="38" t="s">
        <v>281</v>
      </c>
      <c r="B83" s="36">
        <v>81</v>
      </c>
      <c r="C83" s="61" t="str">
        <f t="shared" ca="1" si="29"/>
        <v>10년~5년 사이</v>
      </c>
      <c r="D83" s="64">
        <v>44186</v>
      </c>
      <c r="E83" s="65">
        <f t="shared" si="30"/>
        <v>2</v>
      </c>
      <c r="F83" s="65" t="s">
        <v>329</v>
      </c>
      <c r="G83" s="66" t="s">
        <v>285</v>
      </c>
      <c r="H83" s="66" t="s">
        <v>335</v>
      </c>
      <c r="I83" s="65" t="s">
        <v>334</v>
      </c>
      <c r="J83" s="41" t="s">
        <v>322</v>
      </c>
      <c r="K83" s="41" t="s">
        <v>323</v>
      </c>
      <c r="L83" s="46">
        <v>1</v>
      </c>
      <c r="M83" s="47">
        <v>415.4</v>
      </c>
      <c r="N83" s="47">
        <v>395.1</v>
      </c>
      <c r="O83" s="47">
        <f t="shared" si="31"/>
        <v>1</v>
      </c>
      <c r="P83" s="47">
        <f t="shared" si="32"/>
        <v>1</v>
      </c>
      <c r="Q83" s="47">
        <f t="shared" si="33"/>
        <v>415.4</v>
      </c>
      <c r="R83" s="47">
        <f t="shared" si="34"/>
        <v>415.4</v>
      </c>
      <c r="S83" s="47">
        <f t="shared" si="39"/>
        <v>1</v>
      </c>
      <c r="T83" s="47">
        <f t="shared" si="40"/>
        <v>1</v>
      </c>
      <c r="U83" s="47">
        <f t="shared" si="35"/>
        <v>395.1</v>
      </c>
      <c r="V83" s="47">
        <f t="shared" si="36"/>
        <v>395.1</v>
      </c>
      <c r="W83" s="47">
        <f t="shared" si="37"/>
        <v>395.1</v>
      </c>
      <c r="X83" s="47">
        <f t="shared" si="38"/>
        <v>1</v>
      </c>
      <c r="Y83" s="41"/>
      <c r="AI83" s="42" t="s">
        <v>323</v>
      </c>
    </row>
    <row r="84" spans="1:35" x14ac:dyDescent="0.3">
      <c r="A84" s="38" t="s">
        <v>281</v>
      </c>
      <c r="B84" s="36">
        <v>82</v>
      </c>
      <c r="C84" s="61" t="str">
        <f t="shared" ca="1" si="29"/>
        <v>10년~5년 사이</v>
      </c>
      <c r="D84" s="64">
        <v>44186</v>
      </c>
      <c r="E84" s="65">
        <f t="shared" si="30"/>
        <v>2</v>
      </c>
      <c r="F84" s="65" t="s">
        <v>329</v>
      </c>
      <c r="G84" s="66" t="s">
        <v>231</v>
      </c>
      <c r="H84" s="66" t="s">
        <v>232</v>
      </c>
      <c r="I84" s="65" t="s">
        <v>334</v>
      </c>
      <c r="J84" s="41" t="s">
        <v>322</v>
      </c>
      <c r="K84" s="41" t="s">
        <v>323</v>
      </c>
      <c r="L84" s="46">
        <v>1</v>
      </c>
      <c r="M84" s="47">
        <v>415.4</v>
      </c>
      <c r="N84" s="47">
        <v>395.1</v>
      </c>
      <c r="O84" s="47">
        <f t="shared" si="31"/>
        <v>1</v>
      </c>
      <c r="P84" s="47">
        <f t="shared" si="32"/>
        <v>1</v>
      </c>
      <c r="Q84" s="47">
        <f t="shared" si="33"/>
        <v>415.4</v>
      </c>
      <c r="R84" s="47">
        <f t="shared" si="34"/>
        <v>415.4</v>
      </c>
      <c r="S84" s="47">
        <f t="shared" si="39"/>
        <v>1</v>
      </c>
      <c r="T84" s="47">
        <f t="shared" si="40"/>
        <v>1</v>
      </c>
      <c r="U84" s="47">
        <f t="shared" si="35"/>
        <v>395.1</v>
      </c>
      <c r="V84" s="47">
        <f t="shared" si="36"/>
        <v>395.1</v>
      </c>
      <c r="W84" s="47">
        <f t="shared" si="37"/>
        <v>395.1</v>
      </c>
      <c r="X84" s="47">
        <f t="shared" si="38"/>
        <v>1</v>
      </c>
      <c r="Y84" s="41"/>
      <c r="AI84" s="42" t="s">
        <v>323</v>
      </c>
    </row>
    <row r="85" spans="1:35" x14ac:dyDescent="0.3">
      <c r="A85" s="38" t="s">
        <v>281</v>
      </c>
      <c r="B85" s="36">
        <v>83</v>
      </c>
      <c r="C85" s="61" t="str">
        <f t="shared" ca="1" si="29"/>
        <v>10년~5년 사이</v>
      </c>
      <c r="D85" s="64">
        <v>44186</v>
      </c>
      <c r="E85" s="65">
        <f t="shared" si="30"/>
        <v>2</v>
      </c>
      <c r="F85" s="65" t="s">
        <v>329</v>
      </c>
      <c r="G85" s="66" t="s">
        <v>299</v>
      </c>
      <c r="H85" s="66" t="s">
        <v>138</v>
      </c>
      <c r="I85" s="65" t="s">
        <v>334</v>
      </c>
      <c r="J85" s="41" t="s">
        <v>322</v>
      </c>
      <c r="K85" s="41" t="s">
        <v>323</v>
      </c>
      <c r="L85" s="46">
        <v>1</v>
      </c>
      <c r="M85" s="47">
        <v>415.4</v>
      </c>
      <c r="N85" s="47">
        <v>395.1</v>
      </c>
      <c r="O85" s="47">
        <f t="shared" si="31"/>
        <v>1</v>
      </c>
      <c r="P85" s="47">
        <f t="shared" si="32"/>
        <v>1</v>
      </c>
      <c r="Q85" s="47">
        <f t="shared" si="33"/>
        <v>415.4</v>
      </c>
      <c r="R85" s="47">
        <f t="shared" si="34"/>
        <v>415.4</v>
      </c>
      <c r="S85" s="47">
        <f t="shared" si="39"/>
        <v>1</v>
      </c>
      <c r="T85" s="47">
        <f t="shared" si="40"/>
        <v>1</v>
      </c>
      <c r="U85" s="47">
        <f t="shared" si="35"/>
        <v>395.1</v>
      </c>
      <c r="V85" s="47">
        <f t="shared" si="36"/>
        <v>395.1</v>
      </c>
      <c r="W85" s="47">
        <f t="shared" si="37"/>
        <v>395.1</v>
      </c>
      <c r="X85" s="47">
        <f t="shared" si="38"/>
        <v>1</v>
      </c>
      <c r="Y85" s="41"/>
      <c r="AI85" s="42" t="s">
        <v>323</v>
      </c>
    </row>
    <row r="86" spans="1:35" x14ac:dyDescent="0.3">
      <c r="A86" s="38" t="s">
        <v>281</v>
      </c>
      <c r="B86" s="36">
        <v>84</v>
      </c>
      <c r="C86" s="61" t="str">
        <f t="shared" ca="1" si="29"/>
        <v>10년~5년 사이</v>
      </c>
      <c r="D86" s="64">
        <v>44186</v>
      </c>
      <c r="E86" s="65">
        <f t="shared" si="30"/>
        <v>2</v>
      </c>
      <c r="F86" s="65" t="s">
        <v>329</v>
      </c>
      <c r="G86" s="66" t="s">
        <v>310</v>
      </c>
      <c r="H86" s="66" t="s">
        <v>98</v>
      </c>
      <c r="I86" s="65" t="s">
        <v>334</v>
      </c>
      <c r="J86" s="41" t="s">
        <v>322</v>
      </c>
      <c r="K86" s="41" t="s">
        <v>323</v>
      </c>
      <c r="L86" s="46">
        <v>1</v>
      </c>
      <c r="M86" s="47">
        <v>415.4</v>
      </c>
      <c r="N86" s="47">
        <v>395.1</v>
      </c>
      <c r="O86" s="47">
        <f t="shared" si="31"/>
        <v>1</v>
      </c>
      <c r="P86" s="47">
        <f t="shared" si="32"/>
        <v>1</v>
      </c>
      <c r="Q86" s="47">
        <f t="shared" si="33"/>
        <v>415.4</v>
      </c>
      <c r="R86" s="47">
        <f t="shared" si="34"/>
        <v>415.4</v>
      </c>
      <c r="S86" s="47">
        <f t="shared" si="39"/>
        <v>1</v>
      </c>
      <c r="T86" s="47">
        <f t="shared" si="40"/>
        <v>1</v>
      </c>
      <c r="U86" s="47">
        <f t="shared" si="35"/>
        <v>395.1</v>
      </c>
      <c r="V86" s="47">
        <f t="shared" si="36"/>
        <v>395.1</v>
      </c>
      <c r="W86" s="47">
        <f t="shared" si="37"/>
        <v>395.1</v>
      </c>
      <c r="X86" s="47">
        <f t="shared" si="38"/>
        <v>1</v>
      </c>
      <c r="Y86" s="41"/>
      <c r="AI86" s="42" t="s">
        <v>323</v>
      </c>
    </row>
    <row r="87" spans="1:35" x14ac:dyDescent="0.3">
      <c r="A87" s="38" t="s">
        <v>281</v>
      </c>
      <c r="B87" s="36">
        <v>85</v>
      </c>
      <c r="C87" s="61" t="str">
        <f t="shared" ca="1" si="29"/>
        <v>10년~5년 사이</v>
      </c>
      <c r="D87" s="64">
        <v>44186</v>
      </c>
      <c r="E87" s="65">
        <f t="shared" si="30"/>
        <v>2</v>
      </c>
      <c r="F87" s="65" t="s">
        <v>329</v>
      </c>
      <c r="G87" s="66" t="s">
        <v>162</v>
      </c>
      <c r="H87" s="66" t="s">
        <v>336</v>
      </c>
      <c r="I87" s="65" t="s">
        <v>334</v>
      </c>
      <c r="J87" s="41" t="s">
        <v>322</v>
      </c>
      <c r="K87" s="41" t="s">
        <v>323</v>
      </c>
      <c r="L87" s="46">
        <v>1</v>
      </c>
      <c r="M87" s="47">
        <v>415.4</v>
      </c>
      <c r="N87" s="47">
        <v>395.1</v>
      </c>
      <c r="O87" s="47">
        <f t="shared" si="31"/>
        <v>1</v>
      </c>
      <c r="P87" s="47">
        <f t="shared" si="32"/>
        <v>1</v>
      </c>
      <c r="Q87" s="47">
        <f t="shared" si="33"/>
        <v>415.4</v>
      </c>
      <c r="R87" s="47">
        <f t="shared" si="34"/>
        <v>415.4</v>
      </c>
      <c r="S87" s="47">
        <f t="shared" si="39"/>
        <v>1</v>
      </c>
      <c r="T87" s="47">
        <f t="shared" si="40"/>
        <v>1</v>
      </c>
      <c r="U87" s="47">
        <f t="shared" si="35"/>
        <v>395.1</v>
      </c>
      <c r="V87" s="47">
        <f t="shared" si="36"/>
        <v>395.1</v>
      </c>
      <c r="W87" s="47">
        <f t="shared" si="37"/>
        <v>395.1</v>
      </c>
      <c r="X87" s="47">
        <f t="shared" si="38"/>
        <v>1</v>
      </c>
      <c r="Y87" s="41"/>
      <c r="AI87" s="42" t="s">
        <v>323</v>
      </c>
    </row>
    <row r="88" spans="1:35" x14ac:dyDescent="0.3">
      <c r="A88" s="38" t="s">
        <v>281</v>
      </c>
      <c r="B88" s="36">
        <v>86</v>
      </c>
      <c r="C88" s="61" t="str">
        <f t="shared" ca="1" si="29"/>
        <v>10년~5년 사이</v>
      </c>
      <c r="D88" s="64">
        <v>44186</v>
      </c>
      <c r="E88" s="65">
        <f t="shared" si="30"/>
        <v>1</v>
      </c>
      <c r="F88" s="65" t="s">
        <v>329</v>
      </c>
      <c r="G88" s="66" t="s">
        <v>299</v>
      </c>
      <c r="H88" s="66" t="s">
        <v>139</v>
      </c>
      <c r="I88" s="65" t="s">
        <v>340</v>
      </c>
      <c r="J88" s="41" t="s">
        <v>322</v>
      </c>
      <c r="K88" s="41" t="s">
        <v>323</v>
      </c>
      <c r="L88" s="46">
        <v>1</v>
      </c>
      <c r="M88" s="47">
        <v>150.30000000000001</v>
      </c>
      <c r="N88" s="47">
        <v>143.9</v>
      </c>
      <c r="O88" s="47">
        <f t="shared" si="31"/>
        <v>1</v>
      </c>
      <c r="P88" s="47" t="str">
        <f t="shared" si="32"/>
        <v/>
      </c>
      <c r="Q88" s="47">
        <f t="shared" si="33"/>
        <v>150.30000000000001</v>
      </c>
      <c r="R88" s="47" t="str">
        <f t="shared" si="34"/>
        <v/>
      </c>
      <c r="S88" s="47">
        <f t="shared" si="39"/>
        <v>1</v>
      </c>
      <c r="T88" s="47" t="str">
        <f t="shared" si="40"/>
        <v/>
      </c>
      <c r="U88" s="47">
        <f t="shared" si="35"/>
        <v>143.9</v>
      </c>
      <c r="V88" s="47" t="str">
        <f t="shared" si="36"/>
        <v/>
      </c>
      <c r="W88" s="47">
        <f t="shared" si="37"/>
        <v>143.9</v>
      </c>
      <c r="X88" s="47">
        <f t="shared" si="38"/>
        <v>1</v>
      </c>
      <c r="Y88" s="41"/>
      <c r="AI88" s="42" t="s">
        <v>323</v>
      </c>
    </row>
    <row r="89" spans="1:35" x14ac:dyDescent="0.3">
      <c r="A89" s="38" t="s">
        <v>281</v>
      </c>
      <c r="B89" s="36">
        <v>87</v>
      </c>
      <c r="C89" s="61" t="str">
        <f t="shared" ca="1" si="29"/>
        <v>10년~5년 사이</v>
      </c>
      <c r="D89" s="64">
        <v>44186</v>
      </c>
      <c r="E89" s="65">
        <f t="shared" si="30"/>
        <v>1</v>
      </c>
      <c r="F89" s="65" t="s">
        <v>329</v>
      </c>
      <c r="G89" s="66" t="s">
        <v>285</v>
      </c>
      <c r="H89" s="66" t="s">
        <v>341</v>
      </c>
      <c r="I89" s="65" t="s">
        <v>340</v>
      </c>
      <c r="J89" s="41" t="s">
        <v>322</v>
      </c>
      <c r="K89" s="41" t="s">
        <v>323</v>
      </c>
      <c r="L89" s="46">
        <v>1</v>
      </c>
      <c r="M89" s="47">
        <v>150.30000000000001</v>
      </c>
      <c r="N89" s="47">
        <v>143.9</v>
      </c>
      <c r="O89" s="47">
        <f t="shared" si="31"/>
        <v>1</v>
      </c>
      <c r="P89" s="47" t="str">
        <f t="shared" si="32"/>
        <v/>
      </c>
      <c r="Q89" s="47">
        <f t="shared" si="33"/>
        <v>150.30000000000001</v>
      </c>
      <c r="R89" s="47" t="str">
        <f t="shared" si="34"/>
        <v/>
      </c>
      <c r="S89" s="47">
        <f t="shared" si="39"/>
        <v>1</v>
      </c>
      <c r="T89" s="47" t="str">
        <f t="shared" si="40"/>
        <v/>
      </c>
      <c r="U89" s="47">
        <f t="shared" si="35"/>
        <v>143.9</v>
      </c>
      <c r="V89" s="47" t="str">
        <f t="shared" si="36"/>
        <v/>
      </c>
      <c r="W89" s="47">
        <f t="shared" si="37"/>
        <v>143.9</v>
      </c>
      <c r="X89" s="47">
        <f t="shared" si="38"/>
        <v>1</v>
      </c>
      <c r="Y89" s="41"/>
      <c r="AI89" s="42" t="s">
        <v>323</v>
      </c>
    </row>
    <row r="90" spans="1:35" x14ac:dyDescent="0.3">
      <c r="A90" s="38" t="s">
        <v>281</v>
      </c>
      <c r="B90" s="36">
        <v>88</v>
      </c>
      <c r="C90" s="61" t="str">
        <f t="shared" ca="1" si="29"/>
        <v>10년~5년 사이</v>
      </c>
      <c r="D90" s="64">
        <v>44186</v>
      </c>
      <c r="E90" s="65">
        <f t="shared" si="30"/>
        <v>1</v>
      </c>
      <c r="F90" s="65" t="s">
        <v>329</v>
      </c>
      <c r="G90" s="66" t="s">
        <v>97</v>
      </c>
      <c r="H90" s="66" t="s">
        <v>311</v>
      </c>
      <c r="I90" s="65" t="s">
        <v>340</v>
      </c>
      <c r="J90" s="41" t="s">
        <v>322</v>
      </c>
      <c r="K90" s="41" t="s">
        <v>323</v>
      </c>
      <c r="L90" s="46">
        <v>1</v>
      </c>
      <c r="M90" s="47">
        <v>150.30000000000001</v>
      </c>
      <c r="N90" s="47">
        <v>143.9</v>
      </c>
      <c r="O90" s="47">
        <f t="shared" si="31"/>
        <v>1</v>
      </c>
      <c r="P90" s="47" t="str">
        <f t="shared" si="32"/>
        <v/>
      </c>
      <c r="Q90" s="47">
        <f t="shared" si="33"/>
        <v>150.30000000000001</v>
      </c>
      <c r="R90" s="47" t="str">
        <f t="shared" si="34"/>
        <v/>
      </c>
      <c r="S90" s="47">
        <f t="shared" si="39"/>
        <v>1</v>
      </c>
      <c r="T90" s="47" t="str">
        <f t="shared" si="40"/>
        <v/>
      </c>
      <c r="U90" s="47">
        <f t="shared" si="35"/>
        <v>143.9</v>
      </c>
      <c r="V90" s="47" t="str">
        <f t="shared" si="36"/>
        <v/>
      </c>
      <c r="W90" s="47">
        <f t="shared" si="37"/>
        <v>143.9</v>
      </c>
      <c r="X90" s="47">
        <f t="shared" si="38"/>
        <v>1</v>
      </c>
      <c r="Y90" s="41"/>
      <c r="AI90" s="42" t="s">
        <v>323</v>
      </c>
    </row>
    <row r="91" spans="1:35" x14ac:dyDescent="0.3">
      <c r="A91" s="38" t="s">
        <v>281</v>
      </c>
      <c r="B91" s="36">
        <v>89</v>
      </c>
      <c r="C91" s="61" t="str">
        <f t="shared" ca="1" si="29"/>
        <v>10년~5년 사이</v>
      </c>
      <c r="D91" s="64">
        <v>44187</v>
      </c>
      <c r="E91" s="65">
        <f t="shared" si="30"/>
        <v>2</v>
      </c>
      <c r="F91" s="65" t="s">
        <v>329</v>
      </c>
      <c r="G91" s="66" t="s">
        <v>10</v>
      </c>
      <c r="H91" s="67" t="s">
        <v>48</v>
      </c>
      <c r="I91" s="65" t="s">
        <v>361</v>
      </c>
      <c r="J91" s="41" t="s">
        <v>322</v>
      </c>
      <c r="K91" s="41" t="s">
        <v>323</v>
      </c>
      <c r="L91" s="46">
        <v>1</v>
      </c>
      <c r="M91" s="47">
        <v>659.3</v>
      </c>
      <c r="N91" s="47">
        <v>339.9</v>
      </c>
      <c r="O91" s="47">
        <f t="shared" si="31"/>
        <v>1</v>
      </c>
      <c r="P91" s="47">
        <f t="shared" si="32"/>
        <v>1</v>
      </c>
      <c r="Q91" s="47">
        <f t="shared" si="33"/>
        <v>659.3</v>
      </c>
      <c r="R91" s="47">
        <f t="shared" si="34"/>
        <v>659.3</v>
      </c>
      <c r="S91" s="47">
        <f t="shared" si="39"/>
        <v>1</v>
      </c>
      <c r="T91" s="47">
        <f t="shared" si="40"/>
        <v>1</v>
      </c>
      <c r="U91" s="47">
        <f t="shared" si="35"/>
        <v>339.9</v>
      </c>
      <c r="V91" s="47">
        <f t="shared" si="36"/>
        <v>339.9</v>
      </c>
      <c r="W91" s="47">
        <f t="shared" si="37"/>
        <v>339.9</v>
      </c>
      <c r="X91" s="47">
        <f t="shared" si="38"/>
        <v>1</v>
      </c>
      <c r="Y91" s="41"/>
      <c r="AI91" s="42" t="s">
        <v>323</v>
      </c>
    </row>
    <row r="92" spans="1:35" x14ac:dyDescent="0.3">
      <c r="A92" s="38" t="s">
        <v>281</v>
      </c>
      <c r="B92" s="36">
        <v>90</v>
      </c>
      <c r="C92" s="61" t="str">
        <f t="shared" ca="1" si="29"/>
        <v>10년~5년 사이</v>
      </c>
      <c r="D92" s="64">
        <v>44187</v>
      </c>
      <c r="E92" s="65">
        <f t="shared" si="30"/>
        <v>2</v>
      </c>
      <c r="F92" s="65" t="s">
        <v>329</v>
      </c>
      <c r="G92" s="66" t="s">
        <v>97</v>
      </c>
      <c r="H92" s="66" t="s">
        <v>98</v>
      </c>
      <c r="I92" s="65" t="s">
        <v>361</v>
      </c>
      <c r="J92" s="41" t="s">
        <v>322</v>
      </c>
      <c r="K92" s="41" t="s">
        <v>323</v>
      </c>
      <c r="L92" s="46">
        <v>1</v>
      </c>
      <c r="M92" s="47">
        <v>659.3</v>
      </c>
      <c r="N92" s="47">
        <v>339.9</v>
      </c>
      <c r="O92" s="47">
        <f t="shared" si="31"/>
        <v>1</v>
      </c>
      <c r="P92" s="47">
        <f t="shared" si="32"/>
        <v>1</v>
      </c>
      <c r="Q92" s="47">
        <f t="shared" si="33"/>
        <v>659.3</v>
      </c>
      <c r="R92" s="47">
        <f t="shared" si="34"/>
        <v>659.3</v>
      </c>
      <c r="S92" s="47">
        <f t="shared" si="39"/>
        <v>1</v>
      </c>
      <c r="T92" s="47">
        <f t="shared" si="40"/>
        <v>1</v>
      </c>
      <c r="U92" s="47">
        <f t="shared" si="35"/>
        <v>339.9</v>
      </c>
      <c r="V92" s="47">
        <f t="shared" si="36"/>
        <v>339.9</v>
      </c>
      <c r="W92" s="47">
        <f t="shared" si="37"/>
        <v>339.9</v>
      </c>
      <c r="X92" s="47">
        <f t="shared" si="38"/>
        <v>1</v>
      </c>
      <c r="Y92" s="41"/>
      <c r="AI92" s="42" t="s">
        <v>323</v>
      </c>
    </row>
    <row r="93" spans="1:35" x14ac:dyDescent="0.3">
      <c r="A93" s="38" t="s">
        <v>281</v>
      </c>
      <c r="B93" s="36">
        <v>91</v>
      </c>
      <c r="C93" s="61" t="str">
        <f t="shared" ca="1" si="29"/>
        <v>5년 이내</v>
      </c>
      <c r="D93" s="64">
        <v>44402</v>
      </c>
      <c r="E93" s="65">
        <f t="shared" si="30"/>
        <v>2</v>
      </c>
      <c r="F93" s="65" t="s">
        <v>329</v>
      </c>
      <c r="G93" s="66" t="s">
        <v>17</v>
      </c>
      <c r="H93" s="80" t="s">
        <v>137</v>
      </c>
      <c r="I93" s="65" t="s">
        <v>344</v>
      </c>
      <c r="J93" s="41" t="s">
        <v>322</v>
      </c>
      <c r="K93" s="41" t="s">
        <v>323</v>
      </c>
      <c r="L93" s="46">
        <v>1</v>
      </c>
      <c r="M93" s="47">
        <v>394.5</v>
      </c>
      <c r="N93" s="47">
        <v>394.5</v>
      </c>
      <c r="O93" s="47">
        <f t="shared" si="31"/>
        <v>1</v>
      </c>
      <c r="P93" s="47">
        <f t="shared" si="32"/>
        <v>1</v>
      </c>
      <c r="Q93" s="47">
        <f t="shared" si="33"/>
        <v>394.5</v>
      </c>
      <c r="R93" s="47">
        <f t="shared" si="34"/>
        <v>394.5</v>
      </c>
      <c r="S93" s="47">
        <f t="shared" si="39"/>
        <v>1</v>
      </c>
      <c r="T93" s="47">
        <f t="shared" si="40"/>
        <v>1</v>
      </c>
      <c r="U93" s="47">
        <f t="shared" si="35"/>
        <v>394.5</v>
      </c>
      <c r="V93" s="47">
        <f t="shared" si="36"/>
        <v>394.5</v>
      </c>
      <c r="W93" s="47">
        <f t="shared" si="37"/>
        <v>394.5</v>
      </c>
      <c r="X93" s="47">
        <f t="shared" si="38"/>
        <v>1</v>
      </c>
      <c r="Y93" s="41"/>
      <c r="AI93" s="42" t="s">
        <v>323</v>
      </c>
    </row>
    <row r="94" spans="1:35" x14ac:dyDescent="0.3">
      <c r="A94" s="38" t="s">
        <v>281</v>
      </c>
      <c r="B94" s="36">
        <v>92</v>
      </c>
      <c r="C94" s="61" t="str">
        <f t="shared" ca="1" si="29"/>
        <v>5년 이내</v>
      </c>
      <c r="D94" s="64">
        <v>44402</v>
      </c>
      <c r="E94" s="65">
        <f t="shared" si="30"/>
        <v>2</v>
      </c>
      <c r="F94" s="65" t="s">
        <v>329</v>
      </c>
      <c r="G94" s="66" t="s">
        <v>97</v>
      </c>
      <c r="H94" s="66" t="s">
        <v>98</v>
      </c>
      <c r="I94" s="65" t="s">
        <v>344</v>
      </c>
      <c r="J94" s="41" t="s">
        <v>322</v>
      </c>
      <c r="K94" s="41" t="s">
        <v>323</v>
      </c>
      <c r="L94" s="46">
        <v>1</v>
      </c>
      <c r="M94" s="47">
        <v>394.5</v>
      </c>
      <c r="N94" s="47">
        <v>394.5</v>
      </c>
      <c r="O94" s="47">
        <f t="shared" si="31"/>
        <v>1</v>
      </c>
      <c r="P94" s="47">
        <f t="shared" si="32"/>
        <v>1</v>
      </c>
      <c r="Q94" s="47">
        <f t="shared" si="33"/>
        <v>394.5</v>
      </c>
      <c r="R94" s="47">
        <f t="shared" si="34"/>
        <v>394.5</v>
      </c>
      <c r="S94" s="47">
        <f t="shared" si="39"/>
        <v>1</v>
      </c>
      <c r="T94" s="47">
        <f t="shared" si="40"/>
        <v>1</v>
      </c>
      <c r="U94" s="47">
        <f t="shared" si="35"/>
        <v>394.5</v>
      </c>
      <c r="V94" s="47">
        <f t="shared" si="36"/>
        <v>394.5</v>
      </c>
      <c r="W94" s="47">
        <f t="shared" si="37"/>
        <v>394.5</v>
      </c>
      <c r="X94" s="47">
        <f t="shared" si="38"/>
        <v>1</v>
      </c>
      <c r="Y94" s="41"/>
      <c r="AI94" s="42" t="s">
        <v>323</v>
      </c>
    </row>
    <row r="95" spans="1:35" x14ac:dyDescent="0.3">
      <c r="A95" s="38" t="s">
        <v>281</v>
      </c>
      <c r="B95" s="36">
        <v>93</v>
      </c>
      <c r="C95" s="61" t="str">
        <f t="shared" ca="1" si="29"/>
        <v>5년 이내</v>
      </c>
      <c r="D95" s="64">
        <v>44474</v>
      </c>
      <c r="E95" s="65">
        <f t="shared" si="30"/>
        <v>1</v>
      </c>
      <c r="F95" s="8" t="s">
        <v>1</v>
      </c>
      <c r="G95" s="66" t="s">
        <v>97</v>
      </c>
      <c r="H95" s="66" t="s">
        <v>98</v>
      </c>
      <c r="I95" s="65" t="s">
        <v>321</v>
      </c>
      <c r="J95" s="41" t="s">
        <v>322</v>
      </c>
      <c r="K95" s="41" t="s">
        <v>323</v>
      </c>
      <c r="L95" s="46">
        <v>1</v>
      </c>
      <c r="M95" s="47">
        <v>264.2</v>
      </c>
      <c r="N95" s="47">
        <v>190</v>
      </c>
      <c r="O95" s="47">
        <f t="shared" si="31"/>
        <v>1</v>
      </c>
      <c r="P95" s="47">
        <f t="shared" si="32"/>
        <v>1</v>
      </c>
      <c r="Q95" s="47">
        <f t="shared" si="33"/>
        <v>264.2</v>
      </c>
      <c r="R95" s="47">
        <f t="shared" si="34"/>
        <v>264.2</v>
      </c>
      <c r="S95" s="47">
        <f t="shared" si="39"/>
        <v>1</v>
      </c>
      <c r="T95" s="47" t="str">
        <f t="shared" si="40"/>
        <v/>
      </c>
      <c r="U95" s="47">
        <f t="shared" si="35"/>
        <v>190</v>
      </c>
      <c r="V95" s="47" t="str">
        <f t="shared" si="36"/>
        <v/>
      </c>
      <c r="W95" s="47">
        <f t="shared" si="37"/>
        <v>190</v>
      </c>
      <c r="X95" s="47">
        <f t="shared" si="38"/>
        <v>1</v>
      </c>
      <c r="Y95" s="41"/>
      <c r="AI95" s="42" t="s">
        <v>323</v>
      </c>
    </row>
    <row r="96" spans="1:35" x14ac:dyDescent="0.3">
      <c r="A96" s="38" t="s">
        <v>281</v>
      </c>
      <c r="B96" s="36">
        <v>94</v>
      </c>
      <c r="C96" s="61" t="str">
        <f t="shared" ca="1" si="29"/>
        <v>5년 이내</v>
      </c>
      <c r="D96" s="64">
        <v>44474</v>
      </c>
      <c r="E96" s="65">
        <f t="shared" si="30"/>
        <v>1</v>
      </c>
      <c r="F96" s="8" t="s">
        <v>1</v>
      </c>
      <c r="G96" s="66" t="s">
        <v>324</v>
      </c>
      <c r="H96" s="66" t="s">
        <v>325</v>
      </c>
      <c r="I96" s="65" t="s">
        <v>321</v>
      </c>
      <c r="J96" s="41" t="s">
        <v>322</v>
      </c>
      <c r="K96" s="41" t="s">
        <v>323</v>
      </c>
      <c r="L96" s="46">
        <v>1</v>
      </c>
      <c r="M96" s="47">
        <v>264.2</v>
      </c>
      <c r="N96" s="47">
        <v>190</v>
      </c>
      <c r="O96" s="47">
        <f t="shared" si="31"/>
        <v>1</v>
      </c>
      <c r="P96" s="47">
        <f t="shared" si="32"/>
        <v>1</v>
      </c>
      <c r="Q96" s="47">
        <f t="shared" si="33"/>
        <v>264.2</v>
      </c>
      <c r="R96" s="47">
        <f t="shared" si="34"/>
        <v>264.2</v>
      </c>
      <c r="S96" s="47">
        <f t="shared" si="39"/>
        <v>1</v>
      </c>
      <c r="T96" s="47" t="str">
        <f t="shared" si="40"/>
        <v/>
      </c>
      <c r="U96" s="47">
        <f t="shared" si="35"/>
        <v>190</v>
      </c>
      <c r="V96" s="47" t="str">
        <f t="shared" si="36"/>
        <v/>
      </c>
      <c r="W96" s="47">
        <f t="shared" si="37"/>
        <v>190</v>
      </c>
      <c r="X96" s="47">
        <f t="shared" si="38"/>
        <v>1</v>
      </c>
      <c r="Y96" s="41"/>
      <c r="AI96" s="42" t="s">
        <v>323</v>
      </c>
    </row>
    <row r="97" spans="1:35" x14ac:dyDescent="0.3">
      <c r="A97" s="38" t="s">
        <v>281</v>
      </c>
      <c r="B97" s="36">
        <v>95</v>
      </c>
      <c r="C97" s="61" t="str">
        <f t="shared" ca="1" si="29"/>
        <v>5년 이내</v>
      </c>
      <c r="D97" s="64">
        <v>44474</v>
      </c>
      <c r="E97" s="65">
        <f t="shared" si="30"/>
        <v>1</v>
      </c>
      <c r="F97" s="8" t="s">
        <v>1</v>
      </c>
      <c r="G97" s="66" t="s">
        <v>326</v>
      </c>
      <c r="H97" s="66" t="s">
        <v>327</v>
      </c>
      <c r="I97" s="65" t="s">
        <v>321</v>
      </c>
      <c r="J97" s="41" t="s">
        <v>322</v>
      </c>
      <c r="K97" s="41" t="s">
        <v>323</v>
      </c>
      <c r="L97" s="46">
        <v>1</v>
      </c>
      <c r="M97" s="47">
        <v>264.2</v>
      </c>
      <c r="N97" s="47">
        <v>190</v>
      </c>
      <c r="O97" s="47">
        <f t="shared" si="31"/>
        <v>1</v>
      </c>
      <c r="P97" s="47">
        <f t="shared" si="32"/>
        <v>1</v>
      </c>
      <c r="Q97" s="47">
        <f t="shared" si="33"/>
        <v>264.2</v>
      </c>
      <c r="R97" s="47">
        <f t="shared" si="34"/>
        <v>264.2</v>
      </c>
      <c r="S97" s="47">
        <f t="shared" si="39"/>
        <v>1</v>
      </c>
      <c r="T97" s="47" t="str">
        <f t="shared" si="40"/>
        <v/>
      </c>
      <c r="U97" s="47">
        <f t="shared" si="35"/>
        <v>190</v>
      </c>
      <c r="V97" s="47" t="str">
        <f t="shared" si="36"/>
        <v/>
      </c>
      <c r="W97" s="47">
        <f t="shared" si="37"/>
        <v>190</v>
      </c>
      <c r="X97" s="47">
        <f t="shared" si="38"/>
        <v>1</v>
      </c>
      <c r="Y97" s="41"/>
      <c r="AI97" s="42" t="s">
        <v>323</v>
      </c>
    </row>
    <row r="98" spans="1:35" x14ac:dyDescent="0.3">
      <c r="A98" s="38" t="s">
        <v>281</v>
      </c>
      <c r="B98" s="36">
        <v>96</v>
      </c>
      <c r="C98" s="61" t="str">
        <f t="shared" ca="1" si="29"/>
        <v>5년 이내</v>
      </c>
      <c r="D98" s="64">
        <v>44518</v>
      </c>
      <c r="E98" s="65">
        <f t="shared" si="30"/>
        <v>2</v>
      </c>
      <c r="F98" s="65" t="s">
        <v>329</v>
      </c>
      <c r="G98" s="66" t="s">
        <v>17</v>
      </c>
      <c r="H98" s="66" t="s">
        <v>447</v>
      </c>
      <c r="I98" s="65" t="s">
        <v>355</v>
      </c>
      <c r="J98" s="41" t="s">
        <v>322</v>
      </c>
      <c r="K98" s="41" t="s">
        <v>323</v>
      </c>
      <c r="L98" s="46">
        <v>1</v>
      </c>
      <c r="M98" s="47">
        <v>817.1</v>
      </c>
      <c r="N98" s="47">
        <v>531.1</v>
      </c>
      <c r="O98" s="47">
        <f t="shared" si="31"/>
        <v>1</v>
      </c>
      <c r="P98" s="47">
        <f t="shared" si="32"/>
        <v>1</v>
      </c>
      <c r="Q98" s="47">
        <f t="shared" si="33"/>
        <v>817.1</v>
      </c>
      <c r="R98" s="47">
        <f t="shared" si="34"/>
        <v>817.1</v>
      </c>
      <c r="S98" s="47">
        <f t="shared" si="39"/>
        <v>1</v>
      </c>
      <c r="T98" s="47">
        <f t="shared" si="40"/>
        <v>1</v>
      </c>
      <c r="U98" s="47">
        <f t="shared" si="35"/>
        <v>531.1</v>
      </c>
      <c r="V98" s="47">
        <f t="shared" si="36"/>
        <v>531.1</v>
      </c>
      <c r="W98" s="47">
        <f t="shared" si="37"/>
        <v>531.1</v>
      </c>
      <c r="X98" s="47">
        <f t="shared" si="38"/>
        <v>1</v>
      </c>
      <c r="Y98" s="41"/>
      <c r="AI98" s="42" t="s">
        <v>323</v>
      </c>
    </row>
    <row r="99" spans="1:35" x14ac:dyDescent="0.3">
      <c r="A99" s="38" t="s">
        <v>281</v>
      </c>
      <c r="B99" s="36">
        <v>97</v>
      </c>
      <c r="C99" s="61" t="str">
        <f t="shared" ca="1" si="29"/>
        <v>5년 이내</v>
      </c>
      <c r="D99" s="64">
        <v>44518</v>
      </c>
      <c r="E99" s="65">
        <f t="shared" si="30"/>
        <v>2</v>
      </c>
      <c r="F99" s="65" t="s">
        <v>329</v>
      </c>
      <c r="G99" s="66" t="s">
        <v>39</v>
      </c>
      <c r="H99" s="66" t="s">
        <v>357</v>
      </c>
      <c r="I99" s="65" t="s">
        <v>355</v>
      </c>
      <c r="J99" s="41" t="s">
        <v>322</v>
      </c>
      <c r="K99" s="41" t="s">
        <v>323</v>
      </c>
      <c r="L99" s="46">
        <v>1</v>
      </c>
      <c r="M99" s="47">
        <v>817.1</v>
      </c>
      <c r="N99" s="47">
        <v>531.1</v>
      </c>
      <c r="O99" s="47">
        <f t="shared" si="31"/>
        <v>1</v>
      </c>
      <c r="P99" s="47">
        <f t="shared" si="32"/>
        <v>1</v>
      </c>
      <c r="Q99" s="47">
        <f t="shared" si="33"/>
        <v>817.1</v>
      </c>
      <c r="R99" s="47">
        <f t="shared" si="34"/>
        <v>817.1</v>
      </c>
      <c r="S99" s="47">
        <f t="shared" si="39"/>
        <v>1</v>
      </c>
      <c r="T99" s="47">
        <f t="shared" si="40"/>
        <v>1</v>
      </c>
      <c r="U99" s="47">
        <f t="shared" si="35"/>
        <v>531.1</v>
      </c>
      <c r="V99" s="47">
        <f t="shared" si="36"/>
        <v>531.1</v>
      </c>
      <c r="W99" s="47">
        <f t="shared" si="37"/>
        <v>531.1</v>
      </c>
      <c r="X99" s="47">
        <f t="shared" si="38"/>
        <v>1</v>
      </c>
      <c r="Y99" s="41"/>
      <c r="AI99" s="42" t="s">
        <v>323</v>
      </c>
    </row>
    <row r="100" spans="1:35" x14ac:dyDescent="0.3">
      <c r="A100" s="38" t="s">
        <v>281</v>
      </c>
      <c r="B100" s="36">
        <v>98</v>
      </c>
      <c r="C100" s="61" t="str">
        <f t="shared" ca="1" si="29"/>
        <v>5년 이내</v>
      </c>
      <c r="D100" s="64">
        <v>44518</v>
      </c>
      <c r="E100" s="65">
        <f t="shared" si="30"/>
        <v>2</v>
      </c>
      <c r="F100" s="65" t="s">
        <v>329</v>
      </c>
      <c r="G100" s="66" t="s">
        <v>292</v>
      </c>
      <c r="H100" s="66" t="s">
        <v>358</v>
      </c>
      <c r="I100" s="65" t="s">
        <v>355</v>
      </c>
      <c r="J100" s="41" t="s">
        <v>322</v>
      </c>
      <c r="K100" s="41" t="s">
        <v>323</v>
      </c>
      <c r="L100" s="46">
        <v>1</v>
      </c>
      <c r="M100" s="47">
        <v>817.1</v>
      </c>
      <c r="N100" s="47">
        <v>531.1</v>
      </c>
      <c r="O100" s="47">
        <f t="shared" si="31"/>
        <v>1</v>
      </c>
      <c r="P100" s="47">
        <f t="shared" si="32"/>
        <v>1</v>
      </c>
      <c r="Q100" s="47">
        <f t="shared" si="33"/>
        <v>817.1</v>
      </c>
      <c r="R100" s="47">
        <f t="shared" si="34"/>
        <v>817.1</v>
      </c>
      <c r="S100" s="47">
        <f t="shared" si="39"/>
        <v>1</v>
      </c>
      <c r="T100" s="47">
        <f t="shared" si="40"/>
        <v>1</v>
      </c>
      <c r="U100" s="47">
        <f t="shared" si="35"/>
        <v>531.1</v>
      </c>
      <c r="V100" s="47">
        <f t="shared" si="36"/>
        <v>531.1</v>
      </c>
      <c r="W100" s="47">
        <f t="shared" si="37"/>
        <v>531.1</v>
      </c>
      <c r="X100" s="47">
        <f t="shared" si="38"/>
        <v>1</v>
      </c>
      <c r="Y100" s="41"/>
      <c r="AI100" s="42" t="s">
        <v>323</v>
      </c>
    </row>
    <row r="101" spans="1:35" x14ac:dyDescent="0.3">
      <c r="A101" s="38" t="s">
        <v>281</v>
      </c>
      <c r="B101" s="36">
        <v>99</v>
      </c>
      <c r="C101" s="61" t="str">
        <f t="shared" ref="C101:C126" ca="1" si="41">IF(TODAY()-10*365&gt;D101,"10년 초과",IF(TODAY()-5*365&gt;D101,"10년~5년 사이","5년 이내"))</f>
        <v>5년 이내</v>
      </c>
      <c r="D101" s="64">
        <v>44518</v>
      </c>
      <c r="E101" s="65">
        <f t="shared" ref="E101:E126" si="42">IF((N101&gt;200),2,IF(N101&gt;100,1,IF((N101&lt;99.9),"")))</f>
        <v>2</v>
      </c>
      <c r="F101" s="65" t="s">
        <v>329</v>
      </c>
      <c r="G101" s="66" t="s">
        <v>208</v>
      </c>
      <c r="H101" s="66" t="s">
        <v>359</v>
      </c>
      <c r="I101" s="65" t="s">
        <v>355</v>
      </c>
      <c r="J101" s="41" t="s">
        <v>322</v>
      </c>
      <c r="K101" s="41" t="s">
        <v>323</v>
      </c>
      <c r="L101" s="46">
        <v>1</v>
      </c>
      <c r="M101" s="47">
        <v>817.1</v>
      </c>
      <c r="N101" s="47">
        <v>531.1</v>
      </c>
      <c r="O101" s="47">
        <f t="shared" si="31"/>
        <v>1</v>
      </c>
      <c r="P101" s="47">
        <f t="shared" si="32"/>
        <v>1</v>
      </c>
      <c r="Q101" s="47">
        <f t="shared" si="33"/>
        <v>817.1</v>
      </c>
      <c r="R101" s="47">
        <f t="shared" si="34"/>
        <v>817.1</v>
      </c>
      <c r="S101" s="47">
        <f t="shared" si="39"/>
        <v>1</v>
      </c>
      <c r="T101" s="47">
        <f t="shared" si="40"/>
        <v>1</v>
      </c>
      <c r="U101" s="47">
        <f t="shared" si="35"/>
        <v>531.1</v>
      </c>
      <c r="V101" s="47">
        <f t="shared" si="36"/>
        <v>531.1</v>
      </c>
      <c r="W101" s="47">
        <f t="shared" ref="W101:W126" si="43">N101</f>
        <v>531.1</v>
      </c>
      <c r="X101" s="47">
        <f t="shared" ref="X101:X126" si="44">IF(W101&gt;0,L101,"")</f>
        <v>1</v>
      </c>
      <c r="Y101" s="41"/>
      <c r="AI101" s="42" t="s">
        <v>323</v>
      </c>
    </row>
    <row r="102" spans="1:35" x14ac:dyDescent="0.3">
      <c r="A102" s="38" t="s">
        <v>281</v>
      </c>
      <c r="B102" s="36">
        <v>100</v>
      </c>
      <c r="C102" s="61" t="str">
        <f t="shared" ca="1" si="41"/>
        <v>5년 이내</v>
      </c>
      <c r="D102" s="64">
        <v>44518</v>
      </c>
      <c r="E102" s="65">
        <f t="shared" si="42"/>
        <v>2</v>
      </c>
      <c r="F102" s="65" t="s">
        <v>329</v>
      </c>
      <c r="G102" s="66" t="s">
        <v>97</v>
      </c>
      <c r="H102" s="66" t="s">
        <v>98</v>
      </c>
      <c r="I102" s="65" t="s">
        <v>355</v>
      </c>
      <c r="J102" s="41" t="s">
        <v>322</v>
      </c>
      <c r="K102" s="41" t="s">
        <v>323</v>
      </c>
      <c r="L102" s="46">
        <v>1</v>
      </c>
      <c r="M102" s="47">
        <v>817.1</v>
      </c>
      <c r="N102" s="47">
        <v>531.1</v>
      </c>
      <c r="O102" s="47">
        <f t="shared" si="31"/>
        <v>1</v>
      </c>
      <c r="P102" s="47">
        <f t="shared" si="32"/>
        <v>1</v>
      </c>
      <c r="Q102" s="47">
        <f t="shared" si="33"/>
        <v>817.1</v>
      </c>
      <c r="R102" s="47">
        <f t="shared" si="34"/>
        <v>817.1</v>
      </c>
      <c r="S102" s="47">
        <f t="shared" si="39"/>
        <v>1</v>
      </c>
      <c r="T102" s="47">
        <f t="shared" si="40"/>
        <v>1</v>
      </c>
      <c r="U102" s="47">
        <f t="shared" si="35"/>
        <v>531.1</v>
      </c>
      <c r="V102" s="47">
        <f t="shared" si="36"/>
        <v>531.1</v>
      </c>
      <c r="W102" s="47">
        <f t="shared" si="43"/>
        <v>531.1</v>
      </c>
      <c r="X102" s="47">
        <f t="shared" si="44"/>
        <v>1</v>
      </c>
      <c r="Y102" s="41"/>
      <c r="AI102" s="42" t="s">
        <v>323</v>
      </c>
    </row>
    <row r="103" spans="1:35" x14ac:dyDescent="0.3">
      <c r="A103" s="38" t="s">
        <v>281</v>
      </c>
      <c r="B103" s="36">
        <v>101</v>
      </c>
      <c r="C103" s="61" t="str">
        <f t="shared" ca="1" si="41"/>
        <v>5년 이내</v>
      </c>
      <c r="D103" s="64">
        <v>44518</v>
      </c>
      <c r="E103" s="65">
        <f t="shared" si="42"/>
        <v>2</v>
      </c>
      <c r="F103" s="65" t="s">
        <v>329</v>
      </c>
      <c r="G103" s="66" t="s">
        <v>356</v>
      </c>
      <c r="H103" s="66" t="s">
        <v>360</v>
      </c>
      <c r="I103" s="65" t="s">
        <v>355</v>
      </c>
      <c r="J103" s="41" t="s">
        <v>322</v>
      </c>
      <c r="K103" s="41" t="s">
        <v>323</v>
      </c>
      <c r="L103" s="46">
        <v>1</v>
      </c>
      <c r="M103" s="47">
        <v>817.1</v>
      </c>
      <c r="N103" s="47">
        <v>531.1</v>
      </c>
      <c r="O103" s="47">
        <f t="shared" si="31"/>
        <v>1</v>
      </c>
      <c r="P103" s="47">
        <f t="shared" si="32"/>
        <v>1</v>
      </c>
      <c r="Q103" s="47">
        <f t="shared" si="33"/>
        <v>817.1</v>
      </c>
      <c r="R103" s="47">
        <f t="shared" si="34"/>
        <v>817.1</v>
      </c>
      <c r="S103" s="47">
        <f t="shared" si="39"/>
        <v>1</v>
      </c>
      <c r="T103" s="47">
        <f t="shared" si="40"/>
        <v>1</v>
      </c>
      <c r="U103" s="47">
        <f t="shared" si="35"/>
        <v>531.1</v>
      </c>
      <c r="V103" s="47">
        <f t="shared" si="36"/>
        <v>531.1</v>
      </c>
      <c r="W103" s="47">
        <f t="shared" si="43"/>
        <v>531.1</v>
      </c>
      <c r="X103" s="47">
        <f t="shared" si="44"/>
        <v>1</v>
      </c>
      <c r="Y103" s="41"/>
      <c r="AI103" s="42" t="s">
        <v>323</v>
      </c>
    </row>
    <row r="104" spans="1:35" x14ac:dyDescent="0.3">
      <c r="A104" s="38" t="s">
        <v>281</v>
      </c>
      <c r="B104" s="36">
        <v>102</v>
      </c>
      <c r="C104" s="61" t="str">
        <f t="shared" ca="1" si="41"/>
        <v>5년 이내</v>
      </c>
      <c r="D104" s="64">
        <v>44547</v>
      </c>
      <c r="E104" s="65">
        <f t="shared" si="42"/>
        <v>1</v>
      </c>
      <c r="F104" s="65" t="s">
        <v>329</v>
      </c>
      <c r="G104" s="66" t="s">
        <v>68</v>
      </c>
      <c r="H104" s="66" t="s">
        <v>365</v>
      </c>
      <c r="I104" s="65" t="s">
        <v>364</v>
      </c>
      <c r="J104" s="41" t="s">
        <v>322</v>
      </c>
      <c r="K104" s="41" t="s">
        <v>323</v>
      </c>
      <c r="L104" s="46">
        <v>1</v>
      </c>
      <c r="M104" s="47">
        <v>340.9</v>
      </c>
      <c r="N104" s="47">
        <v>195</v>
      </c>
      <c r="O104" s="47">
        <f t="shared" si="31"/>
        <v>1</v>
      </c>
      <c r="P104" s="47">
        <f t="shared" si="32"/>
        <v>1</v>
      </c>
      <c r="Q104" s="47">
        <f t="shared" si="33"/>
        <v>340.9</v>
      </c>
      <c r="R104" s="47">
        <f t="shared" si="34"/>
        <v>340.9</v>
      </c>
      <c r="S104" s="47">
        <f t="shared" si="39"/>
        <v>1</v>
      </c>
      <c r="T104" s="47" t="str">
        <f t="shared" si="40"/>
        <v/>
      </c>
      <c r="U104" s="47">
        <f t="shared" si="35"/>
        <v>195</v>
      </c>
      <c r="V104" s="47" t="str">
        <f t="shared" si="36"/>
        <v/>
      </c>
      <c r="W104" s="47">
        <f t="shared" si="43"/>
        <v>195</v>
      </c>
      <c r="X104" s="47">
        <f t="shared" si="44"/>
        <v>1</v>
      </c>
      <c r="Y104" s="41"/>
      <c r="AI104" s="42" t="s">
        <v>323</v>
      </c>
    </row>
    <row r="105" spans="1:35" x14ac:dyDescent="0.3">
      <c r="A105" s="38" t="s">
        <v>281</v>
      </c>
      <c r="B105" s="36">
        <v>103</v>
      </c>
      <c r="C105" s="61" t="str">
        <f t="shared" ca="1" si="41"/>
        <v>5년 이내</v>
      </c>
      <c r="D105" s="64">
        <v>44547</v>
      </c>
      <c r="E105" s="65">
        <f t="shared" si="42"/>
        <v>1</v>
      </c>
      <c r="F105" s="65" t="s">
        <v>329</v>
      </c>
      <c r="G105" s="66" t="s">
        <v>349</v>
      </c>
      <c r="H105" s="66" t="s">
        <v>366</v>
      </c>
      <c r="I105" s="65" t="s">
        <v>364</v>
      </c>
      <c r="J105" s="41" t="s">
        <v>322</v>
      </c>
      <c r="K105" s="41" t="s">
        <v>323</v>
      </c>
      <c r="L105" s="46">
        <v>1</v>
      </c>
      <c r="M105" s="47">
        <v>340.9</v>
      </c>
      <c r="N105" s="47">
        <v>195</v>
      </c>
      <c r="O105" s="47">
        <f t="shared" si="31"/>
        <v>1</v>
      </c>
      <c r="P105" s="47">
        <f t="shared" si="32"/>
        <v>1</v>
      </c>
      <c r="Q105" s="47">
        <f t="shared" si="33"/>
        <v>340.9</v>
      </c>
      <c r="R105" s="47">
        <f t="shared" si="34"/>
        <v>340.9</v>
      </c>
      <c r="S105" s="47">
        <f t="shared" si="39"/>
        <v>1</v>
      </c>
      <c r="T105" s="47" t="str">
        <f t="shared" si="40"/>
        <v/>
      </c>
      <c r="U105" s="47">
        <f t="shared" si="35"/>
        <v>195</v>
      </c>
      <c r="V105" s="47" t="str">
        <f t="shared" si="36"/>
        <v/>
      </c>
      <c r="W105" s="47">
        <f t="shared" si="43"/>
        <v>195</v>
      </c>
      <c r="X105" s="47">
        <f t="shared" si="44"/>
        <v>1</v>
      </c>
      <c r="Y105" s="41"/>
      <c r="AI105" s="42" t="s">
        <v>323</v>
      </c>
    </row>
    <row r="106" spans="1:35" x14ac:dyDescent="0.3">
      <c r="A106" s="38" t="s">
        <v>281</v>
      </c>
      <c r="B106" s="36">
        <v>104</v>
      </c>
      <c r="C106" s="61" t="str">
        <f t="shared" ca="1" si="41"/>
        <v>5년 이내</v>
      </c>
      <c r="D106" s="64">
        <v>44547</v>
      </c>
      <c r="E106" s="65">
        <f t="shared" si="42"/>
        <v>1</v>
      </c>
      <c r="F106" s="65" t="s">
        <v>329</v>
      </c>
      <c r="G106" s="66" t="s">
        <v>17</v>
      </c>
      <c r="H106" s="66" t="s">
        <v>300</v>
      </c>
      <c r="I106" s="65" t="s">
        <v>364</v>
      </c>
      <c r="J106" s="41" t="s">
        <v>322</v>
      </c>
      <c r="K106" s="41" t="s">
        <v>323</v>
      </c>
      <c r="L106" s="46">
        <v>1</v>
      </c>
      <c r="M106" s="47">
        <v>340.9</v>
      </c>
      <c r="N106" s="47">
        <v>195</v>
      </c>
      <c r="O106" s="47">
        <f t="shared" si="31"/>
        <v>1</v>
      </c>
      <c r="P106" s="47">
        <f t="shared" si="32"/>
        <v>1</v>
      </c>
      <c r="Q106" s="47">
        <f t="shared" si="33"/>
        <v>340.9</v>
      </c>
      <c r="R106" s="47">
        <f t="shared" si="34"/>
        <v>340.9</v>
      </c>
      <c r="S106" s="47">
        <f t="shared" si="39"/>
        <v>1</v>
      </c>
      <c r="T106" s="47" t="str">
        <f t="shared" si="40"/>
        <v/>
      </c>
      <c r="U106" s="47">
        <f t="shared" si="35"/>
        <v>195</v>
      </c>
      <c r="V106" s="47" t="str">
        <f t="shared" si="36"/>
        <v/>
      </c>
      <c r="W106" s="47">
        <f t="shared" si="43"/>
        <v>195</v>
      </c>
      <c r="X106" s="47">
        <f t="shared" si="44"/>
        <v>1</v>
      </c>
      <c r="Y106" s="41"/>
      <c r="AI106" s="42" t="s">
        <v>323</v>
      </c>
    </row>
    <row r="107" spans="1:35" x14ac:dyDescent="0.3">
      <c r="A107" s="38" t="s">
        <v>281</v>
      </c>
      <c r="B107" s="36">
        <v>105</v>
      </c>
      <c r="C107" s="61" t="str">
        <f t="shared" ca="1" si="41"/>
        <v>5년 이내</v>
      </c>
      <c r="D107" s="64">
        <v>44547</v>
      </c>
      <c r="E107" s="65">
        <f t="shared" si="42"/>
        <v>1</v>
      </c>
      <c r="F107" s="65" t="s">
        <v>329</v>
      </c>
      <c r="G107" s="66" t="s">
        <v>241</v>
      </c>
      <c r="H107" s="66" t="s">
        <v>367</v>
      </c>
      <c r="I107" s="65" t="s">
        <v>364</v>
      </c>
      <c r="J107" s="41" t="s">
        <v>322</v>
      </c>
      <c r="K107" s="41" t="s">
        <v>323</v>
      </c>
      <c r="L107" s="46">
        <v>1</v>
      </c>
      <c r="M107" s="47">
        <v>340.9</v>
      </c>
      <c r="N107" s="47">
        <v>195</v>
      </c>
      <c r="O107" s="47">
        <f t="shared" si="31"/>
        <v>1</v>
      </c>
      <c r="P107" s="47">
        <f t="shared" si="32"/>
        <v>1</v>
      </c>
      <c r="Q107" s="47">
        <f t="shared" si="33"/>
        <v>340.9</v>
      </c>
      <c r="R107" s="47">
        <f t="shared" si="34"/>
        <v>340.9</v>
      </c>
      <c r="S107" s="47">
        <f t="shared" si="39"/>
        <v>1</v>
      </c>
      <c r="T107" s="47" t="str">
        <f t="shared" si="40"/>
        <v/>
      </c>
      <c r="U107" s="47">
        <f t="shared" si="35"/>
        <v>195</v>
      </c>
      <c r="V107" s="47" t="str">
        <f t="shared" si="36"/>
        <v/>
      </c>
      <c r="W107" s="47">
        <f t="shared" si="43"/>
        <v>195</v>
      </c>
      <c r="X107" s="47">
        <f t="shared" si="44"/>
        <v>1</v>
      </c>
      <c r="Y107" s="41"/>
      <c r="AI107" s="42" t="s">
        <v>323</v>
      </c>
    </row>
    <row r="108" spans="1:35" x14ac:dyDescent="0.3">
      <c r="A108" s="38" t="s">
        <v>281</v>
      </c>
      <c r="B108" s="36">
        <v>106</v>
      </c>
      <c r="C108" s="61" t="str">
        <f t="shared" ca="1" si="41"/>
        <v>5년 이내</v>
      </c>
      <c r="D108" s="64">
        <v>44547</v>
      </c>
      <c r="E108" s="65">
        <f t="shared" si="42"/>
        <v>1</v>
      </c>
      <c r="F108" s="65" t="s">
        <v>329</v>
      </c>
      <c r="G108" s="66" t="s">
        <v>97</v>
      </c>
      <c r="H108" s="66" t="s">
        <v>98</v>
      </c>
      <c r="I108" s="65" t="s">
        <v>364</v>
      </c>
      <c r="J108" s="41" t="s">
        <v>322</v>
      </c>
      <c r="K108" s="41" t="s">
        <v>323</v>
      </c>
      <c r="L108" s="46">
        <v>1</v>
      </c>
      <c r="M108" s="47">
        <v>340.9</v>
      </c>
      <c r="N108" s="47">
        <v>195</v>
      </c>
      <c r="O108" s="47">
        <f t="shared" si="31"/>
        <v>1</v>
      </c>
      <c r="P108" s="47">
        <f t="shared" si="32"/>
        <v>1</v>
      </c>
      <c r="Q108" s="47">
        <f t="shared" si="33"/>
        <v>340.9</v>
      </c>
      <c r="R108" s="47">
        <f t="shared" si="34"/>
        <v>340.9</v>
      </c>
      <c r="S108" s="47">
        <f t="shared" si="39"/>
        <v>1</v>
      </c>
      <c r="T108" s="47" t="str">
        <f t="shared" si="40"/>
        <v/>
      </c>
      <c r="U108" s="47">
        <f t="shared" si="35"/>
        <v>195</v>
      </c>
      <c r="V108" s="47" t="str">
        <f t="shared" si="36"/>
        <v/>
      </c>
      <c r="W108" s="47">
        <f t="shared" si="43"/>
        <v>195</v>
      </c>
      <c r="X108" s="47">
        <f t="shared" si="44"/>
        <v>1</v>
      </c>
      <c r="Y108" s="41"/>
      <c r="AI108" s="42" t="s">
        <v>323</v>
      </c>
    </row>
    <row r="109" spans="1:35" x14ac:dyDescent="0.3">
      <c r="A109" s="38" t="s">
        <v>281</v>
      </c>
      <c r="B109" s="36">
        <v>107</v>
      </c>
      <c r="C109" s="61" t="str">
        <f t="shared" ca="1" si="41"/>
        <v>5년 이내</v>
      </c>
      <c r="D109" s="64">
        <v>44557</v>
      </c>
      <c r="E109" s="65" t="str">
        <f t="shared" si="42"/>
        <v/>
      </c>
      <c r="F109" s="65" t="s">
        <v>329</v>
      </c>
      <c r="G109" s="66" t="s">
        <v>68</v>
      </c>
      <c r="H109" s="66" t="s">
        <v>433</v>
      </c>
      <c r="I109" s="65" t="s">
        <v>350</v>
      </c>
      <c r="J109" s="41" t="s">
        <v>322</v>
      </c>
      <c r="K109" s="41" t="s">
        <v>323</v>
      </c>
      <c r="L109" s="46">
        <v>1</v>
      </c>
      <c r="M109" s="47">
        <v>19.8</v>
      </c>
      <c r="N109" s="47">
        <v>19.8</v>
      </c>
      <c r="O109" s="47" t="str">
        <f t="shared" si="31"/>
        <v/>
      </c>
      <c r="P109" s="47" t="str">
        <f t="shared" si="32"/>
        <v/>
      </c>
      <c r="Q109" s="47" t="str">
        <f t="shared" si="33"/>
        <v/>
      </c>
      <c r="R109" s="47" t="str">
        <f t="shared" si="34"/>
        <v/>
      </c>
      <c r="S109" s="47" t="str">
        <f t="shared" si="39"/>
        <v/>
      </c>
      <c r="T109" s="47" t="str">
        <f t="shared" si="40"/>
        <v/>
      </c>
      <c r="U109" s="47" t="str">
        <f t="shared" si="35"/>
        <v/>
      </c>
      <c r="V109" s="47" t="str">
        <f t="shared" si="36"/>
        <v/>
      </c>
      <c r="W109" s="47">
        <f t="shared" si="43"/>
        <v>19.8</v>
      </c>
      <c r="X109" s="47">
        <f t="shared" si="44"/>
        <v>1</v>
      </c>
      <c r="Y109" s="41"/>
      <c r="AI109" s="42" t="s">
        <v>323</v>
      </c>
    </row>
    <row r="110" spans="1:35" x14ac:dyDescent="0.3">
      <c r="A110" s="38" t="s">
        <v>281</v>
      </c>
      <c r="B110" s="36">
        <v>108</v>
      </c>
      <c r="C110" s="61" t="str">
        <f t="shared" ca="1" si="41"/>
        <v>5년 이내</v>
      </c>
      <c r="D110" s="64">
        <v>44557</v>
      </c>
      <c r="E110" s="65" t="str">
        <f t="shared" si="42"/>
        <v/>
      </c>
      <c r="F110" s="65" t="s">
        <v>329</v>
      </c>
      <c r="G110" s="66" t="s">
        <v>351</v>
      </c>
      <c r="H110" s="66" t="s">
        <v>352</v>
      </c>
      <c r="I110" s="65" t="s">
        <v>350</v>
      </c>
      <c r="J110" s="41" t="s">
        <v>322</v>
      </c>
      <c r="K110" s="41" t="s">
        <v>323</v>
      </c>
      <c r="L110" s="46">
        <v>1</v>
      </c>
      <c r="M110" s="47">
        <v>19.8</v>
      </c>
      <c r="N110" s="47">
        <v>19.8</v>
      </c>
      <c r="O110" s="47" t="str">
        <f t="shared" si="31"/>
        <v/>
      </c>
      <c r="P110" s="47" t="str">
        <f t="shared" si="32"/>
        <v/>
      </c>
      <c r="Q110" s="47" t="str">
        <f t="shared" si="33"/>
        <v/>
      </c>
      <c r="R110" s="47" t="str">
        <f t="shared" si="34"/>
        <v/>
      </c>
      <c r="S110" s="47" t="str">
        <f t="shared" si="39"/>
        <v/>
      </c>
      <c r="T110" s="47" t="str">
        <f t="shared" si="40"/>
        <v/>
      </c>
      <c r="U110" s="47" t="str">
        <f t="shared" si="35"/>
        <v/>
      </c>
      <c r="V110" s="47" t="str">
        <f t="shared" si="36"/>
        <v/>
      </c>
      <c r="W110" s="47">
        <f t="shared" si="43"/>
        <v>19.8</v>
      </c>
      <c r="X110" s="47">
        <f t="shared" si="44"/>
        <v>1</v>
      </c>
      <c r="Y110" s="41"/>
      <c r="AI110" s="42" t="s">
        <v>323</v>
      </c>
    </row>
    <row r="111" spans="1:35" x14ac:dyDescent="0.3">
      <c r="A111" s="38" t="s">
        <v>281</v>
      </c>
      <c r="B111" s="36">
        <v>109</v>
      </c>
      <c r="C111" s="61" t="str">
        <f t="shared" ca="1" si="41"/>
        <v>5년 이내</v>
      </c>
      <c r="D111" s="64">
        <v>44557</v>
      </c>
      <c r="E111" s="65" t="str">
        <f t="shared" si="42"/>
        <v/>
      </c>
      <c r="F111" s="65" t="s">
        <v>329</v>
      </c>
      <c r="G111" s="66" t="s">
        <v>326</v>
      </c>
      <c r="H111" s="66" t="s">
        <v>327</v>
      </c>
      <c r="I111" s="65" t="s">
        <v>350</v>
      </c>
      <c r="J111" s="41" t="s">
        <v>322</v>
      </c>
      <c r="K111" s="41" t="s">
        <v>323</v>
      </c>
      <c r="L111" s="46">
        <v>1</v>
      </c>
      <c r="M111" s="47">
        <v>19.8</v>
      </c>
      <c r="N111" s="47">
        <v>19.8</v>
      </c>
      <c r="O111" s="47" t="str">
        <f t="shared" si="31"/>
        <v/>
      </c>
      <c r="P111" s="47" t="str">
        <f t="shared" si="32"/>
        <v/>
      </c>
      <c r="Q111" s="47" t="str">
        <f t="shared" si="33"/>
        <v/>
      </c>
      <c r="R111" s="47" t="str">
        <f t="shared" si="34"/>
        <v/>
      </c>
      <c r="S111" s="47" t="str">
        <f t="shared" si="39"/>
        <v/>
      </c>
      <c r="T111" s="47" t="str">
        <f t="shared" si="40"/>
        <v/>
      </c>
      <c r="U111" s="47" t="str">
        <f t="shared" si="35"/>
        <v/>
      </c>
      <c r="V111" s="47" t="str">
        <f t="shared" si="36"/>
        <v/>
      </c>
      <c r="W111" s="47">
        <f t="shared" si="43"/>
        <v>19.8</v>
      </c>
      <c r="X111" s="47">
        <f t="shared" si="44"/>
        <v>1</v>
      </c>
      <c r="Y111" s="41"/>
      <c r="AI111" s="42" t="s">
        <v>323</v>
      </c>
    </row>
    <row r="112" spans="1:35" x14ac:dyDescent="0.3">
      <c r="A112" s="38" t="s">
        <v>281</v>
      </c>
      <c r="B112" s="36">
        <v>110</v>
      </c>
      <c r="C112" s="61" t="str">
        <f t="shared" ca="1" si="41"/>
        <v>5년 이내</v>
      </c>
      <c r="D112" s="64">
        <v>44557</v>
      </c>
      <c r="E112" s="65" t="str">
        <f t="shared" si="42"/>
        <v/>
      </c>
      <c r="F112" s="65" t="s">
        <v>329</v>
      </c>
      <c r="G112" s="66" t="s">
        <v>36</v>
      </c>
      <c r="H112" s="66" t="s">
        <v>227</v>
      </c>
      <c r="I112" s="65" t="s">
        <v>350</v>
      </c>
      <c r="J112" s="41" t="s">
        <v>322</v>
      </c>
      <c r="K112" s="41" t="s">
        <v>323</v>
      </c>
      <c r="L112" s="46">
        <v>1</v>
      </c>
      <c r="M112" s="47">
        <v>19.8</v>
      </c>
      <c r="N112" s="47">
        <v>19.8</v>
      </c>
      <c r="O112" s="47" t="str">
        <f t="shared" si="31"/>
        <v/>
      </c>
      <c r="P112" s="47" t="str">
        <f t="shared" si="32"/>
        <v/>
      </c>
      <c r="Q112" s="47" t="str">
        <f t="shared" si="33"/>
        <v/>
      </c>
      <c r="R112" s="47" t="str">
        <f t="shared" si="34"/>
        <v/>
      </c>
      <c r="S112" s="47" t="str">
        <f t="shared" si="39"/>
        <v/>
      </c>
      <c r="T112" s="47" t="str">
        <f t="shared" si="40"/>
        <v/>
      </c>
      <c r="U112" s="47" t="str">
        <f t="shared" si="35"/>
        <v/>
      </c>
      <c r="V112" s="47" t="str">
        <f t="shared" si="36"/>
        <v/>
      </c>
      <c r="W112" s="47">
        <f t="shared" si="43"/>
        <v>19.8</v>
      </c>
      <c r="X112" s="47">
        <f t="shared" si="44"/>
        <v>1</v>
      </c>
      <c r="Y112" s="41"/>
      <c r="AI112" s="42" t="s">
        <v>323</v>
      </c>
    </row>
    <row r="113" spans="1:71" x14ac:dyDescent="0.3">
      <c r="A113" s="38" t="s">
        <v>281</v>
      </c>
      <c r="B113" s="36">
        <v>111</v>
      </c>
      <c r="C113" s="61" t="str">
        <f t="shared" ca="1" si="41"/>
        <v>5년 이내</v>
      </c>
      <c r="D113" s="64">
        <v>44557</v>
      </c>
      <c r="E113" s="65" t="str">
        <f t="shared" si="42"/>
        <v/>
      </c>
      <c r="F113" s="65" t="s">
        <v>329</v>
      </c>
      <c r="G113" s="66" t="s">
        <v>330</v>
      </c>
      <c r="H113" s="66" t="s">
        <v>353</v>
      </c>
      <c r="I113" s="65" t="s">
        <v>350</v>
      </c>
      <c r="J113" s="41" t="s">
        <v>322</v>
      </c>
      <c r="K113" s="41" t="s">
        <v>323</v>
      </c>
      <c r="L113" s="46">
        <v>1</v>
      </c>
      <c r="M113" s="47">
        <v>19.8</v>
      </c>
      <c r="N113" s="47">
        <v>19.8</v>
      </c>
      <c r="O113" s="47" t="str">
        <f t="shared" si="31"/>
        <v/>
      </c>
      <c r="P113" s="47" t="str">
        <f t="shared" si="32"/>
        <v/>
      </c>
      <c r="Q113" s="47" t="str">
        <f t="shared" si="33"/>
        <v/>
      </c>
      <c r="R113" s="47" t="str">
        <f t="shared" si="34"/>
        <v/>
      </c>
      <c r="S113" s="47" t="str">
        <f t="shared" si="39"/>
        <v/>
      </c>
      <c r="T113" s="47" t="str">
        <f t="shared" si="40"/>
        <v/>
      </c>
      <c r="U113" s="47" t="str">
        <f t="shared" si="35"/>
        <v/>
      </c>
      <c r="V113" s="47" t="str">
        <f t="shared" si="36"/>
        <v/>
      </c>
      <c r="W113" s="47">
        <f t="shared" si="43"/>
        <v>19.8</v>
      </c>
      <c r="X113" s="47">
        <f t="shared" si="44"/>
        <v>1</v>
      </c>
      <c r="Y113" s="41"/>
      <c r="AI113" s="42" t="s">
        <v>323</v>
      </c>
    </row>
    <row r="114" spans="1:71" x14ac:dyDescent="0.3">
      <c r="A114" s="38" t="s">
        <v>281</v>
      </c>
      <c r="B114" s="36">
        <v>112</v>
      </c>
      <c r="C114" s="61" t="str">
        <f t="shared" ca="1" si="41"/>
        <v>5년 이내</v>
      </c>
      <c r="D114" s="64">
        <v>44557</v>
      </c>
      <c r="E114" s="65" t="str">
        <f t="shared" si="42"/>
        <v/>
      </c>
      <c r="F114" s="65" t="s">
        <v>329</v>
      </c>
      <c r="G114" s="66" t="s">
        <v>338</v>
      </c>
      <c r="H114" s="66" t="s">
        <v>354</v>
      </c>
      <c r="I114" s="65" t="s">
        <v>350</v>
      </c>
      <c r="J114" s="41" t="s">
        <v>322</v>
      </c>
      <c r="K114" s="41" t="s">
        <v>323</v>
      </c>
      <c r="L114" s="46">
        <v>1</v>
      </c>
      <c r="M114" s="47">
        <v>19.8</v>
      </c>
      <c r="N114" s="47">
        <v>19.8</v>
      </c>
      <c r="O114" s="47" t="str">
        <f t="shared" si="31"/>
        <v/>
      </c>
      <c r="P114" s="47" t="str">
        <f t="shared" si="32"/>
        <v/>
      </c>
      <c r="Q114" s="47" t="str">
        <f t="shared" si="33"/>
        <v/>
      </c>
      <c r="R114" s="47" t="str">
        <f t="shared" si="34"/>
        <v/>
      </c>
      <c r="S114" s="47" t="str">
        <f t="shared" si="39"/>
        <v/>
      </c>
      <c r="T114" s="47" t="str">
        <f t="shared" si="40"/>
        <v/>
      </c>
      <c r="U114" s="47" t="str">
        <f t="shared" si="35"/>
        <v/>
      </c>
      <c r="V114" s="47" t="str">
        <f t="shared" si="36"/>
        <v/>
      </c>
      <c r="W114" s="47">
        <f t="shared" si="43"/>
        <v>19.8</v>
      </c>
      <c r="X114" s="47">
        <f t="shared" si="44"/>
        <v>1</v>
      </c>
      <c r="Y114" s="41"/>
      <c r="AI114" s="42" t="s">
        <v>323</v>
      </c>
    </row>
    <row r="115" spans="1:71" x14ac:dyDescent="0.3">
      <c r="A115" s="38" t="s">
        <v>281</v>
      </c>
      <c r="B115" s="36">
        <v>113</v>
      </c>
      <c r="C115" s="61" t="str">
        <f t="shared" ca="1" si="41"/>
        <v>5년 이내</v>
      </c>
      <c r="D115" s="64">
        <v>44557</v>
      </c>
      <c r="E115" s="65" t="str">
        <f t="shared" si="42"/>
        <v/>
      </c>
      <c r="F115" s="65" t="s">
        <v>329</v>
      </c>
      <c r="G115" s="66" t="s">
        <v>97</v>
      </c>
      <c r="H115" s="66" t="s">
        <v>311</v>
      </c>
      <c r="I115" s="65" t="s">
        <v>350</v>
      </c>
      <c r="J115" s="41" t="s">
        <v>322</v>
      </c>
      <c r="K115" s="41" t="s">
        <v>323</v>
      </c>
      <c r="L115" s="46">
        <v>1</v>
      </c>
      <c r="M115" s="47">
        <v>19.8</v>
      </c>
      <c r="N115" s="47">
        <v>19.8</v>
      </c>
      <c r="O115" s="47" t="str">
        <f t="shared" si="31"/>
        <v/>
      </c>
      <c r="P115" s="47" t="str">
        <f t="shared" si="32"/>
        <v/>
      </c>
      <c r="Q115" s="47" t="str">
        <f t="shared" si="33"/>
        <v/>
      </c>
      <c r="R115" s="47" t="str">
        <f t="shared" si="34"/>
        <v/>
      </c>
      <c r="S115" s="47" t="str">
        <f t="shared" si="39"/>
        <v/>
      </c>
      <c r="T115" s="47" t="str">
        <f t="shared" si="40"/>
        <v/>
      </c>
      <c r="U115" s="47" t="str">
        <f t="shared" si="35"/>
        <v/>
      </c>
      <c r="V115" s="47" t="str">
        <f t="shared" si="36"/>
        <v/>
      </c>
      <c r="W115" s="47">
        <f t="shared" si="43"/>
        <v>19.8</v>
      </c>
      <c r="X115" s="47">
        <f t="shared" si="44"/>
        <v>1</v>
      </c>
      <c r="Y115" s="41"/>
      <c r="AI115" s="42" t="s">
        <v>323</v>
      </c>
    </row>
    <row r="116" spans="1:71" x14ac:dyDescent="0.3">
      <c r="A116" s="38" t="s">
        <v>281</v>
      </c>
      <c r="B116" s="36">
        <v>114</v>
      </c>
      <c r="C116" s="61" t="str">
        <f t="shared" ca="1" si="41"/>
        <v>5년 이내</v>
      </c>
      <c r="D116" s="64">
        <v>44560</v>
      </c>
      <c r="E116" s="65">
        <f t="shared" si="42"/>
        <v>2</v>
      </c>
      <c r="F116" s="65" t="s">
        <v>329</v>
      </c>
      <c r="G116" s="66" t="s">
        <v>68</v>
      </c>
      <c r="H116" s="66" t="s">
        <v>363</v>
      </c>
      <c r="I116" s="65" t="s">
        <v>362</v>
      </c>
      <c r="J116" s="41" t="s">
        <v>322</v>
      </c>
      <c r="K116" s="41" t="s">
        <v>323</v>
      </c>
      <c r="L116" s="46">
        <v>0.53</v>
      </c>
      <c r="M116" s="47">
        <v>1192</v>
      </c>
      <c r="N116" s="47">
        <v>631.70000000000005</v>
      </c>
      <c r="O116" s="47">
        <f t="shared" si="31"/>
        <v>0.53</v>
      </c>
      <c r="P116" s="47">
        <f t="shared" si="32"/>
        <v>0.53</v>
      </c>
      <c r="Q116" s="47">
        <f t="shared" si="33"/>
        <v>1192</v>
      </c>
      <c r="R116" s="47">
        <f t="shared" si="34"/>
        <v>1192</v>
      </c>
      <c r="S116" s="47">
        <f t="shared" si="39"/>
        <v>0.53</v>
      </c>
      <c r="T116" s="47">
        <f t="shared" si="40"/>
        <v>0.53</v>
      </c>
      <c r="U116" s="47">
        <f t="shared" si="35"/>
        <v>631.70000000000005</v>
      </c>
      <c r="V116" s="47">
        <f t="shared" si="36"/>
        <v>631.70000000000005</v>
      </c>
      <c r="W116" s="47">
        <f t="shared" si="43"/>
        <v>631.70000000000005</v>
      </c>
      <c r="X116" s="47">
        <f t="shared" si="44"/>
        <v>0.53</v>
      </c>
      <c r="Y116" s="41"/>
      <c r="AI116" s="42" t="s">
        <v>323</v>
      </c>
    </row>
    <row r="117" spans="1:71" x14ac:dyDescent="0.3">
      <c r="A117" s="38" t="s">
        <v>281</v>
      </c>
      <c r="B117" s="36">
        <v>115</v>
      </c>
      <c r="C117" s="61" t="str">
        <f t="shared" ca="1" si="41"/>
        <v>5년 이내</v>
      </c>
      <c r="D117" s="64">
        <v>44560</v>
      </c>
      <c r="E117" s="65">
        <f t="shared" si="42"/>
        <v>2</v>
      </c>
      <c r="F117" s="65" t="s">
        <v>329</v>
      </c>
      <c r="G117" s="66" t="s">
        <v>309</v>
      </c>
      <c r="H117" s="66" t="s">
        <v>363</v>
      </c>
      <c r="I117" s="65" t="s">
        <v>362</v>
      </c>
      <c r="J117" s="41" t="s">
        <v>322</v>
      </c>
      <c r="K117" s="41" t="s">
        <v>323</v>
      </c>
      <c r="L117" s="46">
        <v>0.53</v>
      </c>
      <c r="M117" s="47">
        <v>1192</v>
      </c>
      <c r="N117" s="47">
        <v>631.70000000000005</v>
      </c>
      <c r="O117" s="47">
        <f t="shared" si="31"/>
        <v>0.53</v>
      </c>
      <c r="P117" s="47">
        <f t="shared" si="32"/>
        <v>0.53</v>
      </c>
      <c r="Q117" s="47">
        <f t="shared" si="33"/>
        <v>1192</v>
      </c>
      <c r="R117" s="47">
        <f t="shared" si="34"/>
        <v>1192</v>
      </c>
      <c r="S117" s="47">
        <f t="shared" si="39"/>
        <v>0.53</v>
      </c>
      <c r="T117" s="47">
        <f t="shared" si="40"/>
        <v>0.53</v>
      </c>
      <c r="U117" s="47">
        <f t="shared" si="35"/>
        <v>631.70000000000005</v>
      </c>
      <c r="V117" s="47">
        <f t="shared" si="36"/>
        <v>631.70000000000005</v>
      </c>
      <c r="W117" s="47">
        <f t="shared" si="43"/>
        <v>631.70000000000005</v>
      </c>
      <c r="X117" s="47">
        <f t="shared" si="44"/>
        <v>0.53</v>
      </c>
      <c r="Y117" s="41"/>
      <c r="AI117" s="42" t="s">
        <v>323</v>
      </c>
    </row>
    <row r="118" spans="1:71" x14ac:dyDescent="0.3">
      <c r="A118" s="38" t="s">
        <v>281</v>
      </c>
      <c r="B118" s="36">
        <v>116</v>
      </c>
      <c r="C118" s="61" t="str">
        <f t="shared" ca="1" si="41"/>
        <v>5년 이내</v>
      </c>
      <c r="D118" s="64">
        <v>44562</v>
      </c>
      <c r="E118" s="65">
        <f t="shared" si="42"/>
        <v>2</v>
      </c>
      <c r="F118" s="65" t="s">
        <v>329</v>
      </c>
      <c r="G118" s="66" t="s">
        <v>68</v>
      </c>
      <c r="H118" s="66" t="s">
        <v>434</v>
      </c>
      <c r="I118" s="65" t="s">
        <v>337</v>
      </c>
      <c r="J118" s="41" t="s">
        <v>322</v>
      </c>
      <c r="K118" s="41" t="s">
        <v>323</v>
      </c>
      <c r="L118" s="46">
        <v>1</v>
      </c>
      <c r="M118" s="47">
        <v>862.8</v>
      </c>
      <c r="N118" s="47">
        <v>293.10000000000002</v>
      </c>
      <c r="O118" s="47">
        <f t="shared" si="31"/>
        <v>1</v>
      </c>
      <c r="P118" s="47">
        <f t="shared" si="32"/>
        <v>1</v>
      </c>
      <c r="Q118" s="47">
        <f t="shared" si="33"/>
        <v>862.8</v>
      </c>
      <c r="R118" s="47">
        <f t="shared" si="34"/>
        <v>862.8</v>
      </c>
      <c r="S118" s="47">
        <f t="shared" si="39"/>
        <v>1</v>
      </c>
      <c r="T118" s="47">
        <f t="shared" si="40"/>
        <v>1</v>
      </c>
      <c r="U118" s="47">
        <f t="shared" si="35"/>
        <v>293.10000000000002</v>
      </c>
      <c r="V118" s="47">
        <f t="shared" si="36"/>
        <v>293.10000000000002</v>
      </c>
      <c r="W118" s="47">
        <f t="shared" si="43"/>
        <v>293.10000000000002</v>
      </c>
      <c r="X118" s="47">
        <f t="shared" si="44"/>
        <v>1</v>
      </c>
      <c r="Y118" s="41"/>
      <c r="AI118" s="42" t="s">
        <v>323</v>
      </c>
    </row>
    <row r="119" spans="1:71" x14ac:dyDescent="0.3">
      <c r="A119" s="38" t="s">
        <v>281</v>
      </c>
      <c r="B119" s="36">
        <v>117</v>
      </c>
      <c r="C119" s="61" t="str">
        <f t="shared" ca="1" si="41"/>
        <v>5년 이내</v>
      </c>
      <c r="D119" s="64">
        <v>44562</v>
      </c>
      <c r="E119" s="65">
        <f t="shared" si="42"/>
        <v>2</v>
      </c>
      <c r="F119" s="65" t="s">
        <v>329</v>
      </c>
      <c r="G119" s="66" t="s">
        <v>17</v>
      </c>
      <c r="H119" s="66" t="s">
        <v>138</v>
      </c>
      <c r="I119" s="65" t="s">
        <v>337</v>
      </c>
      <c r="J119" s="41" t="s">
        <v>322</v>
      </c>
      <c r="K119" s="41" t="s">
        <v>323</v>
      </c>
      <c r="L119" s="46">
        <v>1</v>
      </c>
      <c r="M119" s="47">
        <v>862.8</v>
      </c>
      <c r="N119" s="47">
        <v>293.10000000000002</v>
      </c>
      <c r="O119" s="47">
        <f t="shared" si="31"/>
        <v>1</v>
      </c>
      <c r="P119" s="47">
        <f t="shared" si="32"/>
        <v>1</v>
      </c>
      <c r="Q119" s="47">
        <f t="shared" si="33"/>
        <v>862.8</v>
      </c>
      <c r="R119" s="47">
        <f t="shared" si="34"/>
        <v>862.8</v>
      </c>
      <c r="S119" s="47">
        <f t="shared" si="39"/>
        <v>1</v>
      </c>
      <c r="T119" s="47">
        <f t="shared" si="40"/>
        <v>1</v>
      </c>
      <c r="U119" s="47">
        <f t="shared" si="35"/>
        <v>293.10000000000002</v>
      </c>
      <c r="V119" s="47">
        <f t="shared" si="36"/>
        <v>293.10000000000002</v>
      </c>
      <c r="W119" s="47">
        <f t="shared" si="43"/>
        <v>293.10000000000002</v>
      </c>
      <c r="X119" s="47">
        <f t="shared" si="44"/>
        <v>1</v>
      </c>
      <c r="Y119" s="41"/>
      <c r="AI119" s="42" t="s">
        <v>323</v>
      </c>
    </row>
    <row r="120" spans="1:71" x14ac:dyDescent="0.3">
      <c r="A120" s="38" t="s">
        <v>281</v>
      </c>
      <c r="B120" s="36">
        <v>118</v>
      </c>
      <c r="C120" s="61" t="str">
        <f t="shared" ca="1" si="41"/>
        <v>5년 이내</v>
      </c>
      <c r="D120" s="64">
        <v>44562</v>
      </c>
      <c r="E120" s="65">
        <f t="shared" si="42"/>
        <v>2</v>
      </c>
      <c r="F120" s="65" t="s">
        <v>329</v>
      </c>
      <c r="G120" s="66" t="s">
        <v>310</v>
      </c>
      <c r="H120" s="66" t="s">
        <v>98</v>
      </c>
      <c r="I120" s="65" t="s">
        <v>337</v>
      </c>
      <c r="J120" s="41" t="s">
        <v>322</v>
      </c>
      <c r="K120" s="41" t="s">
        <v>323</v>
      </c>
      <c r="L120" s="46">
        <v>1</v>
      </c>
      <c r="M120" s="47">
        <v>862.8</v>
      </c>
      <c r="N120" s="47">
        <v>293.10000000000002</v>
      </c>
      <c r="O120" s="47">
        <f t="shared" si="31"/>
        <v>1</v>
      </c>
      <c r="P120" s="47">
        <f t="shared" si="32"/>
        <v>1</v>
      </c>
      <c r="Q120" s="47">
        <f t="shared" si="33"/>
        <v>862.8</v>
      </c>
      <c r="R120" s="47">
        <f t="shared" si="34"/>
        <v>862.8</v>
      </c>
      <c r="S120" s="47">
        <f t="shared" si="39"/>
        <v>1</v>
      </c>
      <c r="T120" s="47">
        <f t="shared" si="40"/>
        <v>1</v>
      </c>
      <c r="U120" s="47">
        <f t="shared" si="35"/>
        <v>293.10000000000002</v>
      </c>
      <c r="V120" s="47">
        <f t="shared" si="36"/>
        <v>293.10000000000002</v>
      </c>
      <c r="W120" s="47">
        <f t="shared" si="43"/>
        <v>293.10000000000002</v>
      </c>
      <c r="X120" s="47">
        <f t="shared" si="44"/>
        <v>1</v>
      </c>
      <c r="Y120" s="41"/>
      <c r="AI120" s="42" t="s">
        <v>323</v>
      </c>
    </row>
    <row r="121" spans="1:71" x14ac:dyDescent="0.3">
      <c r="A121" s="38" t="s">
        <v>281</v>
      </c>
      <c r="B121" s="36">
        <v>119</v>
      </c>
      <c r="C121" s="61" t="str">
        <f t="shared" ca="1" si="41"/>
        <v>5년 이내</v>
      </c>
      <c r="D121" s="64">
        <v>44562</v>
      </c>
      <c r="E121" s="65">
        <f t="shared" si="42"/>
        <v>2</v>
      </c>
      <c r="F121" s="65" t="s">
        <v>329</v>
      </c>
      <c r="G121" s="66" t="s">
        <v>338</v>
      </c>
      <c r="H121" s="66" t="s">
        <v>339</v>
      </c>
      <c r="I121" s="65" t="s">
        <v>337</v>
      </c>
      <c r="J121" s="41" t="s">
        <v>322</v>
      </c>
      <c r="K121" s="41" t="s">
        <v>323</v>
      </c>
      <c r="L121" s="46">
        <v>1</v>
      </c>
      <c r="M121" s="47">
        <v>862.8</v>
      </c>
      <c r="N121" s="47">
        <v>293.10000000000002</v>
      </c>
      <c r="O121" s="47">
        <f t="shared" si="31"/>
        <v>1</v>
      </c>
      <c r="P121" s="47">
        <f t="shared" si="32"/>
        <v>1</v>
      </c>
      <c r="Q121" s="47">
        <f t="shared" si="33"/>
        <v>862.8</v>
      </c>
      <c r="R121" s="47">
        <f t="shared" si="34"/>
        <v>862.8</v>
      </c>
      <c r="S121" s="47">
        <f t="shared" si="39"/>
        <v>1</v>
      </c>
      <c r="T121" s="47">
        <f t="shared" si="40"/>
        <v>1</v>
      </c>
      <c r="U121" s="47">
        <f t="shared" si="35"/>
        <v>293.10000000000002</v>
      </c>
      <c r="V121" s="47">
        <f t="shared" si="36"/>
        <v>293.10000000000002</v>
      </c>
      <c r="W121" s="47">
        <f t="shared" si="43"/>
        <v>293.10000000000002</v>
      </c>
      <c r="X121" s="47">
        <f t="shared" si="44"/>
        <v>1</v>
      </c>
      <c r="Y121" s="41"/>
      <c r="AI121" s="42" t="s">
        <v>323</v>
      </c>
    </row>
    <row r="122" spans="1:71" x14ac:dyDescent="0.3">
      <c r="A122" s="38" t="s">
        <v>281</v>
      </c>
      <c r="B122" s="36">
        <v>120</v>
      </c>
      <c r="C122" s="61" t="str">
        <f t="shared" ca="1" si="41"/>
        <v>5년 이내</v>
      </c>
      <c r="D122" s="64">
        <v>44712</v>
      </c>
      <c r="E122" s="65">
        <f t="shared" si="42"/>
        <v>2</v>
      </c>
      <c r="F122" s="8" t="s">
        <v>1</v>
      </c>
      <c r="G122" s="66" t="s">
        <v>68</v>
      </c>
      <c r="H122" s="66" t="s">
        <v>434</v>
      </c>
      <c r="I122" s="65" t="s">
        <v>328</v>
      </c>
      <c r="J122" s="41" t="s">
        <v>322</v>
      </c>
      <c r="K122" s="41" t="s">
        <v>323</v>
      </c>
      <c r="L122" s="46">
        <v>1</v>
      </c>
      <c r="M122" s="47">
        <v>324.89999999999998</v>
      </c>
      <c r="N122" s="47">
        <v>200.7</v>
      </c>
      <c r="O122" s="47">
        <f t="shared" si="31"/>
        <v>1</v>
      </c>
      <c r="P122" s="47">
        <f t="shared" si="32"/>
        <v>1</v>
      </c>
      <c r="Q122" s="47">
        <f t="shared" si="33"/>
        <v>324.89999999999998</v>
      </c>
      <c r="R122" s="47">
        <f t="shared" si="34"/>
        <v>324.89999999999998</v>
      </c>
      <c r="S122" s="47">
        <f t="shared" si="39"/>
        <v>1</v>
      </c>
      <c r="T122" s="47">
        <f t="shared" si="40"/>
        <v>1</v>
      </c>
      <c r="U122" s="47">
        <f t="shared" si="35"/>
        <v>200.7</v>
      </c>
      <c r="V122" s="47">
        <f t="shared" si="36"/>
        <v>200.7</v>
      </c>
      <c r="W122" s="47">
        <f t="shared" si="43"/>
        <v>200.7</v>
      </c>
      <c r="X122" s="47">
        <f t="shared" si="44"/>
        <v>1</v>
      </c>
      <c r="Y122" s="41"/>
      <c r="AI122" s="42" t="s">
        <v>323</v>
      </c>
    </row>
    <row r="123" spans="1:71" x14ac:dyDescent="0.3">
      <c r="A123" s="38" t="s">
        <v>281</v>
      </c>
      <c r="B123" s="36">
        <v>121</v>
      </c>
      <c r="C123" s="61" t="str">
        <f t="shared" ca="1" si="41"/>
        <v>5년 이내</v>
      </c>
      <c r="D123" s="64">
        <v>44712</v>
      </c>
      <c r="E123" s="65">
        <f t="shared" si="42"/>
        <v>2</v>
      </c>
      <c r="F123" s="65" t="s">
        <v>329</v>
      </c>
      <c r="G123" s="66" t="s">
        <v>330</v>
      </c>
      <c r="H123" s="66" t="s">
        <v>331</v>
      </c>
      <c r="I123" s="65" t="s">
        <v>328</v>
      </c>
      <c r="J123" s="41" t="s">
        <v>322</v>
      </c>
      <c r="K123" s="41" t="s">
        <v>323</v>
      </c>
      <c r="L123" s="46">
        <v>1</v>
      </c>
      <c r="M123" s="47">
        <v>324.89999999999998</v>
      </c>
      <c r="N123" s="47">
        <v>200.7</v>
      </c>
      <c r="O123" s="47">
        <f t="shared" si="31"/>
        <v>1</v>
      </c>
      <c r="P123" s="47">
        <f t="shared" si="32"/>
        <v>1</v>
      </c>
      <c r="Q123" s="47">
        <f t="shared" si="33"/>
        <v>324.89999999999998</v>
      </c>
      <c r="R123" s="47">
        <f t="shared" si="34"/>
        <v>324.89999999999998</v>
      </c>
      <c r="S123" s="47">
        <f t="shared" si="39"/>
        <v>1</v>
      </c>
      <c r="T123" s="47">
        <f t="shared" si="40"/>
        <v>1</v>
      </c>
      <c r="U123" s="47">
        <f t="shared" si="35"/>
        <v>200.7</v>
      </c>
      <c r="V123" s="47">
        <f t="shared" si="36"/>
        <v>200.7</v>
      </c>
      <c r="W123" s="47">
        <f t="shared" si="43"/>
        <v>200.7</v>
      </c>
      <c r="X123" s="47">
        <f t="shared" si="44"/>
        <v>1</v>
      </c>
      <c r="Y123" s="41"/>
      <c r="AI123" s="42" t="s">
        <v>323</v>
      </c>
    </row>
    <row r="124" spans="1:71" x14ac:dyDescent="0.3">
      <c r="A124" s="38" t="s">
        <v>281</v>
      </c>
      <c r="B124" s="36">
        <v>122</v>
      </c>
      <c r="C124" s="61" t="str">
        <f t="shared" ca="1" si="41"/>
        <v>5년 이내</v>
      </c>
      <c r="D124" s="64">
        <v>44712</v>
      </c>
      <c r="E124" s="65">
        <f t="shared" si="42"/>
        <v>2</v>
      </c>
      <c r="F124" s="65" t="s">
        <v>329</v>
      </c>
      <c r="G124" s="66" t="s">
        <v>326</v>
      </c>
      <c r="H124" s="66" t="s">
        <v>327</v>
      </c>
      <c r="I124" s="65" t="s">
        <v>328</v>
      </c>
      <c r="J124" s="41" t="s">
        <v>322</v>
      </c>
      <c r="K124" s="41" t="s">
        <v>323</v>
      </c>
      <c r="L124" s="46">
        <v>1</v>
      </c>
      <c r="M124" s="47">
        <v>324.89999999999998</v>
      </c>
      <c r="N124" s="47">
        <v>200.7</v>
      </c>
      <c r="O124" s="47">
        <f t="shared" si="31"/>
        <v>1</v>
      </c>
      <c r="P124" s="47">
        <f t="shared" si="32"/>
        <v>1</v>
      </c>
      <c r="Q124" s="47">
        <f t="shared" si="33"/>
        <v>324.89999999999998</v>
      </c>
      <c r="R124" s="47">
        <f t="shared" si="34"/>
        <v>324.89999999999998</v>
      </c>
      <c r="S124" s="47">
        <f t="shared" si="39"/>
        <v>1</v>
      </c>
      <c r="T124" s="47">
        <f t="shared" si="40"/>
        <v>1</v>
      </c>
      <c r="U124" s="47">
        <f t="shared" si="35"/>
        <v>200.7</v>
      </c>
      <c r="V124" s="47">
        <f t="shared" si="36"/>
        <v>200.7</v>
      </c>
      <c r="W124" s="47">
        <f t="shared" si="43"/>
        <v>200.7</v>
      </c>
      <c r="X124" s="47">
        <f t="shared" si="44"/>
        <v>1</v>
      </c>
      <c r="Y124" s="41"/>
      <c r="AI124" s="42" t="s">
        <v>323</v>
      </c>
    </row>
    <row r="125" spans="1:71" x14ac:dyDescent="0.3">
      <c r="A125" s="38" t="s">
        <v>281</v>
      </c>
      <c r="B125" s="36">
        <v>123</v>
      </c>
      <c r="C125" s="61" t="str">
        <f t="shared" ca="1" si="41"/>
        <v>5년 이내</v>
      </c>
      <c r="D125" s="64">
        <v>44904</v>
      </c>
      <c r="E125" s="65">
        <f t="shared" si="42"/>
        <v>2</v>
      </c>
      <c r="F125" s="65" t="s">
        <v>329</v>
      </c>
      <c r="G125" s="66" t="s">
        <v>68</v>
      </c>
      <c r="H125" s="66" t="s">
        <v>435</v>
      </c>
      <c r="I125" s="65" t="s">
        <v>343</v>
      </c>
      <c r="J125" s="41" t="s">
        <v>322</v>
      </c>
      <c r="K125" s="41" t="s">
        <v>323</v>
      </c>
      <c r="L125" s="46">
        <v>1</v>
      </c>
      <c r="M125" s="47">
        <v>549.9</v>
      </c>
      <c r="N125" s="47">
        <v>385.4</v>
      </c>
      <c r="O125" s="47">
        <f t="shared" si="31"/>
        <v>1</v>
      </c>
      <c r="P125" s="47">
        <f t="shared" si="32"/>
        <v>1</v>
      </c>
      <c r="Q125" s="47">
        <f t="shared" si="33"/>
        <v>549.9</v>
      </c>
      <c r="R125" s="47">
        <f t="shared" si="34"/>
        <v>549.9</v>
      </c>
      <c r="S125" s="47">
        <f t="shared" si="39"/>
        <v>1</v>
      </c>
      <c r="T125" s="47">
        <f t="shared" si="40"/>
        <v>1</v>
      </c>
      <c r="U125" s="47">
        <f t="shared" si="35"/>
        <v>385.4</v>
      </c>
      <c r="V125" s="47">
        <f t="shared" si="36"/>
        <v>385.4</v>
      </c>
      <c r="W125" s="47">
        <f t="shared" si="43"/>
        <v>385.4</v>
      </c>
      <c r="X125" s="47">
        <f t="shared" si="44"/>
        <v>1</v>
      </c>
      <c r="Y125" s="41"/>
      <c r="AI125" s="42" t="s">
        <v>323</v>
      </c>
    </row>
    <row r="126" spans="1:71" x14ac:dyDescent="0.3">
      <c r="A126" s="38" t="s">
        <v>281</v>
      </c>
      <c r="B126" s="36">
        <v>124</v>
      </c>
      <c r="C126" s="61" t="str">
        <f t="shared" ca="1" si="41"/>
        <v>5년 이내</v>
      </c>
      <c r="D126" s="64">
        <v>44904</v>
      </c>
      <c r="E126" s="65">
        <f t="shared" si="42"/>
        <v>2</v>
      </c>
      <c r="F126" s="65" t="s">
        <v>329</v>
      </c>
      <c r="G126" s="66" t="s">
        <v>17</v>
      </c>
      <c r="H126" s="66" t="s">
        <v>437</v>
      </c>
      <c r="I126" s="65" t="s">
        <v>343</v>
      </c>
      <c r="J126" s="41" t="s">
        <v>322</v>
      </c>
      <c r="K126" s="41" t="s">
        <v>323</v>
      </c>
      <c r="L126" s="46">
        <v>1</v>
      </c>
      <c r="M126" s="47">
        <v>549.9</v>
      </c>
      <c r="N126" s="47">
        <v>385.4</v>
      </c>
      <c r="O126" s="47">
        <f t="shared" si="31"/>
        <v>1</v>
      </c>
      <c r="P126" s="47">
        <f t="shared" si="32"/>
        <v>1</v>
      </c>
      <c r="Q126" s="47">
        <f t="shared" si="33"/>
        <v>549.9</v>
      </c>
      <c r="R126" s="47">
        <f t="shared" si="34"/>
        <v>549.9</v>
      </c>
      <c r="S126" s="47">
        <f t="shared" si="39"/>
        <v>1</v>
      </c>
      <c r="T126" s="47">
        <f t="shared" si="40"/>
        <v>1</v>
      </c>
      <c r="U126" s="47">
        <f t="shared" si="35"/>
        <v>385.4</v>
      </c>
      <c r="V126" s="47">
        <f t="shared" si="36"/>
        <v>385.4</v>
      </c>
      <c r="W126" s="47">
        <f t="shared" si="43"/>
        <v>385.4</v>
      </c>
      <c r="X126" s="47">
        <f t="shared" si="44"/>
        <v>1</v>
      </c>
      <c r="Y126" s="41"/>
      <c r="AI126" s="42" t="s">
        <v>323</v>
      </c>
    </row>
    <row r="127" spans="1:71" ht="16.5" x14ac:dyDescent="0.3">
      <c r="A127" s="38" t="s">
        <v>281</v>
      </c>
      <c r="B127" s="36">
        <v>125</v>
      </c>
      <c r="C127" s="71" t="str">
        <f t="shared" ref="C127:C190" ca="1" si="45">IF(TODAY()-10*365&gt;D127,"10년 초과",IF(TODAY()-5*365&gt;D127,"10년~5년 사이","5년 이내"))</f>
        <v>10년~5년 사이</v>
      </c>
      <c r="D127" s="40">
        <v>42571</v>
      </c>
      <c r="E127" s="72" t="str">
        <f t="shared" ref="E127:E190" si="46">IF((N127&gt;200),2,IF(N127&gt;100,1,IF((N127&lt;99.9),"")))</f>
        <v/>
      </c>
      <c r="F127" s="8" t="s">
        <v>1</v>
      </c>
      <c r="G127" s="52" t="s">
        <v>17</v>
      </c>
      <c r="H127" s="66" t="s">
        <v>138</v>
      </c>
      <c r="I127" s="41" t="s">
        <v>515</v>
      </c>
      <c r="J127" s="74" t="s">
        <v>4</v>
      </c>
      <c r="K127" s="75" t="s">
        <v>187</v>
      </c>
      <c r="L127" s="76">
        <v>1</v>
      </c>
      <c r="M127" s="47">
        <v>19.399999999999999</v>
      </c>
      <c r="N127" s="47">
        <v>19.399999999999999</v>
      </c>
      <c r="O127" s="47" t="str">
        <f t="shared" si="31"/>
        <v/>
      </c>
      <c r="P127" s="47" t="str">
        <f t="shared" si="32"/>
        <v/>
      </c>
      <c r="Q127" s="47" t="str">
        <f t="shared" si="33"/>
        <v/>
      </c>
      <c r="R127" s="47" t="str">
        <f t="shared" si="34"/>
        <v/>
      </c>
      <c r="S127" s="47" t="str">
        <f t="shared" si="39"/>
        <v/>
      </c>
      <c r="T127" s="47" t="str">
        <f t="shared" si="40"/>
        <v/>
      </c>
      <c r="U127" s="47" t="str">
        <f t="shared" si="35"/>
        <v/>
      </c>
      <c r="V127" s="47" t="str">
        <f t="shared" si="36"/>
        <v/>
      </c>
      <c r="W127" s="98">
        <f t="shared" ref="W127:W158" si="47">N127</f>
        <v>19.399999999999999</v>
      </c>
      <c r="X127" s="98">
        <f t="shared" ref="X127:X158" si="48">IF(W127&gt;0,L127,"")</f>
        <v>1</v>
      </c>
      <c r="AB127" s="42" t="s">
        <v>187</v>
      </c>
      <c r="AE127" s="42" t="s">
        <v>24</v>
      </c>
      <c r="BG127"/>
      <c r="BH127"/>
      <c r="BI127"/>
      <c r="BJ127"/>
      <c r="BK127"/>
      <c r="BL127"/>
      <c r="BM127"/>
      <c r="BN127"/>
      <c r="BO127"/>
      <c r="BP127"/>
      <c r="BQ127"/>
      <c r="BR127"/>
      <c r="BS127"/>
    </row>
    <row r="128" spans="1:71" ht="16.5" x14ac:dyDescent="0.3">
      <c r="A128" s="38" t="s">
        <v>281</v>
      </c>
      <c r="B128" s="36">
        <v>126</v>
      </c>
      <c r="C128" s="71" t="str">
        <f t="shared" ca="1" si="45"/>
        <v>10년~5년 사이</v>
      </c>
      <c r="D128" s="64">
        <v>42637</v>
      </c>
      <c r="E128" s="72">
        <f t="shared" si="46"/>
        <v>1</v>
      </c>
      <c r="F128" s="8" t="s">
        <v>1</v>
      </c>
      <c r="G128" s="67" t="s">
        <v>480</v>
      </c>
      <c r="H128" s="67" t="s">
        <v>481</v>
      </c>
      <c r="I128" s="73" t="s">
        <v>482</v>
      </c>
      <c r="J128" s="74" t="s">
        <v>4</v>
      </c>
      <c r="K128" s="75" t="s">
        <v>187</v>
      </c>
      <c r="L128" s="76">
        <v>1</v>
      </c>
      <c r="M128" s="100">
        <v>311.06</v>
      </c>
      <c r="N128" s="100">
        <v>163.80000000000001</v>
      </c>
      <c r="O128" s="47">
        <f t="shared" si="31"/>
        <v>1</v>
      </c>
      <c r="P128" s="47">
        <f t="shared" si="32"/>
        <v>1</v>
      </c>
      <c r="Q128" s="47">
        <f t="shared" si="33"/>
        <v>311.06</v>
      </c>
      <c r="R128" s="47">
        <f t="shared" si="34"/>
        <v>311.06</v>
      </c>
      <c r="S128" s="47">
        <f t="shared" si="39"/>
        <v>1</v>
      </c>
      <c r="T128" s="47" t="str">
        <f t="shared" si="40"/>
        <v/>
      </c>
      <c r="U128" s="47">
        <f t="shared" si="35"/>
        <v>163.80000000000001</v>
      </c>
      <c r="V128" s="47" t="str">
        <f t="shared" si="36"/>
        <v/>
      </c>
      <c r="W128" s="98">
        <f t="shared" si="47"/>
        <v>163.80000000000001</v>
      </c>
      <c r="X128" s="98">
        <f t="shared" si="48"/>
        <v>1</v>
      </c>
      <c r="AB128" s="42" t="s">
        <v>187</v>
      </c>
      <c r="BG128"/>
      <c r="BH128"/>
      <c r="BI128"/>
      <c r="BJ128"/>
      <c r="BK128"/>
      <c r="BL128"/>
      <c r="BM128"/>
      <c r="BN128"/>
      <c r="BO128"/>
      <c r="BP128"/>
      <c r="BQ128"/>
      <c r="BR128"/>
      <c r="BS128"/>
    </row>
    <row r="129" spans="1:71" ht="16.5" x14ac:dyDescent="0.3">
      <c r="A129" s="38" t="s">
        <v>281</v>
      </c>
      <c r="B129" s="36">
        <v>127</v>
      </c>
      <c r="C129" s="71" t="str">
        <f t="shared" ca="1" si="45"/>
        <v>10년~5년 사이</v>
      </c>
      <c r="D129" s="40">
        <v>42656</v>
      </c>
      <c r="E129" s="72">
        <f t="shared" si="46"/>
        <v>2</v>
      </c>
      <c r="F129" s="8" t="s">
        <v>1</v>
      </c>
      <c r="G129" s="52" t="s">
        <v>253</v>
      </c>
      <c r="H129" s="52" t="s">
        <v>502</v>
      </c>
      <c r="I129" s="41" t="s">
        <v>503</v>
      </c>
      <c r="J129" s="74" t="s">
        <v>4</v>
      </c>
      <c r="K129" s="75" t="s">
        <v>187</v>
      </c>
      <c r="L129" s="76">
        <v>1</v>
      </c>
      <c r="M129" s="47">
        <v>832.7</v>
      </c>
      <c r="N129" s="47">
        <v>832.7</v>
      </c>
      <c r="O129" s="47">
        <f t="shared" si="31"/>
        <v>1</v>
      </c>
      <c r="P129" s="47">
        <f t="shared" si="32"/>
        <v>1</v>
      </c>
      <c r="Q129" s="47">
        <f t="shared" si="33"/>
        <v>832.7</v>
      </c>
      <c r="R129" s="47">
        <f t="shared" si="34"/>
        <v>832.7</v>
      </c>
      <c r="S129" s="47">
        <f t="shared" si="39"/>
        <v>1</v>
      </c>
      <c r="T129" s="47">
        <f t="shared" si="40"/>
        <v>1</v>
      </c>
      <c r="U129" s="47">
        <f t="shared" si="35"/>
        <v>832.7</v>
      </c>
      <c r="V129" s="47">
        <f t="shared" si="36"/>
        <v>832.7</v>
      </c>
      <c r="W129" s="98">
        <f t="shared" si="47"/>
        <v>832.7</v>
      </c>
      <c r="X129" s="98">
        <f t="shared" si="48"/>
        <v>1</v>
      </c>
      <c r="AB129" s="42" t="s">
        <v>187</v>
      </c>
      <c r="AE129" s="42" t="s">
        <v>24</v>
      </c>
      <c r="BG129"/>
      <c r="BH129"/>
      <c r="BI129"/>
      <c r="BJ129"/>
      <c r="BK129"/>
      <c r="BL129"/>
      <c r="BM129"/>
      <c r="BN129"/>
      <c r="BO129"/>
      <c r="BP129"/>
      <c r="BQ129"/>
      <c r="BR129"/>
      <c r="BS129"/>
    </row>
    <row r="130" spans="1:71" ht="16.5" x14ac:dyDescent="0.3">
      <c r="A130" s="38" t="s">
        <v>281</v>
      </c>
      <c r="B130" s="90">
        <v>128</v>
      </c>
      <c r="C130" s="92" t="str">
        <f t="shared" ca="1" si="45"/>
        <v>10년~5년 사이</v>
      </c>
      <c r="D130" s="91">
        <v>42656</v>
      </c>
      <c r="E130" s="72">
        <f t="shared" si="46"/>
        <v>2</v>
      </c>
      <c r="F130" s="8" t="s">
        <v>1</v>
      </c>
      <c r="G130" s="52" t="s">
        <v>253</v>
      </c>
      <c r="H130" s="52" t="s">
        <v>504</v>
      </c>
      <c r="I130" s="41" t="s">
        <v>503</v>
      </c>
      <c r="J130" s="74" t="s">
        <v>4</v>
      </c>
      <c r="K130" s="75" t="s">
        <v>187</v>
      </c>
      <c r="L130" s="76">
        <v>1</v>
      </c>
      <c r="M130" s="47">
        <v>832.7</v>
      </c>
      <c r="N130" s="47">
        <v>832.7</v>
      </c>
      <c r="O130" s="47">
        <f t="shared" si="31"/>
        <v>1</v>
      </c>
      <c r="P130" s="47">
        <f t="shared" si="32"/>
        <v>1</v>
      </c>
      <c r="Q130" s="47">
        <f t="shared" si="33"/>
        <v>832.7</v>
      </c>
      <c r="R130" s="47">
        <f t="shared" si="34"/>
        <v>832.7</v>
      </c>
      <c r="S130" s="47">
        <f t="shared" si="39"/>
        <v>1</v>
      </c>
      <c r="T130" s="47">
        <f t="shared" si="40"/>
        <v>1</v>
      </c>
      <c r="U130" s="47">
        <f t="shared" si="35"/>
        <v>832.7</v>
      </c>
      <c r="V130" s="47">
        <f t="shared" si="36"/>
        <v>832.7</v>
      </c>
      <c r="W130" s="98">
        <f t="shared" si="47"/>
        <v>832.7</v>
      </c>
      <c r="X130" s="98">
        <f t="shared" si="48"/>
        <v>1</v>
      </c>
      <c r="AB130" s="42" t="s">
        <v>187</v>
      </c>
      <c r="AE130" s="42" t="s">
        <v>24</v>
      </c>
      <c r="BG130"/>
      <c r="BH130"/>
      <c r="BI130"/>
      <c r="BJ130"/>
      <c r="BK130"/>
      <c r="BL130"/>
      <c r="BM130"/>
      <c r="BN130"/>
      <c r="BO130"/>
      <c r="BP130"/>
      <c r="BQ130"/>
      <c r="BR130"/>
      <c r="BS130"/>
    </row>
    <row r="131" spans="1:71" ht="16.5" x14ac:dyDescent="0.3">
      <c r="A131" s="38" t="s">
        <v>281</v>
      </c>
      <c r="B131" s="36">
        <v>129</v>
      </c>
      <c r="C131" s="71" t="str">
        <f t="shared" ca="1" si="45"/>
        <v>10년~5년 사이</v>
      </c>
      <c r="D131" s="40">
        <v>42656</v>
      </c>
      <c r="E131" s="72">
        <f t="shared" si="46"/>
        <v>2</v>
      </c>
      <c r="F131" s="8" t="s">
        <v>1</v>
      </c>
      <c r="G131" s="52" t="s">
        <v>253</v>
      </c>
      <c r="H131" s="52" t="s">
        <v>505</v>
      </c>
      <c r="I131" s="41" t="s">
        <v>503</v>
      </c>
      <c r="J131" s="74" t="s">
        <v>4</v>
      </c>
      <c r="K131" s="75" t="s">
        <v>187</v>
      </c>
      <c r="L131" s="76">
        <v>1</v>
      </c>
      <c r="M131" s="47">
        <v>832.7</v>
      </c>
      <c r="N131" s="47">
        <v>832.7</v>
      </c>
      <c r="O131" s="47">
        <f t="shared" si="31"/>
        <v>1</v>
      </c>
      <c r="P131" s="47">
        <f t="shared" si="32"/>
        <v>1</v>
      </c>
      <c r="Q131" s="47">
        <f t="shared" si="33"/>
        <v>832.7</v>
      </c>
      <c r="R131" s="47">
        <f t="shared" si="34"/>
        <v>832.7</v>
      </c>
      <c r="S131" s="47">
        <f t="shared" si="39"/>
        <v>1</v>
      </c>
      <c r="T131" s="47">
        <f t="shared" si="40"/>
        <v>1</v>
      </c>
      <c r="U131" s="47">
        <f t="shared" si="35"/>
        <v>832.7</v>
      </c>
      <c r="V131" s="47">
        <f t="shared" si="36"/>
        <v>832.7</v>
      </c>
      <c r="W131" s="98">
        <f t="shared" si="47"/>
        <v>832.7</v>
      </c>
      <c r="X131" s="98">
        <f t="shared" si="48"/>
        <v>1</v>
      </c>
      <c r="AB131" s="42" t="s">
        <v>187</v>
      </c>
      <c r="AE131" s="42" t="s">
        <v>24</v>
      </c>
      <c r="BG131"/>
      <c r="BH131"/>
      <c r="BI131"/>
      <c r="BJ131"/>
      <c r="BK131"/>
      <c r="BL131"/>
      <c r="BM131"/>
      <c r="BN131"/>
      <c r="BO131"/>
      <c r="BP131"/>
      <c r="BQ131"/>
      <c r="BR131"/>
      <c r="BS131"/>
    </row>
    <row r="132" spans="1:71" ht="16.5" x14ac:dyDescent="0.3">
      <c r="A132" s="38" t="s">
        <v>281</v>
      </c>
      <c r="B132" s="36">
        <v>130</v>
      </c>
      <c r="C132" s="71" t="str">
        <f t="shared" ca="1" si="45"/>
        <v>10년~5년 사이</v>
      </c>
      <c r="D132" s="40">
        <v>42656</v>
      </c>
      <c r="E132" s="72">
        <f t="shared" si="46"/>
        <v>2</v>
      </c>
      <c r="F132" s="8" t="s">
        <v>1</v>
      </c>
      <c r="G132" s="52" t="s">
        <v>253</v>
      </c>
      <c r="H132" s="52" t="s">
        <v>506</v>
      </c>
      <c r="I132" s="41" t="s">
        <v>503</v>
      </c>
      <c r="J132" s="74" t="s">
        <v>4</v>
      </c>
      <c r="K132" s="75" t="s">
        <v>187</v>
      </c>
      <c r="L132" s="76">
        <v>1</v>
      </c>
      <c r="M132" s="47">
        <v>832.7</v>
      </c>
      <c r="N132" s="47">
        <v>832.7</v>
      </c>
      <c r="O132" s="47">
        <f t="shared" si="31"/>
        <v>1</v>
      </c>
      <c r="P132" s="47">
        <f t="shared" si="32"/>
        <v>1</v>
      </c>
      <c r="Q132" s="47">
        <f t="shared" si="33"/>
        <v>832.7</v>
      </c>
      <c r="R132" s="47">
        <f t="shared" si="34"/>
        <v>832.7</v>
      </c>
      <c r="S132" s="47">
        <f t="shared" si="39"/>
        <v>1</v>
      </c>
      <c r="T132" s="47">
        <f t="shared" si="40"/>
        <v>1</v>
      </c>
      <c r="U132" s="47">
        <f t="shared" si="35"/>
        <v>832.7</v>
      </c>
      <c r="V132" s="47">
        <f t="shared" si="36"/>
        <v>832.7</v>
      </c>
      <c r="W132" s="98">
        <f t="shared" si="47"/>
        <v>832.7</v>
      </c>
      <c r="X132" s="98">
        <f t="shared" si="48"/>
        <v>1</v>
      </c>
      <c r="AB132" s="42" t="s">
        <v>187</v>
      </c>
      <c r="AE132" s="42" t="s">
        <v>24</v>
      </c>
      <c r="BG132"/>
      <c r="BH132"/>
      <c r="BI132"/>
      <c r="BJ132"/>
      <c r="BK132"/>
      <c r="BL132"/>
      <c r="BM132"/>
      <c r="BN132"/>
      <c r="BO132"/>
      <c r="BP132"/>
      <c r="BQ132"/>
      <c r="BR132"/>
      <c r="BS132"/>
    </row>
    <row r="133" spans="1:71" ht="16.5" x14ac:dyDescent="0.3">
      <c r="A133" s="38" t="s">
        <v>281</v>
      </c>
      <c r="B133" s="36">
        <v>131</v>
      </c>
      <c r="C133" s="71" t="str">
        <f t="shared" ca="1" si="45"/>
        <v>10년~5년 사이</v>
      </c>
      <c r="D133" s="79">
        <v>42656</v>
      </c>
      <c r="E133" s="72">
        <f t="shared" si="46"/>
        <v>2</v>
      </c>
      <c r="F133" s="8" t="s">
        <v>1</v>
      </c>
      <c r="G133" s="59" t="s">
        <v>253</v>
      </c>
      <c r="H133" s="59" t="s">
        <v>507</v>
      </c>
      <c r="I133" s="57" t="s">
        <v>503</v>
      </c>
      <c r="J133" s="74" t="s">
        <v>4</v>
      </c>
      <c r="K133" s="75" t="s">
        <v>187</v>
      </c>
      <c r="L133" s="76">
        <v>1</v>
      </c>
      <c r="M133" s="101">
        <v>832.7</v>
      </c>
      <c r="N133" s="101">
        <v>832.7</v>
      </c>
      <c r="O133" s="47">
        <f t="shared" ref="O133:O196" si="49">IF(M133&gt;100,L133,"")</f>
        <v>1</v>
      </c>
      <c r="P133" s="47">
        <f t="shared" ref="P133:P196" si="50">IF(M133&gt;200,L133,"")</f>
        <v>1</v>
      </c>
      <c r="Q133" s="47">
        <f t="shared" ref="Q133:Q196" si="51">IF(M133&gt;100,M133,"")</f>
        <v>832.7</v>
      </c>
      <c r="R133" s="47">
        <f t="shared" ref="R133:R196" si="52">IF(M133&gt;200,M133,"")</f>
        <v>832.7</v>
      </c>
      <c r="S133" s="47">
        <f t="shared" si="39"/>
        <v>1</v>
      </c>
      <c r="T133" s="47">
        <f t="shared" si="40"/>
        <v>1</v>
      </c>
      <c r="U133" s="47">
        <f t="shared" ref="U133:U196" si="53">IF(N133&gt;100,N133,"")</f>
        <v>832.7</v>
      </c>
      <c r="V133" s="47">
        <f t="shared" ref="V133:V196" si="54">IF(N133&gt;200,N133,"")</f>
        <v>832.7</v>
      </c>
      <c r="W133" s="98">
        <f t="shared" si="47"/>
        <v>832.7</v>
      </c>
      <c r="X133" s="98">
        <f t="shared" si="48"/>
        <v>1</v>
      </c>
      <c r="AB133" s="42" t="s">
        <v>187</v>
      </c>
      <c r="AE133" s="42" t="s">
        <v>24</v>
      </c>
      <c r="AI133" s="42" t="s">
        <v>508</v>
      </c>
      <c r="BG133"/>
      <c r="BH133"/>
      <c r="BI133"/>
      <c r="BJ133"/>
      <c r="BK133"/>
      <c r="BL133"/>
      <c r="BM133"/>
      <c r="BN133"/>
      <c r="BO133"/>
      <c r="BP133"/>
      <c r="BQ133"/>
      <c r="BR133"/>
      <c r="BS133"/>
    </row>
    <row r="134" spans="1:71" ht="16.5" x14ac:dyDescent="0.3">
      <c r="A134" s="38" t="s">
        <v>281</v>
      </c>
      <c r="B134" s="36">
        <v>132</v>
      </c>
      <c r="C134" s="71" t="str">
        <f t="shared" ca="1" si="45"/>
        <v>10년~5년 사이</v>
      </c>
      <c r="D134" s="79">
        <v>42657</v>
      </c>
      <c r="E134" s="72" t="str">
        <f t="shared" si="46"/>
        <v/>
      </c>
      <c r="F134" s="8" t="s">
        <v>1</v>
      </c>
      <c r="G134" s="59" t="s">
        <v>17</v>
      </c>
      <c r="H134" s="66" t="s">
        <v>441</v>
      </c>
      <c r="I134" s="57" t="s">
        <v>509</v>
      </c>
      <c r="J134" s="74" t="s">
        <v>4</v>
      </c>
      <c r="K134" s="75" t="s">
        <v>187</v>
      </c>
      <c r="L134" s="76">
        <v>1</v>
      </c>
      <c r="M134" s="101">
        <v>20.7</v>
      </c>
      <c r="N134" s="101">
        <v>20.7</v>
      </c>
      <c r="O134" s="47" t="str">
        <f t="shared" si="49"/>
        <v/>
      </c>
      <c r="P134" s="47" t="str">
        <f t="shared" si="50"/>
        <v/>
      </c>
      <c r="Q134" s="47" t="str">
        <f t="shared" si="51"/>
        <v/>
      </c>
      <c r="R134" s="47" t="str">
        <f t="shared" si="52"/>
        <v/>
      </c>
      <c r="S134" s="47" t="str">
        <f t="shared" si="39"/>
        <v/>
      </c>
      <c r="T134" s="47" t="str">
        <f t="shared" si="40"/>
        <v/>
      </c>
      <c r="U134" s="47" t="str">
        <f t="shared" si="53"/>
        <v/>
      </c>
      <c r="V134" s="47" t="str">
        <f t="shared" si="54"/>
        <v/>
      </c>
      <c r="W134" s="98">
        <f t="shared" si="47"/>
        <v>20.7</v>
      </c>
      <c r="X134" s="98">
        <f t="shared" si="48"/>
        <v>1</v>
      </c>
      <c r="AB134" s="42" t="s">
        <v>187</v>
      </c>
      <c r="AE134" s="42" t="s">
        <v>24</v>
      </c>
      <c r="BG134"/>
      <c r="BH134"/>
      <c r="BI134"/>
      <c r="BJ134"/>
      <c r="BK134"/>
      <c r="BL134"/>
      <c r="BM134"/>
      <c r="BN134"/>
      <c r="BO134"/>
      <c r="BP134"/>
      <c r="BQ134"/>
      <c r="BR134"/>
      <c r="BS134"/>
    </row>
    <row r="135" spans="1:71" ht="16.5" x14ac:dyDescent="0.3">
      <c r="A135" s="38" t="s">
        <v>281</v>
      </c>
      <c r="B135" s="36">
        <v>133</v>
      </c>
      <c r="C135" s="71" t="str">
        <f t="shared" ca="1" si="45"/>
        <v>10년~5년 사이</v>
      </c>
      <c r="D135" s="40">
        <v>42667</v>
      </c>
      <c r="E135" s="72" t="str">
        <f t="shared" si="46"/>
        <v/>
      </c>
      <c r="F135" s="8" t="s">
        <v>1</v>
      </c>
      <c r="G135" s="52" t="s">
        <v>17</v>
      </c>
      <c r="H135" s="66" t="s">
        <v>139</v>
      </c>
      <c r="I135" s="41" t="s">
        <v>521</v>
      </c>
      <c r="J135" s="74" t="s">
        <v>4</v>
      </c>
      <c r="K135" s="75" t="s">
        <v>187</v>
      </c>
      <c r="L135" s="76">
        <v>1</v>
      </c>
      <c r="M135" s="47">
        <v>11.1</v>
      </c>
      <c r="N135" s="47">
        <v>11.1</v>
      </c>
      <c r="O135" s="47" t="str">
        <f t="shared" si="49"/>
        <v/>
      </c>
      <c r="P135" s="47" t="str">
        <f t="shared" si="50"/>
        <v/>
      </c>
      <c r="Q135" s="47" t="str">
        <f t="shared" si="51"/>
        <v/>
      </c>
      <c r="R135" s="47" t="str">
        <f t="shared" si="52"/>
        <v/>
      </c>
      <c r="S135" s="47" t="str">
        <f t="shared" si="39"/>
        <v/>
      </c>
      <c r="T135" s="47" t="str">
        <f t="shared" si="40"/>
        <v/>
      </c>
      <c r="U135" s="47" t="str">
        <f t="shared" si="53"/>
        <v/>
      </c>
      <c r="V135" s="47" t="str">
        <f t="shared" si="54"/>
        <v/>
      </c>
      <c r="W135" s="98">
        <f t="shared" si="47"/>
        <v>11.1</v>
      </c>
      <c r="X135" s="98">
        <f t="shared" si="48"/>
        <v>1</v>
      </c>
      <c r="AB135" s="42" t="s">
        <v>187</v>
      </c>
      <c r="AE135" s="42" t="s">
        <v>24</v>
      </c>
      <c r="BG135"/>
      <c r="BH135"/>
      <c r="BI135"/>
      <c r="BJ135"/>
      <c r="BK135"/>
      <c r="BL135"/>
      <c r="BM135"/>
      <c r="BN135"/>
      <c r="BO135"/>
      <c r="BP135"/>
      <c r="BQ135"/>
      <c r="BR135"/>
      <c r="BS135"/>
    </row>
    <row r="136" spans="1:71" ht="16.5" x14ac:dyDescent="0.3">
      <c r="A136" s="38" t="s">
        <v>281</v>
      </c>
      <c r="B136" s="36">
        <v>134</v>
      </c>
      <c r="C136" s="71" t="str">
        <f t="shared" ca="1" si="45"/>
        <v>10년~5년 사이</v>
      </c>
      <c r="D136" s="40">
        <v>42674</v>
      </c>
      <c r="E136" s="72">
        <f t="shared" si="46"/>
        <v>2</v>
      </c>
      <c r="F136" s="8" t="s">
        <v>1</v>
      </c>
      <c r="G136" s="52" t="s">
        <v>528</v>
      </c>
      <c r="H136" s="52" t="s">
        <v>251</v>
      </c>
      <c r="I136" s="41" t="s">
        <v>527</v>
      </c>
      <c r="J136" s="74" t="s">
        <v>4</v>
      </c>
      <c r="K136" s="75" t="s">
        <v>187</v>
      </c>
      <c r="L136" s="76">
        <v>0.622</v>
      </c>
      <c r="M136" s="47">
        <v>740</v>
      </c>
      <c r="N136" s="47">
        <v>460.2</v>
      </c>
      <c r="O136" s="47">
        <f t="shared" si="49"/>
        <v>0.622</v>
      </c>
      <c r="P136" s="47">
        <f t="shared" si="50"/>
        <v>0.622</v>
      </c>
      <c r="Q136" s="47">
        <f t="shared" si="51"/>
        <v>740</v>
      </c>
      <c r="R136" s="47">
        <f t="shared" si="52"/>
        <v>740</v>
      </c>
      <c r="S136" s="47">
        <f t="shared" ref="S136:S199" si="55">IF(N136&gt;100,L136,"")</f>
        <v>0.622</v>
      </c>
      <c r="T136" s="47">
        <f t="shared" ref="T136:T199" si="56">IF(N136&gt;200,L136,"")</f>
        <v>0.622</v>
      </c>
      <c r="U136" s="47">
        <f t="shared" si="53"/>
        <v>460.2</v>
      </c>
      <c r="V136" s="47">
        <f t="shared" si="54"/>
        <v>460.2</v>
      </c>
      <c r="W136" s="98">
        <f t="shared" si="47"/>
        <v>460.2</v>
      </c>
      <c r="X136" s="98">
        <f t="shared" si="48"/>
        <v>0.622</v>
      </c>
      <c r="AB136" s="42" t="s">
        <v>187</v>
      </c>
      <c r="AE136" s="42" t="s">
        <v>24</v>
      </c>
      <c r="BG136"/>
      <c r="BH136"/>
      <c r="BI136"/>
      <c r="BJ136"/>
      <c r="BK136"/>
      <c r="BL136"/>
      <c r="BM136"/>
      <c r="BN136"/>
      <c r="BO136"/>
      <c r="BP136"/>
      <c r="BQ136"/>
      <c r="BR136"/>
      <c r="BS136"/>
    </row>
    <row r="137" spans="1:71" ht="16.5" x14ac:dyDescent="0.3">
      <c r="A137" s="38" t="s">
        <v>281</v>
      </c>
      <c r="B137" s="36">
        <v>135</v>
      </c>
      <c r="C137" s="71" t="str">
        <f t="shared" ca="1" si="45"/>
        <v>10년~5년 사이</v>
      </c>
      <c r="D137" s="40">
        <v>42675</v>
      </c>
      <c r="E137" s="72">
        <f t="shared" si="46"/>
        <v>2</v>
      </c>
      <c r="F137" s="8" t="s">
        <v>1</v>
      </c>
      <c r="G137" s="52" t="s">
        <v>253</v>
      </c>
      <c r="H137" s="52" t="s">
        <v>498</v>
      </c>
      <c r="I137" s="41" t="s">
        <v>499</v>
      </c>
      <c r="J137" s="74" t="s">
        <v>4</v>
      </c>
      <c r="K137" s="75" t="s">
        <v>187</v>
      </c>
      <c r="L137" s="76">
        <v>0.37590000000000001</v>
      </c>
      <c r="M137" s="47">
        <v>996</v>
      </c>
      <c r="N137" s="47">
        <v>374.4</v>
      </c>
      <c r="O137" s="47">
        <f t="shared" si="49"/>
        <v>0.37590000000000001</v>
      </c>
      <c r="P137" s="47">
        <f t="shared" si="50"/>
        <v>0.37590000000000001</v>
      </c>
      <c r="Q137" s="47">
        <f t="shared" si="51"/>
        <v>996</v>
      </c>
      <c r="R137" s="47">
        <f t="shared" si="52"/>
        <v>996</v>
      </c>
      <c r="S137" s="47">
        <f t="shared" si="55"/>
        <v>0.37590000000000001</v>
      </c>
      <c r="T137" s="47">
        <f t="shared" si="56"/>
        <v>0.37590000000000001</v>
      </c>
      <c r="U137" s="47">
        <f t="shared" si="53"/>
        <v>374.4</v>
      </c>
      <c r="V137" s="47">
        <f t="shared" si="54"/>
        <v>374.4</v>
      </c>
      <c r="W137" s="98">
        <f t="shared" si="47"/>
        <v>374.4</v>
      </c>
      <c r="X137" s="98">
        <f t="shared" si="48"/>
        <v>0.37590000000000001</v>
      </c>
      <c r="AB137" s="42" t="s">
        <v>187</v>
      </c>
      <c r="AE137" s="42" t="s">
        <v>24</v>
      </c>
      <c r="BG137"/>
      <c r="BH137"/>
      <c r="BI137"/>
      <c r="BJ137"/>
      <c r="BK137"/>
      <c r="BL137"/>
      <c r="BM137"/>
      <c r="BN137"/>
      <c r="BO137"/>
      <c r="BP137"/>
      <c r="BQ137"/>
      <c r="BR137"/>
      <c r="BS137"/>
    </row>
    <row r="138" spans="1:71" ht="16.5" x14ac:dyDescent="0.3">
      <c r="A138" s="38" t="s">
        <v>281</v>
      </c>
      <c r="B138" s="36">
        <v>136</v>
      </c>
      <c r="C138" s="71" t="str">
        <f t="shared" ca="1" si="45"/>
        <v>10년~5년 사이</v>
      </c>
      <c r="D138" s="40">
        <v>42675</v>
      </c>
      <c r="E138" s="72">
        <f t="shared" si="46"/>
        <v>2</v>
      </c>
      <c r="F138" s="8" t="s">
        <v>1</v>
      </c>
      <c r="G138" s="52" t="s">
        <v>253</v>
      </c>
      <c r="H138" s="52" t="s">
        <v>500</v>
      </c>
      <c r="I138" s="41" t="s">
        <v>499</v>
      </c>
      <c r="J138" s="74" t="s">
        <v>4</v>
      </c>
      <c r="K138" s="75" t="s">
        <v>187</v>
      </c>
      <c r="L138" s="76">
        <v>0.37590000000000001</v>
      </c>
      <c r="M138" s="47">
        <v>996</v>
      </c>
      <c r="N138" s="47">
        <v>374.4</v>
      </c>
      <c r="O138" s="47">
        <f t="shared" si="49"/>
        <v>0.37590000000000001</v>
      </c>
      <c r="P138" s="47">
        <f t="shared" si="50"/>
        <v>0.37590000000000001</v>
      </c>
      <c r="Q138" s="47">
        <f t="shared" si="51"/>
        <v>996</v>
      </c>
      <c r="R138" s="47">
        <f t="shared" si="52"/>
        <v>996</v>
      </c>
      <c r="S138" s="47">
        <f t="shared" si="55"/>
        <v>0.37590000000000001</v>
      </c>
      <c r="T138" s="47">
        <f t="shared" si="56"/>
        <v>0.37590000000000001</v>
      </c>
      <c r="U138" s="47">
        <f t="shared" si="53"/>
        <v>374.4</v>
      </c>
      <c r="V138" s="47">
        <f t="shared" si="54"/>
        <v>374.4</v>
      </c>
      <c r="W138" s="98">
        <f t="shared" si="47"/>
        <v>374.4</v>
      </c>
      <c r="X138" s="98">
        <f t="shared" si="48"/>
        <v>0.37590000000000001</v>
      </c>
      <c r="AB138" s="42" t="s">
        <v>187</v>
      </c>
      <c r="AE138" s="42" t="s">
        <v>24</v>
      </c>
      <c r="BG138"/>
      <c r="BH138"/>
      <c r="BI138"/>
      <c r="BJ138"/>
      <c r="BK138"/>
      <c r="BL138"/>
      <c r="BM138"/>
      <c r="BN138"/>
      <c r="BO138"/>
      <c r="BP138"/>
      <c r="BQ138"/>
      <c r="BR138"/>
      <c r="BS138"/>
    </row>
    <row r="139" spans="1:71" ht="16.5" x14ac:dyDescent="0.3">
      <c r="A139" s="38" t="s">
        <v>281</v>
      </c>
      <c r="B139" s="36">
        <v>137</v>
      </c>
      <c r="C139" s="71" t="str">
        <f t="shared" ca="1" si="45"/>
        <v>10년~5년 사이</v>
      </c>
      <c r="D139" s="40">
        <v>42675</v>
      </c>
      <c r="E139" s="72">
        <f t="shared" si="46"/>
        <v>2</v>
      </c>
      <c r="F139" s="8" t="s">
        <v>1</v>
      </c>
      <c r="G139" s="52" t="s">
        <v>253</v>
      </c>
      <c r="H139" s="52" t="s">
        <v>501</v>
      </c>
      <c r="I139" s="41" t="s">
        <v>499</v>
      </c>
      <c r="J139" s="74" t="s">
        <v>4</v>
      </c>
      <c r="K139" s="75" t="s">
        <v>187</v>
      </c>
      <c r="L139" s="76">
        <v>0.37590000000000001</v>
      </c>
      <c r="M139" s="47">
        <v>996</v>
      </c>
      <c r="N139" s="47">
        <v>374.4</v>
      </c>
      <c r="O139" s="47">
        <f t="shared" si="49"/>
        <v>0.37590000000000001</v>
      </c>
      <c r="P139" s="47">
        <f t="shared" si="50"/>
        <v>0.37590000000000001</v>
      </c>
      <c r="Q139" s="47">
        <f t="shared" si="51"/>
        <v>996</v>
      </c>
      <c r="R139" s="47">
        <f t="shared" si="52"/>
        <v>996</v>
      </c>
      <c r="S139" s="47">
        <f t="shared" si="55"/>
        <v>0.37590000000000001</v>
      </c>
      <c r="T139" s="47">
        <f t="shared" si="56"/>
        <v>0.37590000000000001</v>
      </c>
      <c r="U139" s="47">
        <f t="shared" si="53"/>
        <v>374.4</v>
      </c>
      <c r="V139" s="47">
        <f t="shared" si="54"/>
        <v>374.4</v>
      </c>
      <c r="W139" s="98">
        <f t="shared" si="47"/>
        <v>374.4</v>
      </c>
      <c r="X139" s="98">
        <f t="shared" si="48"/>
        <v>0.37590000000000001</v>
      </c>
      <c r="AB139" s="42" t="s">
        <v>187</v>
      </c>
      <c r="AE139" s="42" t="s">
        <v>24</v>
      </c>
      <c r="BG139"/>
      <c r="BH139"/>
      <c r="BI139"/>
      <c r="BJ139"/>
      <c r="BK139"/>
      <c r="BL139"/>
      <c r="BM139"/>
      <c r="BN139"/>
      <c r="BO139"/>
      <c r="BP139"/>
      <c r="BQ139"/>
      <c r="BR139"/>
      <c r="BS139"/>
    </row>
    <row r="140" spans="1:71" ht="16.5" x14ac:dyDescent="0.3">
      <c r="A140" s="38" t="s">
        <v>281</v>
      </c>
      <c r="B140" s="36">
        <v>138</v>
      </c>
      <c r="C140" s="71" t="str">
        <f t="shared" ca="1" si="45"/>
        <v>10년~5년 사이</v>
      </c>
      <c r="D140" s="40">
        <v>42675</v>
      </c>
      <c r="E140" s="72">
        <f t="shared" si="46"/>
        <v>2</v>
      </c>
      <c r="F140" s="8" t="s">
        <v>1</v>
      </c>
      <c r="G140" s="52" t="s">
        <v>253</v>
      </c>
      <c r="H140" s="52" t="s">
        <v>529</v>
      </c>
      <c r="I140" s="41" t="s">
        <v>527</v>
      </c>
      <c r="J140" s="74" t="s">
        <v>4</v>
      </c>
      <c r="K140" s="75" t="s">
        <v>187</v>
      </c>
      <c r="L140" s="76">
        <v>0.622</v>
      </c>
      <c r="M140" s="47">
        <v>740</v>
      </c>
      <c r="N140" s="47">
        <v>460.2</v>
      </c>
      <c r="O140" s="47">
        <f t="shared" si="49"/>
        <v>0.622</v>
      </c>
      <c r="P140" s="47">
        <f t="shared" si="50"/>
        <v>0.622</v>
      </c>
      <c r="Q140" s="47">
        <f t="shared" si="51"/>
        <v>740</v>
      </c>
      <c r="R140" s="47">
        <f t="shared" si="52"/>
        <v>740</v>
      </c>
      <c r="S140" s="47">
        <f t="shared" si="55"/>
        <v>0.622</v>
      </c>
      <c r="T140" s="47">
        <f t="shared" si="56"/>
        <v>0.622</v>
      </c>
      <c r="U140" s="47">
        <f t="shared" si="53"/>
        <v>460.2</v>
      </c>
      <c r="V140" s="47">
        <f t="shared" si="54"/>
        <v>460.2</v>
      </c>
      <c r="W140" s="98">
        <f t="shared" si="47"/>
        <v>460.2</v>
      </c>
      <c r="X140" s="98">
        <f t="shared" si="48"/>
        <v>0.622</v>
      </c>
      <c r="AB140" s="42" t="s">
        <v>187</v>
      </c>
      <c r="AE140" s="42" t="s">
        <v>24</v>
      </c>
      <c r="BG140"/>
      <c r="BH140"/>
      <c r="BI140"/>
      <c r="BJ140"/>
      <c r="BK140"/>
      <c r="BL140"/>
      <c r="BM140"/>
      <c r="BN140"/>
      <c r="BO140"/>
      <c r="BP140"/>
      <c r="BQ140"/>
      <c r="BR140"/>
      <c r="BS140"/>
    </row>
    <row r="141" spans="1:71" ht="16.5" x14ac:dyDescent="0.3">
      <c r="A141" s="38" t="s">
        <v>281</v>
      </c>
      <c r="B141" s="36">
        <v>139</v>
      </c>
      <c r="C141" s="71" t="str">
        <f t="shared" ca="1" si="45"/>
        <v>10년~5년 사이</v>
      </c>
      <c r="D141" s="79">
        <v>42684</v>
      </c>
      <c r="E141" s="72">
        <f t="shared" si="46"/>
        <v>2</v>
      </c>
      <c r="F141" s="8" t="s">
        <v>1</v>
      </c>
      <c r="G141" s="59" t="s">
        <v>177</v>
      </c>
      <c r="H141" s="59" t="s">
        <v>541</v>
      </c>
      <c r="I141" s="57" t="s">
        <v>540</v>
      </c>
      <c r="J141" s="74" t="s">
        <v>4</v>
      </c>
      <c r="K141" s="75" t="s">
        <v>187</v>
      </c>
      <c r="L141" s="76">
        <v>0.55000000000000004</v>
      </c>
      <c r="M141" s="47">
        <v>1005.9</v>
      </c>
      <c r="N141" s="47">
        <v>553.20000000000005</v>
      </c>
      <c r="O141" s="47">
        <f t="shared" si="49"/>
        <v>0.55000000000000004</v>
      </c>
      <c r="P141" s="47">
        <f t="shared" si="50"/>
        <v>0.55000000000000004</v>
      </c>
      <c r="Q141" s="47">
        <f t="shared" si="51"/>
        <v>1005.9</v>
      </c>
      <c r="R141" s="47">
        <f t="shared" si="52"/>
        <v>1005.9</v>
      </c>
      <c r="S141" s="47">
        <f t="shared" si="55"/>
        <v>0.55000000000000004</v>
      </c>
      <c r="T141" s="47">
        <f t="shared" si="56"/>
        <v>0.55000000000000004</v>
      </c>
      <c r="U141" s="47">
        <f t="shared" si="53"/>
        <v>553.20000000000005</v>
      </c>
      <c r="V141" s="47">
        <f t="shared" si="54"/>
        <v>553.20000000000005</v>
      </c>
      <c r="W141" s="98">
        <f t="shared" si="47"/>
        <v>553.20000000000005</v>
      </c>
      <c r="X141" s="98">
        <f t="shared" si="48"/>
        <v>0.55000000000000004</v>
      </c>
      <c r="AB141" s="42" t="s">
        <v>187</v>
      </c>
      <c r="AE141" s="42" t="s">
        <v>24</v>
      </c>
      <c r="BG141"/>
      <c r="BH141"/>
      <c r="BI141"/>
      <c r="BJ141"/>
      <c r="BK141"/>
      <c r="BL141"/>
      <c r="BM141"/>
      <c r="BN141"/>
      <c r="BO141"/>
      <c r="BP141"/>
      <c r="BQ141"/>
      <c r="BR141"/>
      <c r="BS141"/>
    </row>
    <row r="142" spans="1:71" ht="16.5" x14ac:dyDescent="0.3">
      <c r="A142" s="38" t="s">
        <v>281</v>
      </c>
      <c r="B142" s="36">
        <v>140</v>
      </c>
      <c r="C142" s="71" t="str">
        <f t="shared" ca="1" si="45"/>
        <v>10년~5년 사이</v>
      </c>
      <c r="D142" s="79">
        <v>42686</v>
      </c>
      <c r="E142" s="72">
        <f t="shared" si="46"/>
        <v>1</v>
      </c>
      <c r="F142" s="8" t="s">
        <v>1</v>
      </c>
      <c r="G142" s="59" t="s">
        <v>17</v>
      </c>
      <c r="H142" s="59" t="s">
        <v>836</v>
      </c>
      <c r="I142" s="57" t="s">
        <v>489</v>
      </c>
      <c r="J142" s="74" t="s">
        <v>4</v>
      </c>
      <c r="K142" s="75" t="s">
        <v>187</v>
      </c>
      <c r="L142" s="76">
        <v>1</v>
      </c>
      <c r="M142" s="47">
        <v>191.9</v>
      </c>
      <c r="N142" s="47">
        <v>191.9</v>
      </c>
      <c r="O142" s="47">
        <f t="shared" si="49"/>
        <v>1</v>
      </c>
      <c r="P142" s="47" t="str">
        <f t="shared" si="50"/>
        <v/>
      </c>
      <c r="Q142" s="47">
        <f t="shared" si="51"/>
        <v>191.9</v>
      </c>
      <c r="R142" s="47" t="str">
        <f t="shared" si="52"/>
        <v/>
      </c>
      <c r="S142" s="47">
        <f t="shared" si="55"/>
        <v>1</v>
      </c>
      <c r="T142" s="47" t="str">
        <f t="shared" si="56"/>
        <v/>
      </c>
      <c r="U142" s="47">
        <f t="shared" si="53"/>
        <v>191.9</v>
      </c>
      <c r="V142" s="47" t="str">
        <f t="shared" si="54"/>
        <v/>
      </c>
      <c r="W142" s="98">
        <f t="shared" si="47"/>
        <v>191.9</v>
      </c>
      <c r="X142" s="98">
        <f t="shared" si="48"/>
        <v>1</v>
      </c>
      <c r="AB142" s="42" t="s">
        <v>187</v>
      </c>
      <c r="AE142" s="42" t="s">
        <v>24</v>
      </c>
      <c r="BG142"/>
      <c r="BH142"/>
      <c r="BI142"/>
      <c r="BJ142"/>
      <c r="BK142"/>
      <c r="BL142"/>
      <c r="BM142"/>
      <c r="BN142"/>
      <c r="BO142"/>
      <c r="BP142"/>
      <c r="BQ142"/>
      <c r="BR142"/>
      <c r="BS142"/>
    </row>
    <row r="143" spans="1:71" ht="16.5" x14ac:dyDescent="0.3">
      <c r="A143" s="38" t="s">
        <v>281</v>
      </c>
      <c r="B143" s="36">
        <v>141</v>
      </c>
      <c r="C143" s="71" t="str">
        <f t="shared" ca="1" si="45"/>
        <v>10년~5년 사이</v>
      </c>
      <c r="D143" s="79">
        <v>42686</v>
      </c>
      <c r="E143" s="72">
        <f t="shared" si="46"/>
        <v>1</v>
      </c>
      <c r="F143" s="8" t="s">
        <v>1</v>
      </c>
      <c r="G143" s="59" t="s">
        <v>17</v>
      </c>
      <c r="H143" s="63" t="s">
        <v>137</v>
      </c>
      <c r="I143" s="57" t="s">
        <v>490</v>
      </c>
      <c r="J143" s="74" t="s">
        <v>4</v>
      </c>
      <c r="K143" s="75" t="s">
        <v>187</v>
      </c>
      <c r="L143" s="76">
        <v>1</v>
      </c>
      <c r="M143" s="47">
        <v>191.9</v>
      </c>
      <c r="N143" s="47">
        <v>191.9</v>
      </c>
      <c r="O143" s="47">
        <f t="shared" si="49"/>
        <v>1</v>
      </c>
      <c r="P143" s="47" t="str">
        <f t="shared" si="50"/>
        <v/>
      </c>
      <c r="Q143" s="47">
        <f t="shared" si="51"/>
        <v>191.9</v>
      </c>
      <c r="R143" s="47" t="str">
        <f t="shared" si="52"/>
        <v/>
      </c>
      <c r="S143" s="47">
        <f t="shared" si="55"/>
        <v>1</v>
      </c>
      <c r="T143" s="47" t="str">
        <f t="shared" si="56"/>
        <v/>
      </c>
      <c r="U143" s="47">
        <f t="shared" si="53"/>
        <v>191.9</v>
      </c>
      <c r="V143" s="47" t="str">
        <f t="shared" si="54"/>
        <v/>
      </c>
      <c r="W143" s="98">
        <f t="shared" si="47"/>
        <v>191.9</v>
      </c>
      <c r="X143" s="98">
        <f t="shared" si="48"/>
        <v>1</v>
      </c>
      <c r="AB143" s="42" t="s">
        <v>187</v>
      </c>
      <c r="AE143" s="42" t="s">
        <v>24</v>
      </c>
      <c r="BG143"/>
      <c r="BH143"/>
      <c r="BI143"/>
      <c r="BJ143"/>
      <c r="BK143"/>
      <c r="BL143"/>
      <c r="BM143"/>
      <c r="BN143"/>
      <c r="BO143"/>
      <c r="BP143"/>
      <c r="BQ143"/>
      <c r="BR143"/>
      <c r="BS143"/>
    </row>
    <row r="144" spans="1:71" ht="16.5" x14ac:dyDescent="0.3">
      <c r="A144" s="38" t="s">
        <v>281</v>
      </c>
      <c r="B144" s="36">
        <v>142</v>
      </c>
      <c r="C144" s="71" t="str">
        <f t="shared" ca="1" si="45"/>
        <v>10년~5년 사이</v>
      </c>
      <c r="D144" s="79">
        <v>42691</v>
      </c>
      <c r="E144" s="72" t="str">
        <f t="shared" si="46"/>
        <v/>
      </c>
      <c r="F144" s="8" t="s">
        <v>1</v>
      </c>
      <c r="G144" s="59" t="s">
        <v>253</v>
      </c>
      <c r="H144" s="59" t="s">
        <v>505</v>
      </c>
      <c r="I144" s="57" t="s">
        <v>519</v>
      </c>
      <c r="J144" s="74" t="s">
        <v>4</v>
      </c>
      <c r="K144" s="75" t="s">
        <v>187</v>
      </c>
      <c r="L144" s="76">
        <v>1</v>
      </c>
      <c r="M144" s="47">
        <v>97.6</v>
      </c>
      <c r="N144" s="47">
        <v>97.6</v>
      </c>
      <c r="O144" s="47" t="str">
        <f t="shared" si="49"/>
        <v/>
      </c>
      <c r="P144" s="47" t="str">
        <f t="shared" si="50"/>
        <v/>
      </c>
      <c r="Q144" s="47" t="str">
        <f t="shared" si="51"/>
        <v/>
      </c>
      <c r="R144" s="47" t="str">
        <f t="shared" si="52"/>
        <v/>
      </c>
      <c r="S144" s="47" t="str">
        <f t="shared" si="55"/>
        <v/>
      </c>
      <c r="T144" s="47" t="str">
        <f t="shared" si="56"/>
        <v/>
      </c>
      <c r="U144" s="47" t="str">
        <f t="shared" si="53"/>
        <v/>
      </c>
      <c r="V144" s="47" t="str">
        <f t="shared" si="54"/>
        <v/>
      </c>
      <c r="W144" s="98">
        <f t="shared" si="47"/>
        <v>97.6</v>
      </c>
      <c r="X144" s="98">
        <f t="shared" si="48"/>
        <v>1</v>
      </c>
      <c r="AB144" s="42" t="s">
        <v>187</v>
      </c>
      <c r="AE144" s="42" t="s">
        <v>24</v>
      </c>
      <c r="BG144"/>
      <c r="BH144"/>
      <c r="BI144"/>
      <c r="BJ144"/>
      <c r="BK144"/>
      <c r="BL144"/>
      <c r="BM144"/>
      <c r="BN144"/>
      <c r="BO144"/>
      <c r="BP144"/>
      <c r="BQ144"/>
      <c r="BR144"/>
      <c r="BS144"/>
    </row>
    <row r="145" spans="1:71" ht="16.5" x14ac:dyDescent="0.3">
      <c r="A145" s="38" t="s">
        <v>281</v>
      </c>
      <c r="B145" s="36">
        <v>143</v>
      </c>
      <c r="C145" s="71" t="str">
        <f t="shared" ca="1" si="45"/>
        <v>10년~5년 사이</v>
      </c>
      <c r="D145" s="82">
        <v>42698</v>
      </c>
      <c r="E145" s="72">
        <f t="shared" si="46"/>
        <v>1</v>
      </c>
      <c r="F145" s="8" t="s">
        <v>1</v>
      </c>
      <c r="G145" s="85" t="s">
        <v>483</v>
      </c>
      <c r="H145" s="85" t="s">
        <v>484</v>
      </c>
      <c r="I145" s="84" t="s">
        <v>485</v>
      </c>
      <c r="J145" s="74" t="s">
        <v>4</v>
      </c>
      <c r="K145" s="75" t="s">
        <v>187</v>
      </c>
      <c r="L145" s="76">
        <v>0.88</v>
      </c>
      <c r="M145" s="100">
        <v>225.4</v>
      </c>
      <c r="N145" s="100">
        <v>198.4</v>
      </c>
      <c r="O145" s="47">
        <f t="shared" si="49"/>
        <v>0.88</v>
      </c>
      <c r="P145" s="47">
        <f t="shared" si="50"/>
        <v>0.88</v>
      </c>
      <c r="Q145" s="47">
        <f t="shared" si="51"/>
        <v>225.4</v>
      </c>
      <c r="R145" s="47">
        <f t="shared" si="52"/>
        <v>225.4</v>
      </c>
      <c r="S145" s="47">
        <f t="shared" si="55"/>
        <v>0.88</v>
      </c>
      <c r="T145" s="47" t="str">
        <f t="shared" si="56"/>
        <v/>
      </c>
      <c r="U145" s="47">
        <f t="shared" si="53"/>
        <v>198.4</v>
      </c>
      <c r="V145" s="47" t="str">
        <f t="shared" si="54"/>
        <v/>
      </c>
      <c r="W145" s="98">
        <f t="shared" si="47"/>
        <v>198.4</v>
      </c>
      <c r="X145" s="98">
        <f t="shared" si="48"/>
        <v>0.88</v>
      </c>
      <c r="AB145" s="42" t="s">
        <v>187</v>
      </c>
      <c r="AE145" s="42" t="s">
        <v>24</v>
      </c>
      <c r="BG145"/>
      <c r="BH145"/>
      <c r="BI145"/>
      <c r="BJ145"/>
      <c r="BK145"/>
      <c r="BL145"/>
      <c r="BM145"/>
      <c r="BN145"/>
      <c r="BO145"/>
      <c r="BP145"/>
      <c r="BQ145"/>
      <c r="BR145"/>
      <c r="BS145"/>
    </row>
    <row r="146" spans="1:71" ht="16.5" x14ac:dyDescent="0.3">
      <c r="A146" s="38" t="s">
        <v>281</v>
      </c>
      <c r="B146" s="36">
        <v>144</v>
      </c>
      <c r="C146" s="71" t="str">
        <f t="shared" ca="1" si="45"/>
        <v>10년~5년 사이</v>
      </c>
      <c r="D146" s="82">
        <v>42700</v>
      </c>
      <c r="E146" s="72">
        <f t="shared" si="46"/>
        <v>2</v>
      </c>
      <c r="F146" s="8" t="s">
        <v>1</v>
      </c>
      <c r="G146" s="85" t="s">
        <v>97</v>
      </c>
      <c r="H146" s="85" t="s">
        <v>98</v>
      </c>
      <c r="I146" s="84" t="s">
        <v>465</v>
      </c>
      <c r="J146" s="74" t="s">
        <v>4</v>
      </c>
      <c r="K146" s="75" t="s">
        <v>187</v>
      </c>
      <c r="L146" s="76">
        <v>0.82899999999999996</v>
      </c>
      <c r="M146" s="100">
        <v>273.7</v>
      </c>
      <c r="N146" s="100">
        <v>226.8</v>
      </c>
      <c r="O146" s="47">
        <f t="shared" si="49"/>
        <v>0.82899999999999996</v>
      </c>
      <c r="P146" s="47">
        <f t="shared" si="50"/>
        <v>0.82899999999999996</v>
      </c>
      <c r="Q146" s="47">
        <f t="shared" si="51"/>
        <v>273.7</v>
      </c>
      <c r="R146" s="47">
        <f t="shared" si="52"/>
        <v>273.7</v>
      </c>
      <c r="S146" s="47">
        <f t="shared" si="55"/>
        <v>0.82899999999999996</v>
      </c>
      <c r="T146" s="47">
        <f t="shared" si="56"/>
        <v>0.82899999999999996</v>
      </c>
      <c r="U146" s="47">
        <f t="shared" si="53"/>
        <v>226.8</v>
      </c>
      <c r="V146" s="47">
        <f t="shared" si="54"/>
        <v>226.8</v>
      </c>
      <c r="W146" s="98">
        <f t="shared" si="47"/>
        <v>226.8</v>
      </c>
      <c r="X146" s="98">
        <f t="shared" si="48"/>
        <v>0.82899999999999996</v>
      </c>
      <c r="AB146" s="42" t="s">
        <v>187</v>
      </c>
      <c r="AE146" s="42" t="s">
        <v>24</v>
      </c>
      <c r="AX146" s="42"/>
      <c r="AY146" s="42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</row>
    <row r="147" spans="1:71" ht="16.5" x14ac:dyDescent="0.3">
      <c r="A147" s="38" t="s">
        <v>281</v>
      </c>
      <c r="B147" s="36">
        <v>145</v>
      </c>
      <c r="C147" s="71" t="str">
        <f t="shared" ca="1" si="45"/>
        <v>10년~5년 사이</v>
      </c>
      <c r="D147" s="82">
        <v>42700</v>
      </c>
      <c r="E147" s="72">
        <f t="shared" si="46"/>
        <v>2</v>
      </c>
      <c r="F147" s="8" t="s">
        <v>1</v>
      </c>
      <c r="G147" s="85" t="s">
        <v>466</v>
      </c>
      <c r="H147" s="85" t="s">
        <v>467</v>
      </c>
      <c r="I147" s="84" t="s">
        <v>465</v>
      </c>
      <c r="J147" s="74" t="s">
        <v>4</v>
      </c>
      <c r="K147" s="75" t="s">
        <v>187</v>
      </c>
      <c r="L147" s="76">
        <v>0.82899999999999996</v>
      </c>
      <c r="M147" s="100">
        <v>273.7</v>
      </c>
      <c r="N147" s="100">
        <v>226.8</v>
      </c>
      <c r="O147" s="47">
        <f t="shared" si="49"/>
        <v>0.82899999999999996</v>
      </c>
      <c r="P147" s="47">
        <f t="shared" si="50"/>
        <v>0.82899999999999996</v>
      </c>
      <c r="Q147" s="47">
        <f t="shared" si="51"/>
        <v>273.7</v>
      </c>
      <c r="R147" s="47">
        <f t="shared" si="52"/>
        <v>273.7</v>
      </c>
      <c r="S147" s="47">
        <f t="shared" si="55"/>
        <v>0.82899999999999996</v>
      </c>
      <c r="T147" s="47">
        <f t="shared" si="56"/>
        <v>0.82899999999999996</v>
      </c>
      <c r="U147" s="47">
        <f t="shared" si="53"/>
        <v>226.8</v>
      </c>
      <c r="V147" s="47">
        <f t="shared" si="54"/>
        <v>226.8</v>
      </c>
      <c r="W147" s="98">
        <f t="shared" si="47"/>
        <v>226.8</v>
      </c>
      <c r="X147" s="98">
        <f t="shared" si="48"/>
        <v>0.82899999999999996</v>
      </c>
      <c r="AB147" s="42" t="s">
        <v>187</v>
      </c>
      <c r="AE147" s="42" t="s">
        <v>24</v>
      </c>
      <c r="AX147" s="42"/>
      <c r="AY147" s="42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</row>
    <row r="148" spans="1:71" ht="16.5" x14ac:dyDescent="0.3">
      <c r="A148" s="38" t="s">
        <v>281</v>
      </c>
      <c r="B148" s="36">
        <v>146</v>
      </c>
      <c r="C148" s="71" t="str">
        <f t="shared" ca="1" si="45"/>
        <v>10년~5년 사이</v>
      </c>
      <c r="D148" s="82">
        <v>42710</v>
      </c>
      <c r="E148" s="72">
        <f t="shared" si="46"/>
        <v>1</v>
      </c>
      <c r="F148" s="8" t="s">
        <v>1</v>
      </c>
      <c r="G148" s="85" t="s">
        <v>85</v>
      </c>
      <c r="H148" s="85" t="s">
        <v>463</v>
      </c>
      <c r="I148" s="84" t="s">
        <v>464</v>
      </c>
      <c r="J148" s="74" t="s">
        <v>4</v>
      </c>
      <c r="K148" s="75" t="s">
        <v>187</v>
      </c>
      <c r="L148" s="76">
        <v>1</v>
      </c>
      <c r="M148" s="100">
        <v>129.6</v>
      </c>
      <c r="N148" s="100">
        <f>M148</f>
        <v>129.6</v>
      </c>
      <c r="O148" s="47">
        <f t="shared" si="49"/>
        <v>1</v>
      </c>
      <c r="P148" s="47" t="str">
        <f t="shared" si="50"/>
        <v/>
      </c>
      <c r="Q148" s="47">
        <f t="shared" si="51"/>
        <v>129.6</v>
      </c>
      <c r="R148" s="47" t="str">
        <f t="shared" si="52"/>
        <v/>
      </c>
      <c r="S148" s="47">
        <f t="shared" si="55"/>
        <v>1</v>
      </c>
      <c r="T148" s="47" t="str">
        <f t="shared" si="56"/>
        <v/>
      </c>
      <c r="U148" s="47">
        <f t="shared" si="53"/>
        <v>129.6</v>
      </c>
      <c r="V148" s="47" t="str">
        <f t="shared" si="54"/>
        <v/>
      </c>
      <c r="W148" s="98">
        <f t="shared" si="47"/>
        <v>129.6</v>
      </c>
      <c r="X148" s="98">
        <f t="shared" si="48"/>
        <v>1</v>
      </c>
      <c r="AB148" s="42" t="s">
        <v>187</v>
      </c>
      <c r="AE148" s="42" t="s">
        <v>24</v>
      </c>
      <c r="AX148" s="42"/>
      <c r="AY148" s="42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</row>
    <row r="149" spans="1:71" ht="16.5" x14ac:dyDescent="0.3">
      <c r="A149" s="38" t="s">
        <v>281</v>
      </c>
      <c r="B149" s="36">
        <v>147</v>
      </c>
      <c r="C149" s="71" t="str">
        <f t="shared" ca="1" si="45"/>
        <v>10년~5년 사이</v>
      </c>
      <c r="D149" s="79">
        <v>42711</v>
      </c>
      <c r="E149" s="72" t="str">
        <f t="shared" si="46"/>
        <v/>
      </c>
      <c r="F149" s="8" t="s">
        <v>1</v>
      </c>
      <c r="G149" s="59" t="s">
        <v>17</v>
      </c>
      <c r="H149" s="59" t="s">
        <v>834</v>
      </c>
      <c r="I149" s="57" t="s">
        <v>522</v>
      </c>
      <c r="J149" s="74" t="s">
        <v>4</v>
      </c>
      <c r="K149" s="75" t="s">
        <v>187</v>
      </c>
      <c r="L149" s="76">
        <v>1</v>
      </c>
      <c r="M149" s="47">
        <v>15.6</v>
      </c>
      <c r="N149" s="47">
        <v>15.6</v>
      </c>
      <c r="O149" s="47" t="str">
        <f t="shared" si="49"/>
        <v/>
      </c>
      <c r="P149" s="47" t="str">
        <f t="shared" si="50"/>
        <v/>
      </c>
      <c r="Q149" s="47" t="str">
        <f t="shared" si="51"/>
        <v/>
      </c>
      <c r="R149" s="47" t="str">
        <f t="shared" si="52"/>
        <v/>
      </c>
      <c r="S149" s="47" t="str">
        <f t="shared" si="55"/>
        <v/>
      </c>
      <c r="T149" s="47" t="str">
        <f t="shared" si="56"/>
        <v/>
      </c>
      <c r="U149" s="47" t="str">
        <f t="shared" si="53"/>
        <v/>
      </c>
      <c r="V149" s="47" t="str">
        <f t="shared" si="54"/>
        <v/>
      </c>
      <c r="W149" s="98">
        <f t="shared" si="47"/>
        <v>15.6</v>
      </c>
      <c r="X149" s="98">
        <f t="shared" si="48"/>
        <v>1</v>
      </c>
      <c r="AB149" s="42" t="s">
        <v>187</v>
      </c>
      <c r="AE149" s="42" t="s">
        <v>24</v>
      </c>
      <c r="BG149"/>
      <c r="BH149"/>
      <c r="BI149"/>
      <c r="BJ149"/>
      <c r="BK149"/>
      <c r="BL149"/>
      <c r="BM149"/>
      <c r="BN149"/>
      <c r="BO149"/>
      <c r="BP149"/>
      <c r="BQ149"/>
      <c r="BR149"/>
      <c r="BS149"/>
    </row>
    <row r="150" spans="1:71" ht="16.5" x14ac:dyDescent="0.3">
      <c r="A150" s="38" t="s">
        <v>281</v>
      </c>
      <c r="B150" s="36">
        <v>148</v>
      </c>
      <c r="C150" s="71" t="str">
        <f t="shared" ca="1" si="45"/>
        <v>10년~5년 사이</v>
      </c>
      <c r="D150" s="77">
        <v>42717</v>
      </c>
      <c r="E150" s="72">
        <f t="shared" si="46"/>
        <v>1</v>
      </c>
      <c r="F150" s="8" t="s">
        <v>1</v>
      </c>
      <c r="G150" s="86" t="s">
        <v>68</v>
      </c>
      <c r="H150" s="86" t="s">
        <v>75</v>
      </c>
      <c r="I150" s="78" t="s">
        <v>470</v>
      </c>
      <c r="J150" s="74" t="s">
        <v>4</v>
      </c>
      <c r="K150" s="75" t="s">
        <v>187</v>
      </c>
      <c r="L150" s="76">
        <v>0.4</v>
      </c>
      <c r="M150" s="102">
        <v>363.8</v>
      </c>
      <c r="N150" s="102">
        <v>145.5</v>
      </c>
      <c r="O150" s="47">
        <f t="shared" si="49"/>
        <v>0.4</v>
      </c>
      <c r="P150" s="47">
        <f t="shared" si="50"/>
        <v>0.4</v>
      </c>
      <c r="Q150" s="47">
        <f t="shared" si="51"/>
        <v>363.8</v>
      </c>
      <c r="R150" s="47">
        <f t="shared" si="52"/>
        <v>363.8</v>
      </c>
      <c r="S150" s="47">
        <f t="shared" si="55"/>
        <v>0.4</v>
      </c>
      <c r="T150" s="47" t="str">
        <f t="shared" si="56"/>
        <v/>
      </c>
      <c r="U150" s="47">
        <f t="shared" si="53"/>
        <v>145.5</v>
      </c>
      <c r="V150" s="47" t="str">
        <f t="shared" si="54"/>
        <v/>
      </c>
      <c r="W150" s="98">
        <f t="shared" si="47"/>
        <v>145.5</v>
      </c>
      <c r="X150" s="98">
        <f t="shared" si="48"/>
        <v>0.4</v>
      </c>
      <c r="AB150" s="42" t="s">
        <v>187</v>
      </c>
      <c r="AE150" s="42" t="s">
        <v>24</v>
      </c>
      <c r="AX150" s="42"/>
      <c r="AY150" s="42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</row>
    <row r="151" spans="1:71" ht="16.5" x14ac:dyDescent="0.3">
      <c r="A151" s="38" t="s">
        <v>281</v>
      </c>
      <c r="B151" s="36">
        <v>149</v>
      </c>
      <c r="C151" s="71" t="str">
        <f t="shared" ca="1" si="45"/>
        <v>10년~5년 사이</v>
      </c>
      <c r="D151" s="77">
        <v>42717</v>
      </c>
      <c r="E151" s="72">
        <f t="shared" si="46"/>
        <v>1</v>
      </c>
      <c r="F151" s="8" t="s">
        <v>1</v>
      </c>
      <c r="G151" s="86" t="s">
        <v>471</v>
      </c>
      <c r="H151" s="86" t="s">
        <v>472</v>
      </c>
      <c r="I151" s="78" t="s">
        <v>470</v>
      </c>
      <c r="J151" s="74" t="s">
        <v>4</v>
      </c>
      <c r="K151" s="75" t="s">
        <v>187</v>
      </c>
      <c r="L151" s="76">
        <v>0.4</v>
      </c>
      <c r="M151" s="102">
        <v>363.8</v>
      </c>
      <c r="N151" s="102">
        <v>145.5</v>
      </c>
      <c r="O151" s="47">
        <f t="shared" si="49"/>
        <v>0.4</v>
      </c>
      <c r="P151" s="47">
        <f t="shared" si="50"/>
        <v>0.4</v>
      </c>
      <c r="Q151" s="47">
        <f t="shared" si="51"/>
        <v>363.8</v>
      </c>
      <c r="R151" s="47">
        <f t="shared" si="52"/>
        <v>363.8</v>
      </c>
      <c r="S151" s="47">
        <f t="shared" si="55"/>
        <v>0.4</v>
      </c>
      <c r="T151" s="47" t="str">
        <f t="shared" si="56"/>
        <v/>
      </c>
      <c r="U151" s="47">
        <f t="shared" si="53"/>
        <v>145.5</v>
      </c>
      <c r="V151" s="47" t="str">
        <f t="shared" si="54"/>
        <v/>
      </c>
      <c r="W151" s="98">
        <f t="shared" si="47"/>
        <v>145.5</v>
      </c>
      <c r="X151" s="98">
        <f t="shared" si="48"/>
        <v>0.4</v>
      </c>
      <c r="AB151" s="42" t="s">
        <v>187</v>
      </c>
      <c r="AE151" s="42" t="s">
        <v>24</v>
      </c>
      <c r="AX151" s="42"/>
      <c r="AY151" s="42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</row>
    <row r="152" spans="1:71" ht="16.5" x14ac:dyDescent="0.3">
      <c r="A152" s="38" t="s">
        <v>281</v>
      </c>
      <c r="B152" s="36">
        <v>150</v>
      </c>
      <c r="C152" s="71" t="str">
        <f t="shared" ca="1" si="45"/>
        <v>10년~5년 사이</v>
      </c>
      <c r="D152" s="82">
        <v>42726</v>
      </c>
      <c r="E152" s="72">
        <f t="shared" si="46"/>
        <v>2</v>
      </c>
      <c r="F152" s="8" t="s">
        <v>1</v>
      </c>
      <c r="G152" s="85" t="s">
        <v>68</v>
      </c>
      <c r="H152" s="85" t="s">
        <v>468</v>
      </c>
      <c r="I152" s="84" t="s">
        <v>469</v>
      </c>
      <c r="J152" s="74" t="s">
        <v>4</v>
      </c>
      <c r="K152" s="75" t="s">
        <v>187</v>
      </c>
      <c r="L152" s="76">
        <v>0.7</v>
      </c>
      <c r="M152" s="100">
        <v>452.5</v>
      </c>
      <c r="N152" s="100">
        <v>316.7</v>
      </c>
      <c r="O152" s="47">
        <f t="shared" si="49"/>
        <v>0.7</v>
      </c>
      <c r="P152" s="47">
        <f t="shared" si="50"/>
        <v>0.7</v>
      </c>
      <c r="Q152" s="47">
        <f t="shared" si="51"/>
        <v>452.5</v>
      </c>
      <c r="R152" s="47">
        <f t="shared" si="52"/>
        <v>452.5</v>
      </c>
      <c r="S152" s="47">
        <f t="shared" si="55"/>
        <v>0.7</v>
      </c>
      <c r="T152" s="47">
        <f t="shared" si="56"/>
        <v>0.7</v>
      </c>
      <c r="U152" s="47">
        <f t="shared" si="53"/>
        <v>316.7</v>
      </c>
      <c r="V152" s="47">
        <f t="shared" si="54"/>
        <v>316.7</v>
      </c>
      <c r="W152" s="98">
        <f t="shared" si="47"/>
        <v>316.7</v>
      </c>
      <c r="X152" s="98">
        <f t="shared" si="48"/>
        <v>0.7</v>
      </c>
      <c r="AB152" s="42" t="s">
        <v>187</v>
      </c>
      <c r="AE152" s="42" t="s">
        <v>24</v>
      </c>
      <c r="AX152" s="42"/>
      <c r="AY152" s="4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</row>
    <row r="153" spans="1:71" ht="16.5" x14ac:dyDescent="0.3">
      <c r="A153" s="38" t="s">
        <v>281</v>
      </c>
      <c r="B153" s="36">
        <v>151</v>
      </c>
      <c r="C153" s="71" t="str">
        <f t="shared" ca="1" si="45"/>
        <v>10년~5년 사이</v>
      </c>
      <c r="D153" s="79">
        <v>42727</v>
      </c>
      <c r="E153" s="72" t="str">
        <f t="shared" si="46"/>
        <v/>
      </c>
      <c r="F153" s="8" t="s">
        <v>1</v>
      </c>
      <c r="G153" s="59" t="s">
        <v>253</v>
      </c>
      <c r="H153" s="59" t="s">
        <v>537</v>
      </c>
      <c r="I153" s="57" t="s">
        <v>538</v>
      </c>
      <c r="J153" s="74" t="s">
        <v>4</v>
      </c>
      <c r="K153" s="75" t="s">
        <v>187</v>
      </c>
      <c r="L153" s="76">
        <v>1</v>
      </c>
      <c r="M153" s="47">
        <v>19.600000000000001</v>
      </c>
      <c r="N153" s="47">
        <v>19.600000000000001</v>
      </c>
      <c r="O153" s="47" t="str">
        <f t="shared" si="49"/>
        <v/>
      </c>
      <c r="P153" s="47" t="str">
        <f t="shared" si="50"/>
        <v/>
      </c>
      <c r="Q153" s="47" t="str">
        <f t="shared" si="51"/>
        <v/>
      </c>
      <c r="R153" s="47" t="str">
        <f t="shared" si="52"/>
        <v/>
      </c>
      <c r="S153" s="47" t="str">
        <f t="shared" si="55"/>
        <v/>
      </c>
      <c r="T153" s="47" t="str">
        <f t="shared" si="56"/>
        <v/>
      </c>
      <c r="U153" s="47" t="str">
        <f t="shared" si="53"/>
        <v/>
      </c>
      <c r="V153" s="47" t="str">
        <f t="shared" si="54"/>
        <v/>
      </c>
      <c r="W153" s="98">
        <f t="shared" si="47"/>
        <v>19.600000000000001</v>
      </c>
      <c r="X153" s="98">
        <f t="shared" si="48"/>
        <v>1</v>
      </c>
      <c r="AB153" s="42" t="s">
        <v>187</v>
      </c>
      <c r="BG153"/>
      <c r="BH153"/>
      <c r="BI153"/>
      <c r="BJ153"/>
      <c r="BK153"/>
      <c r="BL153"/>
      <c r="BM153"/>
      <c r="BN153"/>
      <c r="BO153"/>
      <c r="BP153"/>
      <c r="BQ153"/>
      <c r="BR153"/>
      <c r="BS153"/>
    </row>
    <row r="154" spans="1:71" ht="16.5" x14ac:dyDescent="0.3">
      <c r="A154" s="38" t="s">
        <v>281</v>
      </c>
      <c r="B154" s="36">
        <v>152</v>
      </c>
      <c r="C154" s="71" t="str">
        <f t="shared" ca="1" si="45"/>
        <v>10년~5년 사이</v>
      </c>
      <c r="D154" s="79">
        <v>42731</v>
      </c>
      <c r="E154" s="72" t="str">
        <f t="shared" si="46"/>
        <v/>
      </c>
      <c r="F154" s="8" t="s">
        <v>1</v>
      </c>
      <c r="G154" s="59" t="s">
        <v>309</v>
      </c>
      <c r="H154" s="59" t="s">
        <v>363</v>
      </c>
      <c r="I154" s="57" t="s">
        <v>524</v>
      </c>
      <c r="J154" s="74" t="s">
        <v>4</v>
      </c>
      <c r="K154" s="75" t="s">
        <v>187</v>
      </c>
      <c r="L154" s="76">
        <v>1</v>
      </c>
      <c r="M154" s="47">
        <v>19.8</v>
      </c>
      <c r="N154" s="47">
        <v>19.8</v>
      </c>
      <c r="O154" s="47" t="str">
        <f t="shared" si="49"/>
        <v/>
      </c>
      <c r="P154" s="47" t="str">
        <f t="shared" si="50"/>
        <v/>
      </c>
      <c r="Q154" s="47" t="str">
        <f t="shared" si="51"/>
        <v/>
      </c>
      <c r="R154" s="47" t="str">
        <f t="shared" si="52"/>
        <v/>
      </c>
      <c r="S154" s="47" t="str">
        <f t="shared" si="55"/>
        <v/>
      </c>
      <c r="T154" s="47" t="str">
        <f t="shared" si="56"/>
        <v/>
      </c>
      <c r="U154" s="47" t="str">
        <f t="shared" si="53"/>
        <v/>
      </c>
      <c r="V154" s="47" t="str">
        <f t="shared" si="54"/>
        <v/>
      </c>
      <c r="W154" s="98">
        <f t="shared" si="47"/>
        <v>19.8</v>
      </c>
      <c r="X154" s="98">
        <f t="shared" si="48"/>
        <v>1</v>
      </c>
      <c r="AB154" s="42" t="s">
        <v>187</v>
      </c>
      <c r="AE154" s="42" t="s">
        <v>24</v>
      </c>
      <c r="BG154"/>
      <c r="BH154"/>
      <c r="BI154"/>
      <c r="BJ154"/>
      <c r="BK154"/>
      <c r="BL154"/>
      <c r="BM154"/>
      <c r="BN154"/>
      <c r="BO154"/>
      <c r="BP154"/>
      <c r="BQ154"/>
      <c r="BR154"/>
      <c r="BS154"/>
    </row>
    <row r="155" spans="1:71" ht="16.5" x14ac:dyDescent="0.3">
      <c r="A155" s="38" t="s">
        <v>281</v>
      </c>
      <c r="B155" s="36">
        <v>153</v>
      </c>
      <c r="C155" s="71" t="str">
        <f t="shared" ca="1" si="45"/>
        <v>10년~5년 사이</v>
      </c>
      <c r="D155" s="82">
        <v>42733</v>
      </c>
      <c r="E155" s="72">
        <f t="shared" si="46"/>
        <v>1</v>
      </c>
      <c r="F155" s="8" t="s">
        <v>1</v>
      </c>
      <c r="G155" s="85" t="s">
        <v>459</v>
      </c>
      <c r="H155" s="85" t="s">
        <v>460</v>
      </c>
      <c r="I155" s="84" t="s">
        <v>461</v>
      </c>
      <c r="J155" s="74" t="s">
        <v>4</v>
      </c>
      <c r="K155" s="75" t="s">
        <v>187</v>
      </c>
      <c r="L155" s="76">
        <v>0.77</v>
      </c>
      <c r="M155" s="100">
        <v>148.5</v>
      </c>
      <c r="N155" s="100">
        <v>109.8</v>
      </c>
      <c r="O155" s="47">
        <f t="shared" si="49"/>
        <v>0.77</v>
      </c>
      <c r="P155" s="47" t="str">
        <f t="shared" si="50"/>
        <v/>
      </c>
      <c r="Q155" s="47">
        <f t="shared" si="51"/>
        <v>148.5</v>
      </c>
      <c r="R155" s="47" t="str">
        <f t="shared" si="52"/>
        <v/>
      </c>
      <c r="S155" s="47">
        <f t="shared" si="55"/>
        <v>0.77</v>
      </c>
      <c r="T155" s="47" t="str">
        <f t="shared" si="56"/>
        <v/>
      </c>
      <c r="U155" s="47">
        <f t="shared" si="53"/>
        <v>109.8</v>
      </c>
      <c r="V155" s="47" t="str">
        <f t="shared" si="54"/>
        <v/>
      </c>
      <c r="W155" s="98">
        <f t="shared" si="47"/>
        <v>109.8</v>
      </c>
      <c r="X155" s="98">
        <f t="shared" si="48"/>
        <v>0.77</v>
      </c>
      <c r="AB155" s="42" t="s">
        <v>187</v>
      </c>
      <c r="AE155" s="42" t="s">
        <v>24</v>
      </c>
      <c r="AX155" s="42"/>
      <c r="AY155" s="42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</row>
    <row r="156" spans="1:71" ht="16.5" x14ac:dyDescent="0.3">
      <c r="A156" s="38" t="s">
        <v>281</v>
      </c>
      <c r="B156" s="36">
        <v>154</v>
      </c>
      <c r="C156" s="71" t="str">
        <f t="shared" ca="1" si="45"/>
        <v>10년~5년 사이</v>
      </c>
      <c r="D156" s="79">
        <v>42735</v>
      </c>
      <c r="E156" s="72">
        <f t="shared" si="46"/>
        <v>1</v>
      </c>
      <c r="F156" s="8" t="s">
        <v>1</v>
      </c>
      <c r="G156" s="59" t="s">
        <v>480</v>
      </c>
      <c r="H156" s="59" t="s">
        <v>510</v>
      </c>
      <c r="I156" s="57" t="s">
        <v>511</v>
      </c>
      <c r="J156" s="74" t="s">
        <v>4</v>
      </c>
      <c r="K156" s="75" t="s">
        <v>187</v>
      </c>
      <c r="L156" s="76">
        <v>1</v>
      </c>
      <c r="M156" s="47">
        <v>125.2</v>
      </c>
      <c r="N156" s="47">
        <v>125.2</v>
      </c>
      <c r="O156" s="47">
        <f t="shared" si="49"/>
        <v>1</v>
      </c>
      <c r="P156" s="47" t="str">
        <f t="shared" si="50"/>
        <v/>
      </c>
      <c r="Q156" s="47">
        <f t="shared" si="51"/>
        <v>125.2</v>
      </c>
      <c r="R156" s="47" t="str">
        <f t="shared" si="52"/>
        <v/>
      </c>
      <c r="S156" s="47">
        <f t="shared" si="55"/>
        <v>1</v>
      </c>
      <c r="T156" s="47" t="str">
        <f t="shared" si="56"/>
        <v/>
      </c>
      <c r="U156" s="47">
        <f t="shared" si="53"/>
        <v>125.2</v>
      </c>
      <c r="V156" s="47" t="str">
        <f t="shared" si="54"/>
        <v/>
      </c>
      <c r="W156" s="98">
        <f t="shared" si="47"/>
        <v>125.2</v>
      </c>
      <c r="X156" s="98">
        <f t="shared" si="48"/>
        <v>1</v>
      </c>
      <c r="AB156" s="42" t="s">
        <v>187</v>
      </c>
      <c r="AE156" s="42" t="s">
        <v>24</v>
      </c>
      <c r="BG156"/>
      <c r="BH156"/>
      <c r="BI156"/>
      <c r="BJ156"/>
      <c r="BK156"/>
      <c r="BL156"/>
      <c r="BM156"/>
      <c r="BN156"/>
      <c r="BO156"/>
      <c r="BP156"/>
      <c r="BQ156"/>
      <c r="BR156"/>
      <c r="BS156"/>
    </row>
    <row r="157" spans="1:71" ht="16.5" x14ac:dyDescent="0.3">
      <c r="A157" s="38" t="s">
        <v>281</v>
      </c>
      <c r="B157" s="36">
        <v>155</v>
      </c>
      <c r="C157" s="71" t="str">
        <f t="shared" ca="1" si="45"/>
        <v>10년~5년 사이</v>
      </c>
      <c r="D157" s="79">
        <v>42755</v>
      </c>
      <c r="E157" s="72">
        <f t="shared" si="46"/>
        <v>2</v>
      </c>
      <c r="F157" s="8" t="s">
        <v>1</v>
      </c>
      <c r="G157" s="59" t="s">
        <v>491</v>
      </c>
      <c r="H157" s="59" t="s">
        <v>492</v>
      </c>
      <c r="I157" s="57" t="s">
        <v>494</v>
      </c>
      <c r="J157" s="74" t="s">
        <v>4</v>
      </c>
      <c r="K157" s="75" t="s">
        <v>187</v>
      </c>
      <c r="L157" s="76">
        <v>0.7</v>
      </c>
      <c r="M157" s="47">
        <v>684.5</v>
      </c>
      <c r="N157" s="47">
        <v>456.9</v>
      </c>
      <c r="O157" s="47">
        <f t="shared" si="49"/>
        <v>0.7</v>
      </c>
      <c r="P157" s="47">
        <f t="shared" si="50"/>
        <v>0.7</v>
      </c>
      <c r="Q157" s="47">
        <f t="shared" si="51"/>
        <v>684.5</v>
      </c>
      <c r="R157" s="47">
        <f t="shared" si="52"/>
        <v>684.5</v>
      </c>
      <c r="S157" s="47">
        <f t="shared" si="55"/>
        <v>0.7</v>
      </c>
      <c r="T157" s="47">
        <f t="shared" si="56"/>
        <v>0.7</v>
      </c>
      <c r="U157" s="47">
        <f t="shared" si="53"/>
        <v>456.9</v>
      </c>
      <c r="V157" s="47">
        <f t="shared" si="54"/>
        <v>456.9</v>
      </c>
      <c r="W157" s="98">
        <f t="shared" si="47"/>
        <v>456.9</v>
      </c>
      <c r="X157" s="98">
        <f t="shared" si="48"/>
        <v>0.7</v>
      </c>
      <c r="AB157" s="42" t="s">
        <v>187</v>
      </c>
      <c r="BG157"/>
      <c r="BH157"/>
      <c r="BI157"/>
      <c r="BJ157"/>
      <c r="BK157"/>
      <c r="BL157"/>
      <c r="BM157"/>
      <c r="BN157"/>
      <c r="BO157"/>
      <c r="BP157"/>
      <c r="BQ157"/>
      <c r="BR157"/>
      <c r="BS157"/>
    </row>
    <row r="158" spans="1:71" ht="16.5" x14ac:dyDescent="0.3">
      <c r="A158" s="38" t="s">
        <v>281</v>
      </c>
      <c r="B158" s="36">
        <v>156</v>
      </c>
      <c r="C158" s="71" t="str">
        <f t="shared" ca="1" si="45"/>
        <v>10년~5년 사이</v>
      </c>
      <c r="D158" s="79">
        <v>42795</v>
      </c>
      <c r="E158" s="72">
        <f t="shared" si="46"/>
        <v>2</v>
      </c>
      <c r="F158" s="8" t="s">
        <v>1</v>
      </c>
      <c r="G158" s="59" t="s">
        <v>68</v>
      </c>
      <c r="H158" s="59" t="s">
        <v>526</v>
      </c>
      <c r="I158" s="57" t="s">
        <v>527</v>
      </c>
      <c r="J158" s="74" t="s">
        <v>4</v>
      </c>
      <c r="K158" s="75" t="s">
        <v>187</v>
      </c>
      <c r="L158" s="76">
        <v>0.622</v>
      </c>
      <c r="M158" s="47">
        <v>740</v>
      </c>
      <c r="N158" s="47">
        <v>460.2</v>
      </c>
      <c r="O158" s="47">
        <f t="shared" si="49"/>
        <v>0.622</v>
      </c>
      <c r="P158" s="47">
        <f t="shared" si="50"/>
        <v>0.622</v>
      </c>
      <c r="Q158" s="47">
        <f t="shared" si="51"/>
        <v>740</v>
      </c>
      <c r="R158" s="47">
        <f t="shared" si="52"/>
        <v>740</v>
      </c>
      <c r="S158" s="47">
        <f t="shared" si="55"/>
        <v>0.622</v>
      </c>
      <c r="T158" s="47">
        <f t="shared" si="56"/>
        <v>0.622</v>
      </c>
      <c r="U158" s="47">
        <f t="shared" si="53"/>
        <v>460.2</v>
      </c>
      <c r="V158" s="47">
        <f t="shared" si="54"/>
        <v>460.2</v>
      </c>
      <c r="W158" s="98">
        <f t="shared" si="47"/>
        <v>460.2</v>
      </c>
      <c r="X158" s="98">
        <f t="shared" si="48"/>
        <v>0.622</v>
      </c>
      <c r="AB158" s="42" t="s">
        <v>187</v>
      </c>
      <c r="AE158" s="42" t="s">
        <v>24</v>
      </c>
      <c r="BG158"/>
      <c r="BH158"/>
      <c r="BI158"/>
      <c r="BJ158"/>
      <c r="BK158"/>
      <c r="BL158"/>
      <c r="BM158"/>
      <c r="BN158"/>
      <c r="BO158"/>
      <c r="BP158"/>
      <c r="BQ158"/>
      <c r="BR158"/>
      <c r="BS158"/>
    </row>
    <row r="159" spans="1:71" ht="16.5" x14ac:dyDescent="0.3">
      <c r="A159" s="38" t="s">
        <v>281</v>
      </c>
      <c r="B159" s="36">
        <v>157</v>
      </c>
      <c r="C159" s="71" t="str">
        <f t="shared" ca="1" si="45"/>
        <v>10년~5년 사이</v>
      </c>
      <c r="D159" s="79">
        <v>42818</v>
      </c>
      <c r="E159" s="72">
        <f t="shared" si="46"/>
        <v>1</v>
      </c>
      <c r="F159" s="8" t="s">
        <v>1</v>
      </c>
      <c r="G159" s="59" t="s">
        <v>10</v>
      </c>
      <c r="H159" s="67" t="s">
        <v>48</v>
      </c>
      <c r="I159" s="57" t="s">
        <v>530</v>
      </c>
      <c r="J159" s="74" t="s">
        <v>4</v>
      </c>
      <c r="K159" s="75" t="s">
        <v>187</v>
      </c>
      <c r="L159" s="76">
        <v>0.4</v>
      </c>
      <c r="M159" s="47">
        <v>264</v>
      </c>
      <c r="N159" s="47">
        <v>105.6</v>
      </c>
      <c r="O159" s="47">
        <f t="shared" si="49"/>
        <v>0.4</v>
      </c>
      <c r="P159" s="47">
        <f t="shared" si="50"/>
        <v>0.4</v>
      </c>
      <c r="Q159" s="47">
        <f t="shared" si="51"/>
        <v>264</v>
      </c>
      <c r="R159" s="47">
        <f t="shared" si="52"/>
        <v>264</v>
      </c>
      <c r="S159" s="47">
        <f t="shared" si="55"/>
        <v>0.4</v>
      </c>
      <c r="T159" s="47" t="str">
        <f t="shared" si="56"/>
        <v/>
      </c>
      <c r="U159" s="47">
        <f t="shared" si="53"/>
        <v>105.6</v>
      </c>
      <c r="V159" s="47" t="str">
        <f t="shared" si="54"/>
        <v/>
      </c>
      <c r="W159" s="98">
        <f t="shared" ref="W159:W190" si="57">N159</f>
        <v>105.6</v>
      </c>
      <c r="X159" s="98">
        <f t="shared" ref="X159:X190" si="58">IF(W159&gt;0,L159,"")</f>
        <v>0.4</v>
      </c>
      <c r="AB159" s="42" t="s">
        <v>187</v>
      </c>
      <c r="AE159" s="42" t="s">
        <v>24</v>
      </c>
      <c r="BG159"/>
      <c r="BH159"/>
      <c r="BI159"/>
      <c r="BJ159"/>
      <c r="BK159"/>
      <c r="BL159"/>
      <c r="BM159"/>
      <c r="BN159"/>
      <c r="BO159"/>
      <c r="BP159"/>
      <c r="BQ159"/>
      <c r="BR159"/>
      <c r="BS159"/>
    </row>
    <row r="160" spans="1:71" ht="16.5" x14ac:dyDescent="0.3">
      <c r="A160" s="38" t="s">
        <v>281</v>
      </c>
      <c r="B160" s="36">
        <v>158</v>
      </c>
      <c r="C160" s="71" t="str">
        <f t="shared" ca="1" si="45"/>
        <v>10년~5년 사이</v>
      </c>
      <c r="D160" s="79">
        <v>42844</v>
      </c>
      <c r="E160" s="72">
        <f t="shared" si="46"/>
        <v>1</v>
      </c>
      <c r="F160" s="8" t="s">
        <v>1</v>
      </c>
      <c r="G160" s="59" t="s">
        <v>17</v>
      </c>
      <c r="H160" s="66" t="s">
        <v>138</v>
      </c>
      <c r="I160" s="57" t="s">
        <v>517</v>
      </c>
      <c r="J160" s="74" t="s">
        <v>4</v>
      </c>
      <c r="K160" s="75" t="s">
        <v>187</v>
      </c>
      <c r="L160" s="76">
        <v>1</v>
      </c>
      <c r="M160" s="47">
        <v>134.9</v>
      </c>
      <c r="N160" s="47">
        <v>134.9</v>
      </c>
      <c r="O160" s="47">
        <f t="shared" si="49"/>
        <v>1</v>
      </c>
      <c r="P160" s="47" t="str">
        <f t="shared" si="50"/>
        <v/>
      </c>
      <c r="Q160" s="47">
        <f t="shared" si="51"/>
        <v>134.9</v>
      </c>
      <c r="R160" s="47" t="str">
        <f t="shared" si="52"/>
        <v/>
      </c>
      <c r="S160" s="47">
        <f t="shared" si="55"/>
        <v>1</v>
      </c>
      <c r="T160" s="47" t="str">
        <f t="shared" si="56"/>
        <v/>
      </c>
      <c r="U160" s="47">
        <f t="shared" si="53"/>
        <v>134.9</v>
      </c>
      <c r="V160" s="47" t="str">
        <f t="shared" si="54"/>
        <v/>
      </c>
      <c r="W160" s="98">
        <f t="shared" si="57"/>
        <v>134.9</v>
      </c>
      <c r="X160" s="98">
        <f t="shared" si="58"/>
        <v>1</v>
      </c>
      <c r="AB160" s="42" t="s">
        <v>187</v>
      </c>
      <c r="AE160" s="42" t="s">
        <v>24</v>
      </c>
      <c r="BG160"/>
      <c r="BH160"/>
      <c r="BI160"/>
      <c r="BJ160"/>
      <c r="BK160"/>
      <c r="BL160"/>
      <c r="BM160"/>
      <c r="BN160"/>
      <c r="BO160"/>
      <c r="BP160"/>
      <c r="BQ160"/>
      <c r="BR160"/>
      <c r="BS160"/>
    </row>
    <row r="161" spans="1:71" ht="16.5" x14ac:dyDescent="0.3">
      <c r="A161" s="38" t="s">
        <v>281</v>
      </c>
      <c r="B161" s="36">
        <v>159</v>
      </c>
      <c r="C161" s="71" t="str">
        <f t="shared" ca="1" si="45"/>
        <v>10년~5년 사이</v>
      </c>
      <c r="D161" s="79">
        <v>42844</v>
      </c>
      <c r="E161" s="72">
        <f t="shared" si="46"/>
        <v>1</v>
      </c>
      <c r="F161" s="8" t="s">
        <v>1</v>
      </c>
      <c r="G161" s="59" t="s">
        <v>177</v>
      </c>
      <c r="H161" s="59" t="s">
        <v>518</v>
      </c>
      <c r="I161" s="57" t="s">
        <v>517</v>
      </c>
      <c r="J161" s="74" t="s">
        <v>4</v>
      </c>
      <c r="K161" s="75" t="s">
        <v>187</v>
      </c>
      <c r="L161" s="76">
        <v>1</v>
      </c>
      <c r="M161" s="47">
        <v>134.9</v>
      </c>
      <c r="N161" s="47">
        <v>134.9</v>
      </c>
      <c r="O161" s="47">
        <f t="shared" si="49"/>
        <v>1</v>
      </c>
      <c r="P161" s="47" t="str">
        <f t="shared" si="50"/>
        <v/>
      </c>
      <c r="Q161" s="47">
        <f t="shared" si="51"/>
        <v>134.9</v>
      </c>
      <c r="R161" s="47" t="str">
        <f t="shared" si="52"/>
        <v/>
      </c>
      <c r="S161" s="47">
        <f t="shared" si="55"/>
        <v>1</v>
      </c>
      <c r="T161" s="47" t="str">
        <f t="shared" si="56"/>
        <v/>
      </c>
      <c r="U161" s="47">
        <f t="shared" si="53"/>
        <v>134.9</v>
      </c>
      <c r="V161" s="47" t="str">
        <f t="shared" si="54"/>
        <v/>
      </c>
      <c r="W161" s="98">
        <f t="shared" si="57"/>
        <v>134.9</v>
      </c>
      <c r="X161" s="98">
        <f t="shared" si="58"/>
        <v>1</v>
      </c>
      <c r="AB161" s="42" t="s">
        <v>187</v>
      </c>
      <c r="AE161" s="42" t="s">
        <v>24</v>
      </c>
      <c r="BG161"/>
      <c r="BH161"/>
      <c r="BI161"/>
      <c r="BJ161"/>
      <c r="BK161"/>
      <c r="BL161"/>
      <c r="BM161"/>
      <c r="BN161"/>
      <c r="BO161"/>
      <c r="BP161"/>
      <c r="BQ161"/>
      <c r="BR161"/>
      <c r="BS161"/>
    </row>
    <row r="162" spans="1:71" ht="16.5" x14ac:dyDescent="0.3">
      <c r="A162" s="38" t="s">
        <v>281</v>
      </c>
      <c r="B162" s="36">
        <v>160</v>
      </c>
      <c r="C162" s="71" t="str">
        <f t="shared" ca="1" si="45"/>
        <v>10년~5년 사이</v>
      </c>
      <c r="D162" s="79">
        <v>42849</v>
      </c>
      <c r="E162" s="72">
        <f t="shared" si="46"/>
        <v>2</v>
      </c>
      <c r="F162" s="8" t="s">
        <v>1</v>
      </c>
      <c r="G162" s="59" t="s">
        <v>68</v>
      </c>
      <c r="H162" s="59" t="s">
        <v>75</v>
      </c>
      <c r="I162" s="57" t="s">
        <v>514</v>
      </c>
      <c r="J162" s="74" t="s">
        <v>4</v>
      </c>
      <c r="K162" s="75" t="s">
        <v>187</v>
      </c>
      <c r="L162" s="76">
        <v>0.95</v>
      </c>
      <c r="M162" s="47">
        <v>260.8</v>
      </c>
      <c r="N162" s="47">
        <v>247.8</v>
      </c>
      <c r="O162" s="47">
        <f t="shared" si="49"/>
        <v>0.95</v>
      </c>
      <c r="P162" s="47">
        <f t="shared" si="50"/>
        <v>0.95</v>
      </c>
      <c r="Q162" s="47">
        <f t="shared" si="51"/>
        <v>260.8</v>
      </c>
      <c r="R162" s="47">
        <f t="shared" si="52"/>
        <v>260.8</v>
      </c>
      <c r="S162" s="47">
        <f t="shared" si="55"/>
        <v>0.95</v>
      </c>
      <c r="T162" s="47">
        <f t="shared" si="56"/>
        <v>0.95</v>
      </c>
      <c r="U162" s="47">
        <f t="shared" si="53"/>
        <v>247.8</v>
      </c>
      <c r="V162" s="47">
        <f t="shared" si="54"/>
        <v>247.8</v>
      </c>
      <c r="W162" s="98">
        <f t="shared" si="57"/>
        <v>247.8</v>
      </c>
      <c r="X162" s="98">
        <f t="shared" si="58"/>
        <v>0.95</v>
      </c>
      <c r="AB162" s="42" t="s">
        <v>187</v>
      </c>
      <c r="AE162" s="42" t="s">
        <v>24</v>
      </c>
      <c r="BG162"/>
      <c r="BH162"/>
      <c r="BI162"/>
      <c r="BJ162"/>
      <c r="BK162"/>
      <c r="BL162"/>
      <c r="BM162"/>
      <c r="BN162"/>
      <c r="BO162"/>
      <c r="BP162"/>
      <c r="BQ162"/>
      <c r="BR162"/>
      <c r="BS162"/>
    </row>
    <row r="163" spans="1:71" ht="16.5" x14ac:dyDescent="0.3">
      <c r="A163" s="38" t="s">
        <v>281</v>
      </c>
      <c r="B163" s="36">
        <v>161</v>
      </c>
      <c r="C163" s="71" t="str">
        <f t="shared" ca="1" si="45"/>
        <v>10년~5년 사이</v>
      </c>
      <c r="D163" s="79">
        <v>42849</v>
      </c>
      <c r="E163" s="72">
        <f t="shared" si="46"/>
        <v>2</v>
      </c>
      <c r="F163" s="8" t="s">
        <v>1</v>
      </c>
      <c r="G163" s="59" t="s">
        <v>459</v>
      </c>
      <c r="H163" s="59" t="s">
        <v>539</v>
      </c>
      <c r="I163" s="57" t="s">
        <v>540</v>
      </c>
      <c r="J163" s="74" t="s">
        <v>4</v>
      </c>
      <c r="K163" s="75" t="s">
        <v>187</v>
      </c>
      <c r="L163" s="76">
        <v>0.55000000000000004</v>
      </c>
      <c r="M163" s="47">
        <v>1005.9</v>
      </c>
      <c r="N163" s="47">
        <v>553.20000000000005</v>
      </c>
      <c r="O163" s="47">
        <f t="shared" si="49"/>
        <v>0.55000000000000004</v>
      </c>
      <c r="P163" s="47">
        <f t="shared" si="50"/>
        <v>0.55000000000000004</v>
      </c>
      <c r="Q163" s="47">
        <f t="shared" si="51"/>
        <v>1005.9</v>
      </c>
      <c r="R163" s="47">
        <f t="shared" si="52"/>
        <v>1005.9</v>
      </c>
      <c r="S163" s="47">
        <f t="shared" si="55"/>
        <v>0.55000000000000004</v>
      </c>
      <c r="T163" s="47">
        <f t="shared" si="56"/>
        <v>0.55000000000000004</v>
      </c>
      <c r="U163" s="47">
        <f t="shared" si="53"/>
        <v>553.20000000000005</v>
      </c>
      <c r="V163" s="47">
        <f t="shared" si="54"/>
        <v>553.20000000000005</v>
      </c>
      <c r="W163" s="98">
        <f t="shared" si="57"/>
        <v>553.20000000000005</v>
      </c>
      <c r="X163" s="98">
        <f t="shared" si="58"/>
        <v>0.55000000000000004</v>
      </c>
      <c r="AB163" s="42" t="s">
        <v>187</v>
      </c>
      <c r="AE163" s="42" t="s">
        <v>24</v>
      </c>
      <c r="BG163"/>
      <c r="BH163"/>
      <c r="BI163"/>
      <c r="BJ163"/>
      <c r="BK163"/>
      <c r="BL163"/>
      <c r="BM163"/>
      <c r="BN163"/>
      <c r="BO163"/>
      <c r="BP163"/>
      <c r="BQ163"/>
      <c r="BR163"/>
      <c r="BS163"/>
    </row>
    <row r="164" spans="1:71" ht="16.5" x14ac:dyDescent="0.3">
      <c r="A164" s="38" t="s">
        <v>281</v>
      </c>
      <c r="B164" s="36">
        <v>162</v>
      </c>
      <c r="C164" s="71" t="str">
        <f t="shared" ca="1" si="45"/>
        <v>10년~5년 사이</v>
      </c>
      <c r="D164" s="79">
        <v>42863</v>
      </c>
      <c r="E164" s="72" t="str">
        <f t="shared" si="46"/>
        <v/>
      </c>
      <c r="F164" s="8" t="s">
        <v>1</v>
      </c>
      <c r="G164" s="59" t="s">
        <v>17</v>
      </c>
      <c r="H164" s="59" t="s">
        <v>301</v>
      </c>
      <c r="I164" s="57" t="s">
        <v>554</v>
      </c>
      <c r="J164" s="74" t="s">
        <v>4</v>
      </c>
      <c r="K164" s="75" t="s">
        <v>187</v>
      </c>
      <c r="L164" s="76">
        <v>1</v>
      </c>
      <c r="M164" s="47">
        <v>10.199999999999999</v>
      </c>
      <c r="N164" s="47">
        <v>10.199999999999999</v>
      </c>
      <c r="O164" s="47" t="str">
        <f t="shared" si="49"/>
        <v/>
      </c>
      <c r="P164" s="47" t="str">
        <f t="shared" si="50"/>
        <v/>
      </c>
      <c r="Q164" s="47" t="str">
        <f t="shared" si="51"/>
        <v/>
      </c>
      <c r="R164" s="47" t="str">
        <f t="shared" si="52"/>
        <v/>
      </c>
      <c r="S164" s="47" t="str">
        <f t="shared" si="55"/>
        <v/>
      </c>
      <c r="T164" s="47" t="str">
        <f t="shared" si="56"/>
        <v/>
      </c>
      <c r="U164" s="47" t="str">
        <f t="shared" si="53"/>
        <v/>
      </c>
      <c r="V164" s="47" t="str">
        <f t="shared" si="54"/>
        <v/>
      </c>
      <c r="W164" s="98">
        <f t="shared" si="57"/>
        <v>10.199999999999999</v>
      </c>
      <c r="X164" s="98">
        <f t="shared" si="58"/>
        <v>1</v>
      </c>
      <c r="AB164" s="42" t="s">
        <v>187</v>
      </c>
      <c r="AE164" s="42" t="s">
        <v>24</v>
      </c>
      <c r="BG164"/>
      <c r="BH164"/>
      <c r="BI164"/>
      <c r="BJ164"/>
      <c r="BK164"/>
      <c r="BL164"/>
      <c r="BM164"/>
      <c r="BN164"/>
      <c r="BO164"/>
      <c r="BP164"/>
      <c r="BQ164"/>
      <c r="BR164"/>
      <c r="BS164"/>
    </row>
    <row r="165" spans="1:71" ht="16.5" x14ac:dyDescent="0.3">
      <c r="A165" s="38" t="s">
        <v>281</v>
      </c>
      <c r="B165" s="36">
        <v>163</v>
      </c>
      <c r="C165" s="71" t="str">
        <f t="shared" ca="1" si="45"/>
        <v>10년~5년 사이</v>
      </c>
      <c r="D165" s="79">
        <v>42880</v>
      </c>
      <c r="E165" s="72">
        <f t="shared" si="46"/>
        <v>1</v>
      </c>
      <c r="F165" s="8" t="s">
        <v>1</v>
      </c>
      <c r="G165" s="59" t="s">
        <v>68</v>
      </c>
      <c r="H165" s="59" t="s">
        <v>233</v>
      </c>
      <c r="I165" s="83" t="s">
        <v>739</v>
      </c>
      <c r="J165" s="74" t="s">
        <v>4</v>
      </c>
      <c r="K165" s="75" t="s">
        <v>187</v>
      </c>
      <c r="L165" s="76">
        <v>0.4</v>
      </c>
      <c r="M165" s="47">
        <v>326.10000000000002</v>
      </c>
      <c r="N165" s="47">
        <v>130.4</v>
      </c>
      <c r="O165" s="47">
        <f t="shared" si="49"/>
        <v>0.4</v>
      </c>
      <c r="P165" s="47">
        <f t="shared" si="50"/>
        <v>0.4</v>
      </c>
      <c r="Q165" s="47">
        <f t="shared" si="51"/>
        <v>326.10000000000002</v>
      </c>
      <c r="R165" s="47">
        <f t="shared" si="52"/>
        <v>326.10000000000002</v>
      </c>
      <c r="S165" s="47">
        <f t="shared" si="55"/>
        <v>0.4</v>
      </c>
      <c r="T165" s="47" t="str">
        <f t="shared" si="56"/>
        <v/>
      </c>
      <c r="U165" s="47">
        <f t="shared" si="53"/>
        <v>130.4</v>
      </c>
      <c r="V165" s="47" t="str">
        <f t="shared" si="54"/>
        <v/>
      </c>
      <c r="W165" s="98">
        <f t="shared" si="57"/>
        <v>130.4</v>
      </c>
      <c r="X165" s="98">
        <f t="shared" si="58"/>
        <v>0.4</v>
      </c>
      <c r="AB165" s="42" t="s">
        <v>187</v>
      </c>
      <c r="BG165"/>
      <c r="BH165"/>
      <c r="BI165"/>
      <c r="BJ165"/>
      <c r="BK165"/>
      <c r="BL165"/>
      <c r="BM165"/>
      <c r="BN165"/>
      <c r="BO165"/>
      <c r="BP165"/>
      <c r="BQ165"/>
      <c r="BR165"/>
      <c r="BS165"/>
    </row>
    <row r="166" spans="1:71" ht="16.5" x14ac:dyDescent="0.3">
      <c r="A166" s="38" t="s">
        <v>281</v>
      </c>
      <c r="B166" s="36">
        <v>164</v>
      </c>
      <c r="C166" s="71" t="str">
        <f t="shared" ca="1" si="45"/>
        <v>10년~5년 사이</v>
      </c>
      <c r="D166" s="79">
        <v>42880</v>
      </c>
      <c r="E166" s="72">
        <f t="shared" si="46"/>
        <v>1</v>
      </c>
      <c r="F166" s="8" t="s">
        <v>1</v>
      </c>
      <c r="G166" s="59" t="s">
        <v>661</v>
      </c>
      <c r="H166" s="59" t="s">
        <v>84</v>
      </c>
      <c r="I166" s="83" t="s">
        <v>739</v>
      </c>
      <c r="J166" s="74" t="s">
        <v>4</v>
      </c>
      <c r="K166" s="75" t="s">
        <v>187</v>
      </c>
      <c r="L166" s="76">
        <v>1.4</v>
      </c>
      <c r="M166" s="47">
        <v>326.10000000000002</v>
      </c>
      <c r="N166" s="47">
        <v>130.4</v>
      </c>
      <c r="O166" s="47">
        <f t="shared" si="49"/>
        <v>1.4</v>
      </c>
      <c r="P166" s="47">
        <f t="shared" si="50"/>
        <v>1.4</v>
      </c>
      <c r="Q166" s="47">
        <f t="shared" si="51"/>
        <v>326.10000000000002</v>
      </c>
      <c r="R166" s="47">
        <f t="shared" si="52"/>
        <v>326.10000000000002</v>
      </c>
      <c r="S166" s="47">
        <f t="shared" si="55"/>
        <v>1.4</v>
      </c>
      <c r="T166" s="47" t="str">
        <f t="shared" si="56"/>
        <v/>
      </c>
      <c r="U166" s="47">
        <f t="shared" si="53"/>
        <v>130.4</v>
      </c>
      <c r="V166" s="47" t="str">
        <f t="shared" si="54"/>
        <v/>
      </c>
      <c r="W166" s="98">
        <f t="shared" si="57"/>
        <v>130.4</v>
      </c>
      <c r="X166" s="98">
        <f t="shared" si="58"/>
        <v>1.4</v>
      </c>
      <c r="AB166" s="42" t="s">
        <v>187</v>
      </c>
      <c r="BG166"/>
      <c r="BH166"/>
      <c r="BI166"/>
      <c r="BJ166"/>
      <c r="BK166"/>
      <c r="BL166"/>
      <c r="BM166"/>
      <c r="BN166"/>
      <c r="BO166"/>
      <c r="BP166"/>
      <c r="BQ166"/>
      <c r="BR166"/>
      <c r="BS166"/>
    </row>
    <row r="167" spans="1:71" ht="16.5" x14ac:dyDescent="0.3">
      <c r="A167" s="38" t="s">
        <v>281</v>
      </c>
      <c r="B167" s="36">
        <v>165</v>
      </c>
      <c r="C167" s="71" t="str">
        <f t="shared" ca="1" si="45"/>
        <v>10년~5년 사이</v>
      </c>
      <c r="D167" s="79">
        <v>42886</v>
      </c>
      <c r="E167" s="72">
        <f t="shared" si="46"/>
        <v>1</v>
      </c>
      <c r="F167" s="8" t="s">
        <v>1</v>
      </c>
      <c r="G167" s="59" t="s">
        <v>17</v>
      </c>
      <c r="H167" s="66" t="s">
        <v>139</v>
      </c>
      <c r="I167" s="83" t="s">
        <v>729</v>
      </c>
      <c r="J167" s="74" t="s">
        <v>4</v>
      </c>
      <c r="K167" s="75" t="s">
        <v>187</v>
      </c>
      <c r="L167" s="76">
        <v>0.45</v>
      </c>
      <c r="M167" s="47">
        <v>391</v>
      </c>
      <c r="N167" s="47">
        <v>175.9</v>
      </c>
      <c r="O167" s="47">
        <f t="shared" si="49"/>
        <v>0.45</v>
      </c>
      <c r="P167" s="47">
        <f t="shared" si="50"/>
        <v>0.45</v>
      </c>
      <c r="Q167" s="47">
        <f t="shared" si="51"/>
        <v>391</v>
      </c>
      <c r="R167" s="47">
        <f t="shared" si="52"/>
        <v>391</v>
      </c>
      <c r="S167" s="47">
        <f t="shared" si="55"/>
        <v>0.45</v>
      </c>
      <c r="T167" s="47" t="str">
        <f t="shared" si="56"/>
        <v/>
      </c>
      <c r="U167" s="47">
        <f t="shared" si="53"/>
        <v>175.9</v>
      </c>
      <c r="V167" s="47" t="str">
        <f t="shared" si="54"/>
        <v/>
      </c>
      <c r="W167" s="98">
        <f t="shared" si="57"/>
        <v>175.9</v>
      </c>
      <c r="X167" s="98">
        <f t="shared" si="58"/>
        <v>0.45</v>
      </c>
      <c r="AB167" s="42" t="s">
        <v>187</v>
      </c>
      <c r="AE167" s="42" t="s">
        <v>24</v>
      </c>
      <c r="BG167"/>
      <c r="BH167"/>
      <c r="BI167"/>
      <c r="BJ167"/>
      <c r="BK167"/>
      <c r="BL167"/>
      <c r="BM167"/>
      <c r="BN167"/>
      <c r="BO167"/>
      <c r="BP167"/>
      <c r="BQ167"/>
      <c r="BR167"/>
      <c r="BS167"/>
    </row>
    <row r="168" spans="1:71" ht="16.5" x14ac:dyDescent="0.3">
      <c r="A168" s="38" t="s">
        <v>281</v>
      </c>
      <c r="B168" s="36">
        <v>166</v>
      </c>
      <c r="C168" s="71" t="str">
        <f t="shared" ca="1" si="45"/>
        <v>10년~5년 사이</v>
      </c>
      <c r="D168" s="79">
        <v>42907</v>
      </c>
      <c r="E168" s="72">
        <f t="shared" si="46"/>
        <v>2</v>
      </c>
      <c r="F168" s="8" t="s">
        <v>1</v>
      </c>
      <c r="G168" s="59" t="s">
        <v>17</v>
      </c>
      <c r="H168" s="66" t="s">
        <v>139</v>
      </c>
      <c r="I168" s="57" t="s">
        <v>495</v>
      </c>
      <c r="J168" s="74" t="s">
        <v>4</v>
      </c>
      <c r="K168" s="75" t="s">
        <v>187</v>
      </c>
      <c r="L168" s="76">
        <v>0.45</v>
      </c>
      <c r="M168" s="47">
        <v>779.6</v>
      </c>
      <c r="N168" s="47">
        <v>308.89999999999998</v>
      </c>
      <c r="O168" s="47">
        <f t="shared" si="49"/>
        <v>0.45</v>
      </c>
      <c r="P168" s="47">
        <f t="shared" si="50"/>
        <v>0.45</v>
      </c>
      <c r="Q168" s="47">
        <f t="shared" si="51"/>
        <v>779.6</v>
      </c>
      <c r="R168" s="47">
        <f t="shared" si="52"/>
        <v>779.6</v>
      </c>
      <c r="S168" s="47">
        <f t="shared" si="55"/>
        <v>0.45</v>
      </c>
      <c r="T168" s="47">
        <f t="shared" si="56"/>
        <v>0.45</v>
      </c>
      <c r="U168" s="47">
        <f t="shared" si="53"/>
        <v>308.89999999999998</v>
      </c>
      <c r="V168" s="47">
        <f t="shared" si="54"/>
        <v>308.89999999999998</v>
      </c>
      <c r="W168" s="98">
        <f t="shared" si="57"/>
        <v>308.89999999999998</v>
      </c>
      <c r="X168" s="98">
        <f t="shared" si="58"/>
        <v>0.45</v>
      </c>
      <c r="AB168" s="42" t="s">
        <v>187</v>
      </c>
      <c r="BG168"/>
      <c r="BH168"/>
      <c r="BI168"/>
      <c r="BJ168"/>
      <c r="BK168"/>
      <c r="BL168"/>
      <c r="BM168"/>
      <c r="BN168"/>
      <c r="BO168"/>
      <c r="BP168"/>
      <c r="BQ168"/>
      <c r="BR168"/>
      <c r="BS168"/>
    </row>
    <row r="169" spans="1:71" ht="16.5" x14ac:dyDescent="0.3">
      <c r="A169" s="38" t="s">
        <v>281</v>
      </c>
      <c r="B169" s="36">
        <v>167</v>
      </c>
      <c r="C169" s="71" t="str">
        <f t="shared" ca="1" si="45"/>
        <v>10년~5년 사이</v>
      </c>
      <c r="D169" s="79">
        <v>42909</v>
      </c>
      <c r="E169" s="72" t="str">
        <f t="shared" si="46"/>
        <v/>
      </c>
      <c r="F169" s="8" t="s">
        <v>1</v>
      </c>
      <c r="G169" s="59" t="s">
        <v>116</v>
      </c>
      <c r="H169" s="59" t="s">
        <v>61</v>
      </c>
      <c r="I169" s="57" t="s">
        <v>551</v>
      </c>
      <c r="J169" s="74" t="s">
        <v>4</v>
      </c>
      <c r="K169" s="75" t="s">
        <v>187</v>
      </c>
      <c r="L169" s="76">
        <v>1</v>
      </c>
      <c r="M169" s="47">
        <v>15.1</v>
      </c>
      <c r="N169" s="103">
        <v>15.1</v>
      </c>
      <c r="O169" s="47" t="str">
        <f t="shared" si="49"/>
        <v/>
      </c>
      <c r="P169" s="47" t="str">
        <f t="shared" si="50"/>
        <v/>
      </c>
      <c r="Q169" s="47" t="str">
        <f t="shared" si="51"/>
        <v/>
      </c>
      <c r="R169" s="47" t="str">
        <f t="shared" si="52"/>
        <v/>
      </c>
      <c r="S169" s="47" t="str">
        <f t="shared" si="55"/>
        <v/>
      </c>
      <c r="T169" s="47" t="str">
        <f t="shared" si="56"/>
        <v/>
      </c>
      <c r="U169" s="47" t="str">
        <f t="shared" si="53"/>
        <v/>
      </c>
      <c r="V169" s="47" t="str">
        <f t="shared" si="54"/>
        <v/>
      </c>
      <c r="W169" s="98">
        <f t="shared" si="57"/>
        <v>15.1</v>
      </c>
      <c r="X169" s="98">
        <f t="shared" si="58"/>
        <v>1</v>
      </c>
      <c r="AB169" s="42" t="s">
        <v>187</v>
      </c>
      <c r="BG169"/>
      <c r="BH169"/>
      <c r="BI169"/>
      <c r="BJ169"/>
      <c r="BK169"/>
      <c r="BL169"/>
      <c r="BM169"/>
      <c r="BN169"/>
      <c r="BO169"/>
      <c r="BP169"/>
      <c r="BQ169"/>
      <c r="BR169"/>
      <c r="BS169"/>
    </row>
    <row r="170" spans="1:71" ht="16.5" x14ac:dyDescent="0.3">
      <c r="A170" s="38" t="s">
        <v>281</v>
      </c>
      <c r="B170" s="36">
        <v>168</v>
      </c>
      <c r="C170" s="71" t="str">
        <f t="shared" ca="1" si="45"/>
        <v>10년~5년 사이</v>
      </c>
      <c r="D170" s="79">
        <v>42910</v>
      </c>
      <c r="E170" s="72" t="str">
        <f t="shared" si="46"/>
        <v/>
      </c>
      <c r="F170" s="8" t="s">
        <v>1</v>
      </c>
      <c r="G170" s="59" t="s">
        <v>85</v>
      </c>
      <c r="H170" s="59" t="s">
        <v>544</v>
      </c>
      <c r="I170" s="57" t="s">
        <v>545</v>
      </c>
      <c r="J170" s="74" t="s">
        <v>4</v>
      </c>
      <c r="K170" s="75" t="s">
        <v>187</v>
      </c>
      <c r="L170" s="76">
        <v>1</v>
      </c>
      <c r="M170" s="47">
        <v>18</v>
      </c>
      <c r="N170" s="103">
        <v>18</v>
      </c>
      <c r="O170" s="47" t="str">
        <f t="shared" si="49"/>
        <v/>
      </c>
      <c r="P170" s="47" t="str">
        <f t="shared" si="50"/>
        <v/>
      </c>
      <c r="Q170" s="47" t="str">
        <f t="shared" si="51"/>
        <v/>
      </c>
      <c r="R170" s="47" t="str">
        <f t="shared" si="52"/>
        <v/>
      </c>
      <c r="S170" s="47" t="str">
        <f t="shared" si="55"/>
        <v/>
      </c>
      <c r="T170" s="47" t="str">
        <f t="shared" si="56"/>
        <v/>
      </c>
      <c r="U170" s="47" t="str">
        <f t="shared" si="53"/>
        <v/>
      </c>
      <c r="V170" s="47" t="str">
        <f t="shared" si="54"/>
        <v/>
      </c>
      <c r="W170" s="98">
        <f t="shared" si="57"/>
        <v>18</v>
      </c>
      <c r="X170" s="98">
        <f t="shared" si="58"/>
        <v>1</v>
      </c>
      <c r="AB170" s="42" t="s">
        <v>187</v>
      </c>
      <c r="AE170" s="42" t="s">
        <v>24</v>
      </c>
      <c r="BG170"/>
      <c r="BH170"/>
      <c r="BI170"/>
      <c r="BJ170"/>
      <c r="BK170"/>
      <c r="BL170"/>
      <c r="BM170"/>
      <c r="BN170"/>
      <c r="BO170"/>
      <c r="BP170"/>
      <c r="BQ170"/>
      <c r="BR170"/>
      <c r="BS170"/>
    </row>
    <row r="171" spans="1:71" ht="16.5" x14ac:dyDescent="0.3">
      <c r="A171" s="38" t="s">
        <v>281</v>
      </c>
      <c r="B171" s="36">
        <v>169</v>
      </c>
      <c r="C171" s="71" t="str">
        <f t="shared" ca="1" si="45"/>
        <v>10년~5년 사이</v>
      </c>
      <c r="D171" s="82">
        <v>42919</v>
      </c>
      <c r="E171" s="72">
        <f t="shared" si="46"/>
        <v>2</v>
      </c>
      <c r="F171" s="8" t="s">
        <v>1</v>
      </c>
      <c r="G171" s="85" t="s">
        <v>68</v>
      </c>
      <c r="H171" s="85" t="s">
        <v>473</v>
      </c>
      <c r="I171" s="84" t="s">
        <v>474</v>
      </c>
      <c r="J171" s="74" t="s">
        <v>4</v>
      </c>
      <c r="K171" s="75" t="s">
        <v>187</v>
      </c>
      <c r="L171" s="76">
        <v>0.7</v>
      </c>
      <c r="M171" s="100">
        <v>440.7</v>
      </c>
      <c r="N171" s="104">
        <v>308.39999999999998</v>
      </c>
      <c r="O171" s="47">
        <f t="shared" si="49"/>
        <v>0.7</v>
      </c>
      <c r="P171" s="47">
        <f t="shared" si="50"/>
        <v>0.7</v>
      </c>
      <c r="Q171" s="47">
        <f t="shared" si="51"/>
        <v>440.7</v>
      </c>
      <c r="R171" s="47">
        <f t="shared" si="52"/>
        <v>440.7</v>
      </c>
      <c r="S171" s="47">
        <f t="shared" si="55"/>
        <v>0.7</v>
      </c>
      <c r="T171" s="47">
        <f t="shared" si="56"/>
        <v>0.7</v>
      </c>
      <c r="U171" s="47">
        <f t="shared" si="53"/>
        <v>308.39999999999998</v>
      </c>
      <c r="V171" s="47">
        <f t="shared" si="54"/>
        <v>308.39999999999998</v>
      </c>
      <c r="W171" s="98">
        <f t="shared" si="57"/>
        <v>308.39999999999998</v>
      </c>
      <c r="X171" s="98">
        <f t="shared" si="58"/>
        <v>0.7</v>
      </c>
      <c r="AB171" s="42" t="s">
        <v>187</v>
      </c>
      <c r="BG171"/>
      <c r="BH171"/>
      <c r="BI171"/>
      <c r="BJ171"/>
      <c r="BK171"/>
      <c r="BL171"/>
      <c r="BM171"/>
      <c r="BN171"/>
      <c r="BO171"/>
      <c r="BP171"/>
      <c r="BQ171"/>
      <c r="BR171"/>
      <c r="BS171"/>
    </row>
    <row r="172" spans="1:71" ht="16.5" x14ac:dyDescent="0.3">
      <c r="A172" s="38" t="s">
        <v>281</v>
      </c>
      <c r="B172" s="36">
        <v>170</v>
      </c>
      <c r="C172" s="71" t="str">
        <f t="shared" ca="1" si="45"/>
        <v>10년~5년 사이</v>
      </c>
      <c r="D172" s="79">
        <v>42923</v>
      </c>
      <c r="E172" s="72" t="str">
        <f t="shared" si="46"/>
        <v/>
      </c>
      <c r="F172" s="8" t="s">
        <v>1</v>
      </c>
      <c r="G172" s="59" t="s">
        <v>383</v>
      </c>
      <c r="H172" s="59" t="s">
        <v>549</v>
      </c>
      <c r="I172" s="57" t="s">
        <v>550</v>
      </c>
      <c r="J172" s="74" t="s">
        <v>4</v>
      </c>
      <c r="K172" s="75" t="s">
        <v>187</v>
      </c>
      <c r="L172" s="76">
        <v>1</v>
      </c>
      <c r="M172" s="47">
        <v>19.5</v>
      </c>
      <c r="N172" s="103">
        <v>19.5</v>
      </c>
      <c r="O172" s="47" t="str">
        <f t="shared" si="49"/>
        <v/>
      </c>
      <c r="P172" s="47" t="str">
        <f t="shared" si="50"/>
        <v/>
      </c>
      <c r="Q172" s="47" t="str">
        <f t="shared" si="51"/>
        <v/>
      </c>
      <c r="R172" s="47" t="str">
        <f t="shared" si="52"/>
        <v/>
      </c>
      <c r="S172" s="47" t="str">
        <f t="shared" si="55"/>
        <v/>
      </c>
      <c r="T172" s="47" t="str">
        <f t="shared" si="56"/>
        <v/>
      </c>
      <c r="U172" s="47" t="str">
        <f t="shared" si="53"/>
        <v/>
      </c>
      <c r="V172" s="47" t="str">
        <f t="shared" si="54"/>
        <v/>
      </c>
      <c r="W172" s="98">
        <f t="shared" si="57"/>
        <v>19.5</v>
      </c>
      <c r="X172" s="98">
        <f t="shared" si="58"/>
        <v>1</v>
      </c>
      <c r="AB172" s="42" t="s">
        <v>187</v>
      </c>
      <c r="BG172"/>
      <c r="BH172"/>
      <c r="BI172"/>
      <c r="BJ172"/>
      <c r="BK172"/>
      <c r="BL172"/>
      <c r="BM172"/>
      <c r="BN172"/>
      <c r="BO172"/>
      <c r="BP172"/>
      <c r="BQ172"/>
      <c r="BR172"/>
      <c r="BS172"/>
    </row>
    <row r="173" spans="1:71" ht="16.5" x14ac:dyDescent="0.3">
      <c r="A173" s="38" t="s">
        <v>281</v>
      </c>
      <c r="B173" s="36">
        <v>171</v>
      </c>
      <c r="C173" s="71" t="str">
        <f t="shared" ca="1" si="45"/>
        <v>10년~5년 사이</v>
      </c>
      <c r="D173" s="79">
        <v>42926</v>
      </c>
      <c r="E173" s="72" t="str">
        <f t="shared" si="46"/>
        <v/>
      </c>
      <c r="F173" s="8" t="s">
        <v>1</v>
      </c>
      <c r="G173" s="59" t="s">
        <v>17</v>
      </c>
      <c r="H173" s="66" t="s">
        <v>138</v>
      </c>
      <c r="I173" s="57" t="s">
        <v>553</v>
      </c>
      <c r="J173" s="74" t="s">
        <v>4</v>
      </c>
      <c r="K173" s="75" t="s">
        <v>187</v>
      </c>
      <c r="L173" s="76">
        <v>1</v>
      </c>
      <c r="M173" s="47">
        <v>18.899999999999999</v>
      </c>
      <c r="N173" s="103">
        <v>18.899999999999999</v>
      </c>
      <c r="O173" s="47" t="str">
        <f t="shared" si="49"/>
        <v/>
      </c>
      <c r="P173" s="47" t="str">
        <f t="shared" si="50"/>
        <v/>
      </c>
      <c r="Q173" s="47" t="str">
        <f t="shared" si="51"/>
        <v/>
      </c>
      <c r="R173" s="47" t="str">
        <f t="shared" si="52"/>
        <v/>
      </c>
      <c r="S173" s="47" t="str">
        <f t="shared" si="55"/>
        <v/>
      </c>
      <c r="T173" s="47" t="str">
        <f t="shared" si="56"/>
        <v/>
      </c>
      <c r="U173" s="47" t="str">
        <f t="shared" si="53"/>
        <v/>
      </c>
      <c r="V173" s="47" t="str">
        <f t="shared" si="54"/>
        <v/>
      </c>
      <c r="W173" s="98">
        <f t="shared" si="57"/>
        <v>18.899999999999999</v>
      </c>
      <c r="X173" s="98">
        <f t="shared" si="58"/>
        <v>1</v>
      </c>
      <c r="AB173" s="42" t="s">
        <v>187</v>
      </c>
      <c r="BG173"/>
      <c r="BH173"/>
      <c r="BI173"/>
      <c r="BJ173"/>
      <c r="BK173"/>
      <c r="BL173"/>
      <c r="BM173"/>
      <c r="BN173"/>
      <c r="BO173"/>
      <c r="BP173"/>
      <c r="BQ173"/>
      <c r="BR173"/>
      <c r="BS173"/>
    </row>
    <row r="174" spans="1:71" ht="16.5" x14ac:dyDescent="0.3">
      <c r="A174" s="38" t="s">
        <v>281</v>
      </c>
      <c r="B174" s="36">
        <v>172</v>
      </c>
      <c r="C174" s="71" t="str">
        <f t="shared" ca="1" si="45"/>
        <v>10년~5년 사이</v>
      </c>
      <c r="D174" s="79">
        <v>42940</v>
      </c>
      <c r="E174" s="72">
        <f t="shared" si="46"/>
        <v>1</v>
      </c>
      <c r="F174" s="8" t="s">
        <v>1</v>
      </c>
      <c r="G174" s="59" t="s">
        <v>17</v>
      </c>
      <c r="H174" s="59" t="s">
        <v>442</v>
      </c>
      <c r="I174" s="57" t="s">
        <v>513</v>
      </c>
      <c r="J174" s="74" t="s">
        <v>4</v>
      </c>
      <c r="K174" s="75" t="s">
        <v>187</v>
      </c>
      <c r="L174" s="76">
        <v>0.41</v>
      </c>
      <c r="M174" s="47">
        <v>480.3</v>
      </c>
      <c r="N174" s="103">
        <v>196.8</v>
      </c>
      <c r="O174" s="47">
        <f t="shared" si="49"/>
        <v>0.41</v>
      </c>
      <c r="P174" s="47">
        <f t="shared" si="50"/>
        <v>0.41</v>
      </c>
      <c r="Q174" s="47">
        <f t="shared" si="51"/>
        <v>480.3</v>
      </c>
      <c r="R174" s="47">
        <f t="shared" si="52"/>
        <v>480.3</v>
      </c>
      <c r="S174" s="47">
        <f t="shared" si="55"/>
        <v>0.41</v>
      </c>
      <c r="T174" s="47" t="str">
        <f t="shared" si="56"/>
        <v/>
      </c>
      <c r="U174" s="47">
        <f t="shared" si="53"/>
        <v>196.8</v>
      </c>
      <c r="V174" s="47" t="str">
        <f t="shared" si="54"/>
        <v/>
      </c>
      <c r="W174" s="98">
        <f t="shared" si="57"/>
        <v>196.8</v>
      </c>
      <c r="X174" s="98">
        <f t="shared" si="58"/>
        <v>0.41</v>
      </c>
      <c r="AB174" s="42" t="s">
        <v>187</v>
      </c>
      <c r="BG174"/>
      <c r="BH174"/>
      <c r="BI174"/>
      <c r="BJ174"/>
      <c r="BK174"/>
      <c r="BL174"/>
      <c r="BM174"/>
      <c r="BN174"/>
      <c r="BO174"/>
      <c r="BP174"/>
      <c r="BQ174"/>
      <c r="BR174"/>
      <c r="BS174"/>
    </row>
    <row r="175" spans="1:71" ht="16.5" x14ac:dyDescent="0.3">
      <c r="A175" s="38" t="s">
        <v>281</v>
      </c>
      <c r="B175" s="36">
        <v>173</v>
      </c>
      <c r="C175" s="71" t="str">
        <f t="shared" ca="1" si="45"/>
        <v>10년~5년 사이</v>
      </c>
      <c r="D175" s="79">
        <v>42971</v>
      </c>
      <c r="E175" s="72" t="str">
        <f t="shared" si="46"/>
        <v/>
      </c>
      <c r="F175" s="8" t="s">
        <v>1</v>
      </c>
      <c r="G175" s="59" t="s">
        <v>17</v>
      </c>
      <c r="H175" s="66" t="s">
        <v>139</v>
      </c>
      <c r="I175" s="57" t="s">
        <v>552</v>
      </c>
      <c r="J175" s="74" t="s">
        <v>4</v>
      </c>
      <c r="K175" s="75" t="s">
        <v>187</v>
      </c>
      <c r="L175" s="76">
        <v>1</v>
      </c>
      <c r="M175" s="47">
        <v>18.100000000000001</v>
      </c>
      <c r="N175" s="103">
        <v>18.100000000000001</v>
      </c>
      <c r="O175" s="47" t="str">
        <f t="shared" si="49"/>
        <v/>
      </c>
      <c r="P175" s="47" t="str">
        <f t="shared" si="50"/>
        <v/>
      </c>
      <c r="Q175" s="47" t="str">
        <f t="shared" si="51"/>
        <v/>
      </c>
      <c r="R175" s="47" t="str">
        <f t="shared" si="52"/>
        <v/>
      </c>
      <c r="S175" s="47" t="str">
        <f t="shared" si="55"/>
        <v/>
      </c>
      <c r="T175" s="47" t="str">
        <f t="shared" si="56"/>
        <v/>
      </c>
      <c r="U175" s="47" t="str">
        <f t="shared" si="53"/>
        <v/>
      </c>
      <c r="V175" s="47" t="str">
        <f t="shared" si="54"/>
        <v/>
      </c>
      <c r="W175" s="98">
        <f t="shared" si="57"/>
        <v>18.100000000000001</v>
      </c>
      <c r="X175" s="98">
        <f t="shared" si="58"/>
        <v>1</v>
      </c>
      <c r="AB175" s="42" t="s">
        <v>187</v>
      </c>
      <c r="AE175" s="42" t="s">
        <v>24</v>
      </c>
      <c r="BG175"/>
      <c r="BH175"/>
      <c r="BI175"/>
      <c r="BJ175"/>
      <c r="BK175"/>
      <c r="BL175"/>
      <c r="BM175"/>
      <c r="BN175"/>
      <c r="BO175"/>
      <c r="BP175"/>
      <c r="BQ175"/>
      <c r="BR175"/>
      <c r="BS175"/>
    </row>
    <row r="176" spans="1:71" ht="16.5" x14ac:dyDescent="0.3">
      <c r="A176" s="38" t="s">
        <v>281</v>
      </c>
      <c r="B176" s="36">
        <v>174</v>
      </c>
      <c r="C176" s="71" t="str">
        <f t="shared" ca="1" si="45"/>
        <v>10년~5년 사이</v>
      </c>
      <c r="D176" s="79">
        <v>42985</v>
      </c>
      <c r="E176" s="72" t="str">
        <f t="shared" si="46"/>
        <v/>
      </c>
      <c r="F176" s="8" t="s">
        <v>1</v>
      </c>
      <c r="G176" s="59" t="s">
        <v>309</v>
      </c>
      <c r="H176" s="59" t="s">
        <v>363</v>
      </c>
      <c r="I176" s="57" t="s">
        <v>548</v>
      </c>
      <c r="J176" s="74" t="s">
        <v>4</v>
      </c>
      <c r="K176" s="75" t="s">
        <v>187</v>
      </c>
      <c r="L176" s="76">
        <v>1</v>
      </c>
      <c r="M176" s="47">
        <v>19.8</v>
      </c>
      <c r="N176" s="103">
        <v>19.8</v>
      </c>
      <c r="O176" s="47" t="str">
        <f t="shared" si="49"/>
        <v/>
      </c>
      <c r="P176" s="47" t="str">
        <f t="shared" si="50"/>
        <v/>
      </c>
      <c r="Q176" s="47" t="str">
        <f t="shared" si="51"/>
        <v/>
      </c>
      <c r="R176" s="47" t="str">
        <f t="shared" si="52"/>
        <v/>
      </c>
      <c r="S176" s="47" t="str">
        <f t="shared" si="55"/>
        <v/>
      </c>
      <c r="T176" s="47" t="str">
        <f t="shared" si="56"/>
        <v/>
      </c>
      <c r="U176" s="47" t="str">
        <f t="shared" si="53"/>
        <v/>
      </c>
      <c r="V176" s="47" t="str">
        <f t="shared" si="54"/>
        <v/>
      </c>
      <c r="W176" s="98">
        <f t="shared" si="57"/>
        <v>19.8</v>
      </c>
      <c r="X176" s="98">
        <f t="shared" si="58"/>
        <v>1</v>
      </c>
      <c r="AB176" s="42" t="s">
        <v>187</v>
      </c>
      <c r="AE176" s="42" t="s">
        <v>24</v>
      </c>
      <c r="BG176"/>
      <c r="BH176"/>
      <c r="BI176"/>
      <c r="BJ176"/>
      <c r="BK176"/>
      <c r="BL176"/>
      <c r="BM176"/>
      <c r="BN176"/>
      <c r="BO176"/>
      <c r="BP176"/>
      <c r="BQ176"/>
      <c r="BR176"/>
      <c r="BS176"/>
    </row>
    <row r="177" spans="1:71" ht="16.5" x14ac:dyDescent="0.3">
      <c r="A177" s="38" t="s">
        <v>281</v>
      </c>
      <c r="B177" s="36">
        <v>175</v>
      </c>
      <c r="C177" s="71" t="str">
        <f t="shared" ca="1" si="45"/>
        <v>10년~5년 사이</v>
      </c>
      <c r="D177" s="79">
        <v>42986</v>
      </c>
      <c r="E177" s="72" t="str">
        <f t="shared" si="46"/>
        <v/>
      </c>
      <c r="F177" s="8" t="s">
        <v>1</v>
      </c>
      <c r="G177" s="59" t="s">
        <v>533</v>
      </c>
      <c r="H177" s="59" t="s">
        <v>81</v>
      </c>
      <c r="I177" s="57" t="s">
        <v>534</v>
      </c>
      <c r="J177" s="74" t="s">
        <v>4</v>
      </c>
      <c r="K177" s="75" t="s">
        <v>187</v>
      </c>
      <c r="L177" s="76">
        <v>1</v>
      </c>
      <c r="M177" s="47">
        <v>75.900000000000006</v>
      </c>
      <c r="N177" s="103">
        <v>75.900000000000006</v>
      </c>
      <c r="O177" s="47" t="str">
        <f t="shared" si="49"/>
        <v/>
      </c>
      <c r="P177" s="47" t="str">
        <f t="shared" si="50"/>
        <v/>
      </c>
      <c r="Q177" s="47" t="str">
        <f t="shared" si="51"/>
        <v/>
      </c>
      <c r="R177" s="47" t="str">
        <f t="shared" si="52"/>
        <v/>
      </c>
      <c r="S177" s="47" t="str">
        <f t="shared" si="55"/>
        <v/>
      </c>
      <c r="T177" s="47" t="str">
        <f t="shared" si="56"/>
        <v/>
      </c>
      <c r="U177" s="47" t="str">
        <f t="shared" si="53"/>
        <v/>
      </c>
      <c r="V177" s="47" t="str">
        <f t="shared" si="54"/>
        <v/>
      </c>
      <c r="W177" s="98">
        <f t="shared" si="57"/>
        <v>75.900000000000006</v>
      </c>
      <c r="X177" s="98">
        <f t="shared" si="58"/>
        <v>1</v>
      </c>
      <c r="AB177" s="42" t="s">
        <v>187</v>
      </c>
      <c r="BG177"/>
      <c r="BH177"/>
      <c r="BI177"/>
      <c r="BJ177"/>
      <c r="BK177"/>
      <c r="BL177"/>
      <c r="BM177"/>
      <c r="BN177"/>
      <c r="BO177"/>
      <c r="BP177"/>
      <c r="BQ177"/>
      <c r="BR177"/>
      <c r="BS177"/>
    </row>
    <row r="178" spans="1:71" ht="16.5" x14ac:dyDescent="0.3">
      <c r="A178" s="38" t="s">
        <v>281</v>
      </c>
      <c r="B178" s="36">
        <v>176</v>
      </c>
      <c r="C178" s="71" t="str">
        <f t="shared" ca="1" si="45"/>
        <v>10년~5년 사이</v>
      </c>
      <c r="D178" s="79">
        <v>42988</v>
      </c>
      <c r="E178" s="72">
        <f t="shared" si="46"/>
        <v>1</v>
      </c>
      <c r="F178" s="8" t="s">
        <v>1</v>
      </c>
      <c r="G178" s="59" t="s">
        <v>17</v>
      </c>
      <c r="H178" s="63" t="s">
        <v>137</v>
      </c>
      <c r="I178" s="57" t="s">
        <v>525</v>
      </c>
      <c r="J178" s="74" t="s">
        <v>4</v>
      </c>
      <c r="K178" s="75" t="s">
        <v>187</v>
      </c>
      <c r="L178" s="76">
        <v>0.49</v>
      </c>
      <c r="M178" s="47">
        <v>345.9</v>
      </c>
      <c r="N178" s="103">
        <v>169.5</v>
      </c>
      <c r="O178" s="47">
        <f t="shared" si="49"/>
        <v>0.49</v>
      </c>
      <c r="P178" s="47">
        <f t="shared" si="50"/>
        <v>0.49</v>
      </c>
      <c r="Q178" s="47">
        <f t="shared" si="51"/>
        <v>345.9</v>
      </c>
      <c r="R178" s="47">
        <f t="shared" si="52"/>
        <v>345.9</v>
      </c>
      <c r="S178" s="47">
        <f t="shared" si="55"/>
        <v>0.49</v>
      </c>
      <c r="T178" s="47" t="str">
        <f t="shared" si="56"/>
        <v/>
      </c>
      <c r="U178" s="47">
        <f t="shared" si="53"/>
        <v>169.5</v>
      </c>
      <c r="V178" s="47" t="str">
        <f t="shared" si="54"/>
        <v/>
      </c>
      <c r="W178" s="98">
        <f t="shared" si="57"/>
        <v>169.5</v>
      </c>
      <c r="X178" s="98">
        <f t="shared" si="58"/>
        <v>0.49</v>
      </c>
      <c r="AB178" s="42" t="s">
        <v>187</v>
      </c>
      <c r="BG178"/>
      <c r="BH178"/>
      <c r="BI178"/>
      <c r="BJ178"/>
      <c r="BK178"/>
      <c r="BL178"/>
      <c r="BM178"/>
      <c r="BN178"/>
      <c r="BO178"/>
      <c r="BP178"/>
      <c r="BQ178"/>
      <c r="BR178"/>
      <c r="BS178"/>
    </row>
    <row r="179" spans="1:71" ht="16.5" x14ac:dyDescent="0.3">
      <c r="A179" s="38" t="s">
        <v>281</v>
      </c>
      <c r="B179" s="36">
        <v>177</v>
      </c>
      <c r="C179" s="71" t="str">
        <f t="shared" ca="1" si="45"/>
        <v>10년~5년 사이</v>
      </c>
      <c r="D179" s="79">
        <v>42996</v>
      </c>
      <c r="E179" s="72">
        <f t="shared" si="46"/>
        <v>2</v>
      </c>
      <c r="F179" s="8" t="s">
        <v>1</v>
      </c>
      <c r="G179" s="59" t="s">
        <v>253</v>
      </c>
      <c r="H179" s="59" t="s">
        <v>535</v>
      </c>
      <c r="I179" s="57" t="s">
        <v>536</v>
      </c>
      <c r="J179" s="74" t="s">
        <v>4</v>
      </c>
      <c r="K179" s="75" t="s">
        <v>187</v>
      </c>
      <c r="L179" s="76">
        <v>1</v>
      </c>
      <c r="M179" s="47">
        <v>475.5</v>
      </c>
      <c r="N179" s="103">
        <v>475.5</v>
      </c>
      <c r="O179" s="47">
        <f t="shared" si="49"/>
        <v>1</v>
      </c>
      <c r="P179" s="47">
        <f t="shared" si="50"/>
        <v>1</v>
      </c>
      <c r="Q179" s="47">
        <f t="shared" si="51"/>
        <v>475.5</v>
      </c>
      <c r="R179" s="47">
        <f t="shared" si="52"/>
        <v>475.5</v>
      </c>
      <c r="S179" s="47">
        <f t="shared" si="55"/>
        <v>1</v>
      </c>
      <c r="T179" s="47">
        <f t="shared" si="56"/>
        <v>1</v>
      </c>
      <c r="U179" s="47">
        <f t="shared" si="53"/>
        <v>475.5</v>
      </c>
      <c r="V179" s="47">
        <f t="shared" si="54"/>
        <v>475.5</v>
      </c>
      <c r="W179" s="98">
        <f t="shared" si="57"/>
        <v>475.5</v>
      </c>
      <c r="X179" s="98">
        <f t="shared" si="58"/>
        <v>1</v>
      </c>
      <c r="AB179" s="42" t="s">
        <v>187</v>
      </c>
      <c r="BG179"/>
      <c r="BH179"/>
      <c r="BI179"/>
      <c r="BJ179"/>
      <c r="BK179"/>
      <c r="BL179"/>
      <c r="BM179"/>
      <c r="BN179"/>
      <c r="BO179"/>
      <c r="BP179"/>
      <c r="BQ179"/>
      <c r="BR179"/>
      <c r="BS179"/>
    </row>
    <row r="180" spans="1:71" ht="16.5" x14ac:dyDescent="0.3">
      <c r="A180" s="38" t="s">
        <v>281</v>
      </c>
      <c r="B180" s="36">
        <v>178</v>
      </c>
      <c r="C180" s="71" t="str">
        <f t="shared" ca="1" si="45"/>
        <v>10년~5년 사이</v>
      </c>
      <c r="D180" s="79">
        <v>42999</v>
      </c>
      <c r="E180" s="72" t="str">
        <f t="shared" si="46"/>
        <v/>
      </c>
      <c r="F180" s="8" t="s">
        <v>1</v>
      </c>
      <c r="G180" s="59" t="s">
        <v>17</v>
      </c>
      <c r="H180" s="66" t="s">
        <v>138</v>
      </c>
      <c r="I180" s="57" t="s">
        <v>558</v>
      </c>
      <c r="J180" s="74" t="s">
        <v>4</v>
      </c>
      <c r="K180" s="75" t="s">
        <v>187</v>
      </c>
      <c r="L180" s="76">
        <v>1</v>
      </c>
      <c r="M180" s="47">
        <v>18.2</v>
      </c>
      <c r="N180" s="103">
        <v>18.2</v>
      </c>
      <c r="O180" s="47" t="str">
        <f t="shared" si="49"/>
        <v/>
      </c>
      <c r="P180" s="47" t="str">
        <f t="shared" si="50"/>
        <v/>
      </c>
      <c r="Q180" s="47" t="str">
        <f t="shared" si="51"/>
        <v/>
      </c>
      <c r="R180" s="47" t="str">
        <f t="shared" si="52"/>
        <v/>
      </c>
      <c r="S180" s="47" t="str">
        <f t="shared" si="55"/>
        <v/>
      </c>
      <c r="T180" s="47" t="str">
        <f t="shared" si="56"/>
        <v/>
      </c>
      <c r="U180" s="47" t="str">
        <f t="shared" si="53"/>
        <v/>
      </c>
      <c r="V180" s="47" t="str">
        <f t="shared" si="54"/>
        <v/>
      </c>
      <c r="W180" s="98">
        <f t="shared" si="57"/>
        <v>18.2</v>
      </c>
      <c r="X180" s="98">
        <f t="shared" si="58"/>
        <v>1</v>
      </c>
      <c r="AB180" s="42" t="s">
        <v>187</v>
      </c>
      <c r="BG180"/>
      <c r="BH180"/>
      <c r="BI180"/>
      <c r="BJ180"/>
      <c r="BK180"/>
      <c r="BL180"/>
      <c r="BM180"/>
      <c r="BN180"/>
      <c r="BO180"/>
      <c r="BP180"/>
      <c r="BQ180"/>
      <c r="BR180"/>
      <c r="BS180"/>
    </row>
    <row r="181" spans="1:71" ht="16.5" x14ac:dyDescent="0.3">
      <c r="A181" s="38" t="s">
        <v>281</v>
      </c>
      <c r="B181" s="36">
        <v>179</v>
      </c>
      <c r="C181" s="71" t="str">
        <f t="shared" ca="1" si="45"/>
        <v>10년~5년 사이</v>
      </c>
      <c r="D181" s="79">
        <v>42999</v>
      </c>
      <c r="E181" s="72" t="str">
        <f t="shared" si="46"/>
        <v/>
      </c>
      <c r="F181" s="8" t="s">
        <v>1</v>
      </c>
      <c r="G181" s="59" t="s">
        <v>177</v>
      </c>
      <c r="H181" s="59" t="s">
        <v>518</v>
      </c>
      <c r="I181" s="57" t="s">
        <v>558</v>
      </c>
      <c r="J181" s="74" t="s">
        <v>4</v>
      </c>
      <c r="K181" s="75" t="s">
        <v>187</v>
      </c>
      <c r="L181" s="76">
        <v>1</v>
      </c>
      <c r="M181" s="47">
        <v>18.2</v>
      </c>
      <c r="N181" s="103">
        <v>18.2</v>
      </c>
      <c r="O181" s="47" t="str">
        <f t="shared" si="49"/>
        <v/>
      </c>
      <c r="P181" s="47" t="str">
        <f t="shared" si="50"/>
        <v/>
      </c>
      <c r="Q181" s="47" t="str">
        <f t="shared" si="51"/>
        <v/>
      </c>
      <c r="R181" s="47" t="str">
        <f t="shared" si="52"/>
        <v/>
      </c>
      <c r="S181" s="47" t="str">
        <f t="shared" si="55"/>
        <v/>
      </c>
      <c r="T181" s="47" t="str">
        <f t="shared" si="56"/>
        <v/>
      </c>
      <c r="U181" s="47" t="str">
        <f t="shared" si="53"/>
        <v/>
      </c>
      <c r="V181" s="47" t="str">
        <f t="shared" si="54"/>
        <v/>
      </c>
      <c r="W181" s="98">
        <f t="shared" si="57"/>
        <v>18.2</v>
      </c>
      <c r="X181" s="98">
        <f t="shared" si="58"/>
        <v>1</v>
      </c>
      <c r="AB181" s="42" t="s">
        <v>187</v>
      </c>
      <c r="BG181"/>
      <c r="BH181"/>
      <c r="BI181"/>
      <c r="BJ181"/>
      <c r="BK181"/>
      <c r="BL181"/>
      <c r="BM181"/>
      <c r="BN181"/>
      <c r="BO181"/>
      <c r="BP181"/>
      <c r="BQ181"/>
      <c r="BR181"/>
      <c r="BS181"/>
    </row>
    <row r="182" spans="1:71" ht="16.5" x14ac:dyDescent="0.3">
      <c r="A182" s="38" t="s">
        <v>281</v>
      </c>
      <c r="B182" s="36">
        <v>180</v>
      </c>
      <c r="C182" s="71" t="str">
        <f t="shared" ca="1" si="45"/>
        <v>10년~5년 사이</v>
      </c>
      <c r="D182" s="79">
        <v>43005</v>
      </c>
      <c r="E182" s="72" t="str">
        <f t="shared" si="46"/>
        <v/>
      </c>
      <c r="F182" s="8" t="s">
        <v>1</v>
      </c>
      <c r="G182" s="59" t="s">
        <v>253</v>
      </c>
      <c r="H182" s="59" t="s">
        <v>537</v>
      </c>
      <c r="I182" s="57" t="s">
        <v>559</v>
      </c>
      <c r="J182" s="74" t="s">
        <v>4</v>
      </c>
      <c r="K182" s="75" t="s">
        <v>187</v>
      </c>
      <c r="L182" s="76">
        <v>1</v>
      </c>
      <c r="M182" s="47">
        <v>19.5</v>
      </c>
      <c r="N182" s="103">
        <v>19.5</v>
      </c>
      <c r="O182" s="47" t="str">
        <f t="shared" si="49"/>
        <v/>
      </c>
      <c r="P182" s="47" t="str">
        <f t="shared" si="50"/>
        <v/>
      </c>
      <c r="Q182" s="47" t="str">
        <f t="shared" si="51"/>
        <v/>
      </c>
      <c r="R182" s="47" t="str">
        <f t="shared" si="52"/>
        <v/>
      </c>
      <c r="S182" s="47" t="str">
        <f t="shared" si="55"/>
        <v/>
      </c>
      <c r="T182" s="47" t="str">
        <f t="shared" si="56"/>
        <v/>
      </c>
      <c r="U182" s="47" t="str">
        <f t="shared" si="53"/>
        <v/>
      </c>
      <c r="V182" s="47" t="str">
        <f t="shared" si="54"/>
        <v/>
      </c>
      <c r="W182" s="98">
        <f t="shared" si="57"/>
        <v>19.5</v>
      </c>
      <c r="X182" s="98">
        <f t="shared" si="58"/>
        <v>1</v>
      </c>
      <c r="AB182" s="42" t="s">
        <v>187</v>
      </c>
      <c r="BG182"/>
      <c r="BH182"/>
      <c r="BI182"/>
      <c r="BJ182"/>
      <c r="BK182"/>
      <c r="BL182"/>
      <c r="BM182"/>
      <c r="BN182"/>
      <c r="BO182"/>
      <c r="BP182"/>
      <c r="BQ182"/>
      <c r="BR182"/>
      <c r="BS182"/>
    </row>
    <row r="183" spans="1:71" ht="16.5" x14ac:dyDescent="0.3">
      <c r="A183" s="38" t="s">
        <v>281</v>
      </c>
      <c r="B183" s="36">
        <v>181</v>
      </c>
      <c r="C183" s="71" t="str">
        <f t="shared" ca="1" si="45"/>
        <v>10년~5년 사이</v>
      </c>
      <c r="D183" s="79">
        <v>43011</v>
      </c>
      <c r="E183" s="72">
        <f t="shared" si="46"/>
        <v>2</v>
      </c>
      <c r="F183" s="8" t="s">
        <v>1</v>
      </c>
      <c r="G183" s="59" t="s">
        <v>17</v>
      </c>
      <c r="H183" s="66" t="s">
        <v>139</v>
      </c>
      <c r="I183" s="57" t="s">
        <v>531</v>
      </c>
      <c r="J183" s="74" t="s">
        <v>4</v>
      </c>
      <c r="K183" s="75" t="s">
        <v>187</v>
      </c>
      <c r="L183" s="76">
        <v>1</v>
      </c>
      <c r="M183" s="47">
        <v>249.8</v>
      </c>
      <c r="N183" s="103">
        <v>249.8</v>
      </c>
      <c r="O183" s="47">
        <f t="shared" si="49"/>
        <v>1</v>
      </c>
      <c r="P183" s="47">
        <f t="shared" si="50"/>
        <v>1</v>
      </c>
      <c r="Q183" s="47">
        <f t="shared" si="51"/>
        <v>249.8</v>
      </c>
      <c r="R183" s="47">
        <f t="shared" si="52"/>
        <v>249.8</v>
      </c>
      <c r="S183" s="47">
        <f t="shared" si="55"/>
        <v>1</v>
      </c>
      <c r="T183" s="47">
        <f t="shared" si="56"/>
        <v>1</v>
      </c>
      <c r="U183" s="47">
        <f t="shared" si="53"/>
        <v>249.8</v>
      </c>
      <c r="V183" s="47">
        <f t="shared" si="54"/>
        <v>249.8</v>
      </c>
      <c r="W183" s="98">
        <f t="shared" si="57"/>
        <v>249.8</v>
      </c>
      <c r="X183" s="98">
        <f t="shared" si="58"/>
        <v>1</v>
      </c>
      <c r="AB183" s="42" t="s">
        <v>187</v>
      </c>
      <c r="AE183" s="42" t="s">
        <v>24</v>
      </c>
      <c r="BG183"/>
      <c r="BH183"/>
      <c r="BI183"/>
      <c r="BJ183"/>
      <c r="BK183"/>
      <c r="BL183"/>
      <c r="BM183"/>
      <c r="BN183"/>
      <c r="BO183"/>
      <c r="BP183"/>
      <c r="BQ183"/>
      <c r="BR183"/>
      <c r="BS183"/>
    </row>
    <row r="184" spans="1:71" ht="16.5" x14ac:dyDescent="0.3">
      <c r="A184" s="38" t="s">
        <v>281</v>
      </c>
      <c r="B184" s="36">
        <v>182</v>
      </c>
      <c r="C184" s="71" t="str">
        <f t="shared" ca="1" si="45"/>
        <v>10년~5년 사이</v>
      </c>
      <c r="D184" s="79">
        <v>43021</v>
      </c>
      <c r="E184" s="72" t="str">
        <f t="shared" si="46"/>
        <v/>
      </c>
      <c r="F184" s="8" t="s">
        <v>1</v>
      </c>
      <c r="G184" s="59" t="s">
        <v>253</v>
      </c>
      <c r="H184" s="59" t="s">
        <v>555</v>
      </c>
      <c r="I184" s="57" t="s">
        <v>556</v>
      </c>
      <c r="J184" s="74" t="s">
        <v>4</v>
      </c>
      <c r="K184" s="75" t="s">
        <v>187</v>
      </c>
      <c r="L184" s="76">
        <v>1</v>
      </c>
      <c r="M184" s="47">
        <v>20.2</v>
      </c>
      <c r="N184" s="103">
        <v>20.2</v>
      </c>
      <c r="O184" s="47" t="str">
        <f t="shared" si="49"/>
        <v/>
      </c>
      <c r="P184" s="47" t="str">
        <f t="shared" si="50"/>
        <v/>
      </c>
      <c r="Q184" s="47" t="str">
        <f t="shared" si="51"/>
        <v/>
      </c>
      <c r="R184" s="47" t="str">
        <f t="shared" si="52"/>
        <v/>
      </c>
      <c r="S184" s="47" t="str">
        <f t="shared" si="55"/>
        <v/>
      </c>
      <c r="T184" s="47" t="str">
        <f t="shared" si="56"/>
        <v/>
      </c>
      <c r="U184" s="47" t="str">
        <f t="shared" si="53"/>
        <v/>
      </c>
      <c r="V184" s="47" t="str">
        <f t="shared" si="54"/>
        <v/>
      </c>
      <c r="W184" s="98">
        <f t="shared" si="57"/>
        <v>20.2</v>
      </c>
      <c r="X184" s="98">
        <f t="shared" si="58"/>
        <v>1</v>
      </c>
      <c r="AB184" s="42" t="s">
        <v>187</v>
      </c>
      <c r="BG184"/>
      <c r="BH184"/>
      <c r="BI184"/>
      <c r="BJ184"/>
      <c r="BK184"/>
      <c r="BL184"/>
      <c r="BM184"/>
      <c r="BN184"/>
      <c r="BO184"/>
      <c r="BP184"/>
      <c r="BQ184"/>
      <c r="BR184"/>
      <c r="BS184"/>
    </row>
    <row r="185" spans="1:71" ht="16.5" x14ac:dyDescent="0.3">
      <c r="A185" s="38" t="s">
        <v>281</v>
      </c>
      <c r="B185" s="36">
        <v>183</v>
      </c>
      <c r="C185" s="71" t="str">
        <f t="shared" ca="1" si="45"/>
        <v>10년~5년 사이</v>
      </c>
      <c r="D185" s="79">
        <v>43038</v>
      </c>
      <c r="E185" s="72" t="str">
        <f t="shared" si="46"/>
        <v/>
      </c>
      <c r="F185" s="8" t="s">
        <v>1</v>
      </c>
      <c r="G185" s="59" t="s">
        <v>39</v>
      </c>
      <c r="H185" s="59" t="s">
        <v>160</v>
      </c>
      <c r="I185" s="57" t="s">
        <v>523</v>
      </c>
      <c r="J185" s="74" t="s">
        <v>4</v>
      </c>
      <c r="K185" s="75" t="s">
        <v>187</v>
      </c>
      <c r="L185" s="76">
        <v>0.4</v>
      </c>
      <c r="M185" s="47">
        <v>63</v>
      </c>
      <c r="N185" s="103">
        <v>25.2</v>
      </c>
      <c r="O185" s="47" t="str">
        <f t="shared" si="49"/>
        <v/>
      </c>
      <c r="P185" s="47" t="str">
        <f t="shared" si="50"/>
        <v/>
      </c>
      <c r="Q185" s="47" t="str">
        <f t="shared" si="51"/>
        <v/>
      </c>
      <c r="R185" s="47" t="str">
        <f t="shared" si="52"/>
        <v/>
      </c>
      <c r="S185" s="47" t="str">
        <f t="shared" si="55"/>
        <v/>
      </c>
      <c r="T185" s="47" t="str">
        <f t="shared" si="56"/>
        <v/>
      </c>
      <c r="U185" s="47" t="str">
        <f t="shared" si="53"/>
        <v/>
      </c>
      <c r="V185" s="47" t="str">
        <f t="shared" si="54"/>
        <v/>
      </c>
      <c r="W185" s="98">
        <f t="shared" si="57"/>
        <v>25.2</v>
      </c>
      <c r="X185" s="98">
        <f t="shared" si="58"/>
        <v>0.4</v>
      </c>
      <c r="AB185" s="42" t="s">
        <v>187</v>
      </c>
      <c r="BG185"/>
      <c r="BH185"/>
      <c r="BI185"/>
      <c r="BJ185"/>
      <c r="BK185"/>
      <c r="BL185"/>
      <c r="BM185"/>
      <c r="BN185"/>
      <c r="BO185"/>
      <c r="BP185"/>
      <c r="BQ185"/>
      <c r="BR185"/>
      <c r="BS185"/>
    </row>
    <row r="186" spans="1:71" ht="16.5" x14ac:dyDescent="0.3">
      <c r="A186" s="38" t="s">
        <v>281</v>
      </c>
      <c r="B186" s="36">
        <v>184</v>
      </c>
      <c r="C186" s="71" t="str">
        <f t="shared" ca="1" si="45"/>
        <v>10년~5년 사이</v>
      </c>
      <c r="D186" s="82">
        <v>43042</v>
      </c>
      <c r="E186" s="72">
        <f t="shared" si="46"/>
        <v>2</v>
      </c>
      <c r="F186" s="8" t="s">
        <v>1</v>
      </c>
      <c r="G186" s="85" t="s">
        <v>17</v>
      </c>
      <c r="H186" s="66" t="s">
        <v>139</v>
      </c>
      <c r="I186" s="84" t="s">
        <v>462</v>
      </c>
      <c r="J186" s="74" t="s">
        <v>4</v>
      </c>
      <c r="K186" s="75" t="s">
        <v>187</v>
      </c>
      <c r="L186" s="76">
        <v>0.45</v>
      </c>
      <c r="M186" s="100">
        <v>697.4</v>
      </c>
      <c r="N186" s="104">
        <v>313.8</v>
      </c>
      <c r="O186" s="47">
        <f t="shared" si="49"/>
        <v>0.45</v>
      </c>
      <c r="P186" s="47">
        <f t="shared" si="50"/>
        <v>0.45</v>
      </c>
      <c r="Q186" s="47">
        <f t="shared" si="51"/>
        <v>697.4</v>
      </c>
      <c r="R186" s="47">
        <f t="shared" si="52"/>
        <v>697.4</v>
      </c>
      <c r="S186" s="47">
        <f t="shared" si="55"/>
        <v>0.45</v>
      </c>
      <c r="T186" s="47">
        <f t="shared" si="56"/>
        <v>0.45</v>
      </c>
      <c r="U186" s="47">
        <f t="shared" si="53"/>
        <v>313.8</v>
      </c>
      <c r="V186" s="47">
        <f t="shared" si="54"/>
        <v>313.8</v>
      </c>
      <c r="W186" s="98">
        <f t="shared" si="57"/>
        <v>313.8</v>
      </c>
      <c r="X186" s="98">
        <f t="shared" si="58"/>
        <v>0.45</v>
      </c>
      <c r="AB186" s="42" t="s">
        <v>187</v>
      </c>
      <c r="AE186" s="42" t="s">
        <v>24</v>
      </c>
      <c r="AX186" s="42"/>
      <c r="AY186" s="42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</row>
    <row r="187" spans="1:71" ht="16.5" x14ac:dyDescent="0.3">
      <c r="A187" s="38" t="s">
        <v>281</v>
      </c>
      <c r="B187" s="36">
        <v>185</v>
      </c>
      <c r="C187" s="71" t="str">
        <f t="shared" ca="1" si="45"/>
        <v>10년~5년 사이</v>
      </c>
      <c r="D187" s="79">
        <v>43061</v>
      </c>
      <c r="E187" s="72">
        <f t="shared" si="46"/>
        <v>1</v>
      </c>
      <c r="F187" s="8" t="s">
        <v>1</v>
      </c>
      <c r="G187" s="59" t="s">
        <v>451</v>
      </c>
      <c r="H187" s="59" t="s">
        <v>546</v>
      </c>
      <c r="I187" s="57" t="s">
        <v>547</v>
      </c>
      <c r="J187" s="74" t="s">
        <v>4</v>
      </c>
      <c r="K187" s="75" t="s">
        <v>187</v>
      </c>
      <c r="L187" s="76">
        <v>0.4</v>
      </c>
      <c r="M187" s="47">
        <v>413.7</v>
      </c>
      <c r="N187" s="103">
        <v>165.5</v>
      </c>
      <c r="O187" s="47">
        <f t="shared" si="49"/>
        <v>0.4</v>
      </c>
      <c r="P187" s="47">
        <f t="shared" si="50"/>
        <v>0.4</v>
      </c>
      <c r="Q187" s="47">
        <f t="shared" si="51"/>
        <v>413.7</v>
      </c>
      <c r="R187" s="47">
        <f t="shared" si="52"/>
        <v>413.7</v>
      </c>
      <c r="S187" s="47">
        <f t="shared" si="55"/>
        <v>0.4</v>
      </c>
      <c r="T187" s="47" t="str">
        <f t="shared" si="56"/>
        <v/>
      </c>
      <c r="U187" s="47">
        <f t="shared" si="53"/>
        <v>165.5</v>
      </c>
      <c r="V187" s="47" t="str">
        <f t="shared" si="54"/>
        <v/>
      </c>
      <c r="W187" s="98">
        <f t="shared" si="57"/>
        <v>165.5</v>
      </c>
      <c r="X187" s="98">
        <f t="shared" si="58"/>
        <v>0.4</v>
      </c>
      <c r="AB187" s="42" t="s">
        <v>187</v>
      </c>
      <c r="AE187" s="42" t="s">
        <v>24</v>
      </c>
      <c r="BG187"/>
      <c r="BH187"/>
      <c r="BI187"/>
      <c r="BJ187"/>
      <c r="BK187"/>
      <c r="BL187"/>
      <c r="BM187"/>
      <c r="BN187"/>
      <c r="BO187"/>
      <c r="BP187"/>
      <c r="BQ187"/>
      <c r="BR187"/>
      <c r="BS187"/>
    </row>
    <row r="188" spans="1:71" ht="16.5" x14ac:dyDescent="0.3">
      <c r="A188" s="38" t="s">
        <v>281</v>
      </c>
      <c r="B188" s="36">
        <v>186</v>
      </c>
      <c r="C188" s="71" t="str">
        <f t="shared" ca="1" si="45"/>
        <v>10년~5년 사이</v>
      </c>
      <c r="D188" s="79">
        <v>43068</v>
      </c>
      <c r="E188" s="72">
        <f t="shared" si="46"/>
        <v>2</v>
      </c>
      <c r="F188" s="8" t="s">
        <v>1</v>
      </c>
      <c r="G188" s="59" t="s">
        <v>491</v>
      </c>
      <c r="H188" s="59" t="s">
        <v>492</v>
      </c>
      <c r="I188" s="57" t="s">
        <v>493</v>
      </c>
      <c r="J188" s="74" t="s">
        <v>4</v>
      </c>
      <c r="K188" s="75" t="s">
        <v>187</v>
      </c>
      <c r="L188" s="76">
        <v>0.49</v>
      </c>
      <c r="M188" s="47">
        <v>1213.9000000000001</v>
      </c>
      <c r="N188" s="103">
        <v>556.6</v>
      </c>
      <c r="O188" s="47">
        <f t="shared" si="49"/>
        <v>0.49</v>
      </c>
      <c r="P188" s="47">
        <f t="shared" si="50"/>
        <v>0.49</v>
      </c>
      <c r="Q188" s="47">
        <f t="shared" si="51"/>
        <v>1213.9000000000001</v>
      </c>
      <c r="R188" s="47">
        <f t="shared" si="52"/>
        <v>1213.9000000000001</v>
      </c>
      <c r="S188" s="47">
        <f t="shared" si="55"/>
        <v>0.49</v>
      </c>
      <c r="T188" s="47">
        <f t="shared" si="56"/>
        <v>0.49</v>
      </c>
      <c r="U188" s="47">
        <f t="shared" si="53"/>
        <v>556.6</v>
      </c>
      <c r="V188" s="47">
        <f t="shared" si="54"/>
        <v>556.6</v>
      </c>
      <c r="W188" s="98">
        <f t="shared" si="57"/>
        <v>556.6</v>
      </c>
      <c r="X188" s="98">
        <f t="shared" si="58"/>
        <v>0.49</v>
      </c>
      <c r="AB188" s="42" t="s">
        <v>187</v>
      </c>
      <c r="AE188" s="42" t="s">
        <v>24</v>
      </c>
      <c r="BG188"/>
      <c r="BH188"/>
      <c r="BI188"/>
      <c r="BJ188"/>
      <c r="BK188"/>
      <c r="BL188"/>
      <c r="BM188"/>
      <c r="BN188"/>
      <c r="BO188"/>
      <c r="BP188"/>
      <c r="BQ188"/>
      <c r="BR188"/>
      <c r="BS188"/>
    </row>
    <row r="189" spans="1:71" ht="16.5" x14ac:dyDescent="0.3">
      <c r="A189" s="38" t="s">
        <v>281</v>
      </c>
      <c r="B189" s="36">
        <v>187</v>
      </c>
      <c r="C189" s="71" t="str">
        <f t="shared" ca="1" si="45"/>
        <v>10년~5년 사이</v>
      </c>
      <c r="D189" s="79">
        <v>43068</v>
      </c>
      <c r="E189" s="72" t="str">
        <f t="shared" si="46"/>
        <v/>
      </c>
      <c r="F189" s="8" t="s">
        <v>1</v>
      </c>
      <c r="G189" s="59" t="s">
        <v>17</v>
      </c>
      <c r="H189" s="66" t="s">
        <v>138</v>
      </c>
      <c r="I189" s="57" t="s">
        <v>543</v>
      </c>
      <c r="J189" s="74" t="s">
        <v>4</v>
      </c>
      <c r="K189" s="75" t="s">
        <v>187</v>
      </c>
      <c r="L189" s="76">
        <v>1</v>
      </c>
      <c r="M189" s="47">
        <v>19</v>
      </c>
      <c r="N189" s="103">
        <v>19</v>
      </c>
      <c r="O189" s="47" t="str">
        <f t="shared" si="49"/>
        <v/>
      </c>
      <c r="P189" s="47" t="str">
        <f t="shared" si="50"/>
        <v/>
      </c>
      <c r="Q189" s="47" t="str">
        <f t="shared" si="51"/>
        <v/>
      </c>
      <c r="R189" s="47" t="str">
        <f t="shared" si="52"/>
        <v/>
      </c>
      <c r="S189" s="47" t="str">
        <f t="shared" si="55"/>
        <v/>
      </c>
      <c r="T189" s="47" t="str">
        <f t="shared" si="56"/>
        <v/>
      </c>
      <c r="U189" s="47" t="str">
        <f t="shared" si="53"/>
        <v/>
      </c>
      <c r="V189" s="47" t="str">
        <f t="shared" si="54"/>
        <v/>
      </c>
      <c r="W189" s="98">
        <f t="shared" si="57"/>
        <v>19</v>
      </c>
      <c r="X189" s="98">
        <f t="shared" si="58"/>
        <v>1</v>
      </c>
      <c r="AB189" s="42" t="s">
        <v>187</v>
      </c>
      <c r="AE189" s="42" t="s">
        <v>24</v>
      </c>
      <c r="BG189"/>
      <c r="BH189"/>
      <c r="BI189"/>
      <c r="BJ189"/>
      <c r="BK189"/>
      <c r="BL189"/>
      <c r="BM189"/>
      <c r="BN189"/>
      <c r="BO189"/>
      <c r="BP189"/>
      <c r="BQ189"/>
      <c r="BR189"/>
      <c r="BS189"/>
    </row>
    <row r="190" spans="1:71" ht="16.5" x14ac:dyDescent="0.3">
      <c r="A190" s="38" t="s">
        <v>281</v>
      </c>
      <c r="B190" s="36">
        <v>188</v>
      </c>
      <c r="C190" s="71" t="str">
        <f t="shared" ca="1" si="45"/>
        <v>10년~5년 사이</v>
      </c>
      <c r="D190" s="79">
        <v>43077</v>
      </c>
      <c r="E190" s="72">
        <f t="shared" si="46"/>
        <v>2</v>
      </c>
      <c r="F190" s="8" t="s">
        <v>1</v>
      </c>
      <c r="G190" s="59" t="s">
        <v>309</v>
      </c>
      <c r="H190" s="59" t="s">
        <v>363</v>
      </c>
      <c r="I190" s="83" t="s">
        <v>742</v>
      </c>
      <c r="J190" s="74" t="s">
        <v>4</v>
      </c>
      <c r="K190" s="75" t="s">
        <v>187</v>
      </c>
      <c r="L190" s="76">
        <v>0.36</v>
      </c>
      <c r="M190" s="47">
        <v>2275.1999999999998</v>
      </c>
      <c r="N190" s="103">
        <v>716.3</v>
      </c>
      <c r="O190" s="47">
        <f t="shared" si="49"/>
        <v>0.36</v>
      </c>
      <c r="P190" s="47">
        <f t="shared" si="50"/>
        <v>0.36</v>
      </c>
      <c r="Q190" s="47">
        <f t="shared" si="51"/>
        <v>2275.1999999999998</v>
      </c>
      <c r="R190" s="47">
        <f t="shared" si="52"/>
        <v>2275.1999999999998</v>
      </c>
      <c r="S190" s="47">
        <f t="shared" si="55"/>
        <v>0.36</v>
      </c>
      <c r="T190" s="47">
        <f t="shared" si="56"/>
        <v>0.36</v>
      </c>
      <c r="U190" s="47">
        <f t="shared" si="53"/>
        <v>716.3</v>
      </c>
      <c r="V190" s="47">
        <f t="shared" si="54"/>
        <v>716.3</v>
      </c>
      <c r="W190" s="98">
        <f t="shared" si="57"/>
        <v>716.3</v>
      </c>
      <c r="X190" s="98">
        <f t="shared" si="58"/>
        <v>0.36</v>
      </c>
      <c r="AB190" s="42" t="s">
        <v>187</v>
      </c>
      <c r="BG190"/>
      <c r="BH190"/>
      <c r="BI190"/>
      <c r="BJ190"/>
      <c r="BK190"/>
      <c r="BL190"/>
      <c r="BM190"/>
      <c r="BN190"/>
      <c r="BO190"/>
      <c r="BP190"/>
      <c r="BQ190"/>
      <c r="BR190"/>
      <c r="BS190"/>
    </row>
    <row r="191" spans="1:71" ht="16.5" x14ac:dyDescent="0.3">
      <c r="A191" s="38" t="s">
        <v>281</v>
      </c>
      <c r="B191" s="36">
        <v>189</v>
      </c>
      <c r="C191" s="71" t="str">
        <f t="shared" ref="C191:C254" ca="1" si="59">IF(TODAY()-10*365&gt;D191,"10년 초과",IF(TODAY()-5*365&gt;D191,"10년~5년 사이","5년 이내"))</f>
        <v>10년~5년 사이</v>
      </c>
      <c r="D191" s="79">
        <v>43077</v>
      </c>
      <c r="E191" s="72">
        <f t="shared" ref="E191:E254" si="60">IF((N191&gt;200),2,IF(N191&gt;100,1,IF((N191&lt;99.9),"")))</f>
        <v>2</v>
      </c>
      <c r="F191" s="8" t="s">
        <v>1</v>
      </c>
      <c r="G191" s="59" t="s">
        <v>39</v>
      </c>
      <c r="H191" s="59" t="s">
        <v>55</v>
      </c>
      <c r="I191" s="83" t="s">
        <v>743</v>
      </c>
      <c r="J191" s="74" t="s">
        <v>4</v>
      </c>
      <c r="K191" s="75" t="s">
        <v>187</v>
      </c>
      <c r="L191" s="76">
        <v>0.4</v>
      </c>
      <c r="M191" s="47">
        <v>1269.7</v>
      </c>
      <c r="N191" s="103">
        <v>337.8</v>
      </c>
      <c r="O191" s="47">
        <f t="shared" si="49"/>
        <v>0.4</v>
      </c>
      <c r="P191" s="47">
        <f t="shared" si="50"/>
        <v>0.4</v>
      </c>
      <c r="Q191" s="47">
        <f t="shared" si="51"/>
        <v>1269.7</v>
      </c>
      <c r="R191" s="47">
        <f t="shared" si="52"/>
        <v>1269.7</v>
      </c>
      <c r="S191" s="47">
        <f t="shared" si="55"/>
        <v>0.4</v>
      </c>
      <c r="T191" s="47">
        <f t="shared" si="56"/>
        <v>0.4</v>
      </c>
      <c r="U191" s="47">
        <f t="shared" si="53"/>
        <v>337.8</v>
      </c>
      <c r="V191" s="47">
        <f t="shared" si="54"/>
        <v>337.8</v>
      </c>
      <c r="W191" s="98">
        <f t="shared" ref="W191:W222" si="61">N191</f>
        <v>337.8</v>
      </c>
      <c r="X191" s="98">
        <f t="shared" ref="X191:X222" si="62">IF(W191&gt;0,L191,"")</f>
        <v>0.4</v>
      </c>
      <c r="AB191" s="42" t="s">
        <v>187</v>
      </c>
      <c r="AE191" s="42" t="s">
        <v>24</v>
      </c>
      <c r="BG191"/>
      <c r="BH191"/>
      <c r="BI191"/>
      <c r="BJ191"/>
      <c r="BK191"/>
      <c r="BL191"/>
      <c r="BM191"/>
      <c r="BN191"/>
      <c r="BO191"/>
      <c r="BP191"/>
      <c r="BQ191"/>
      <c r="BR191"/>
      <c r="BS191"/>
    </row>
    <row r="192" spans="1:71" ht="16.5" x14ac:dyDescent="0.3">
      <c r="A192" s="38" t="s">
        <v>281</v>
      </c>
      <c r="B192" s="36">
        <v>190</v>
      </c>
      <c r="C192" s="71" t="str">
        <f t="shared" ca="1" si="59"/>
        <v>10년~5년 사이</v>
      </c>
      <c r="D192" s="79">
        <v>43077</v>
      </c>
      <c r="E192" s="72">
        <f t="shared" si="60"/>
        <v>1</v>
      </c>
      <c r="F192" s="8" t="s">
        <v>1</v>
      </c>
      <c r="G192" s="59" t="s">
        <v>39</v>
      </c>
      <c r="H192" s="59" t="s">
        <v>101</v>
      </c>
      <c r="I192" s="83" t="s">
        <v>796</v>
      </c>
      <c r="J192" s="74" t="s">
        <v>4</v>
      </c>
      <c r="K192" s="75" t="s">
        <v>187</v>
      </c>
      <c r="L192" s="76">
        <v>0.41</v>
      </c>
      <c r="M192" s="47">
        <v>670.8</v>
      </c>
      <c r="N192" s="103">
        <v>166.7</v>
      </c>
      <c r="O192" s="47">
        <f t="shared" si="49"/>
        <v>0.41</v>
      </c>
      <c r="P192" s="47">
        <f t="shared" si="50"/>
        <v>0.41</v>
      </c>
      <c r="Q192" s="47">
        <f t="shared" si="51"/>
        <v>670.8</v>
      </c>
      <c r="R192" s="47">
        <f t="shared" si="52"/>
        <v>670.8</v>
      </c>
      <c r="S192" s="47">
        <f t="shared" si="55"/>
        <v>0.41</v>
      </c>
      <c r="T192" s="47" t="str">
        <f t="shared" si="56"/>
        <v/>
      </c>
      <c r="U192" s="47">
        <f t="shared" si="53"/>
        <v>166.7</v>
      </c>
      <c r="V192" s="47" t="str">
        <f t="shared" si="54"/>
        <v/>
      </c>
      <c r="W192" s="98">
        <f t="shared" si="61"/>
        <v>166.7</v>
      </c>
      <c r="X192" s="98">
        <f t="shared" si="62"/>
        <v>0.41</v>
      </c>
      <c r="AB192" s="42" t="s">
        <v>187</v>
      </c>
      <c r="AE192" s="42" t="s">
        <v>24</v>
      </c>
      <c r="BG192"/>
      <c r="BH192"/>
      <c r="BI192"/>
      <c r="BJ192"/>
      <c r="BK192"/>
      <c r="BL192"/>
      <c r="BM192"/>
      <c r="BN192"/>
      <c r="BO192"/>
      <c r="BP192"/>
      <c r="BQ192"/>
      <c r="BR192"/>
      <c r="BS192"/>
    </row>
    <row r="193" spans="1:71" ht="16.5" x14ac:dyDescent="0.3">
      <c r="A193" s="38" t="s">
        <v>281</v>
      </c>
      <c r="B193" s="36">
        <v>191</v>
      </c>
      <c r="C193" s="71" t="str">
        <f t="shared" ca="1" si="59"/>
        <v>10년~5년 사이</v>
      </c>
      <c r="D193" s="79">
        <v>43078</v>
      </c>
      <c r="E193" s="72">
        <f t="shared" si="60"/>
        <v>2</v>
      </c>
      <c r="F193" s="8" t="s">
        <v>1</v>
      </c>
      <c r="G193" s="59" t="s">
        <v>253</v>
      </c>
      <c r="H193" s="59" t="s">
        <v>502</v>
      </c>
      <c r="I193" s="83" t="s">
        <v>743</v>
      </c>
      <c r="J193" s="74" t="s">
        <v>4</v>
      </c>
      <c r="K193" s="75" t="s">
        <v>187</v>
      </c>
      <c r="L193" s="76">
        <v>0.4</v>
      </c>
      <c r="M193" s="47">
        <v>1269.7</v>
      </c>
      <c r="N193" s="103">
        <v>337.8</v>
      </c>
      <c r="O193" s="47">
        <f t="shared" si="49"/>
        <v>0.4</v>
      </c>
      <c r="P193" s="47">
        <f t="shared" si="50"/>
        <v>0.4</v>
      </c>
      <c r="Q193" s="47">
        <f t="shared" si="51"/>
        <v>1269.7</v>
      </c>
      <c r="R193" s="47">
        <f t="shared" si="52"/>
        <v>1269.7</v>
      </c>
      <c r="S193" s="47">
        <f t="shared" si="55"/>
        <v>0.4</v>
      </c>
      <c r="T193" s="47">
        <f t="shared" si="56"/>
        <v>0.4</v>
      </c>
      <c r="U193" s="47">
        <f t="shared" si="53"/>
        <v>337.8</v>
      </c>
      <c r="V193" s="47">
        <f t="shared" si="54"/>
        <v>337.8</v>
      </c>
      <c r="W193" s="98">
        <f t="shared" si="61"/>
        <v>337.8</v>
      </c>
      <c r="X193" s="98">
        <f t="shared" si="62"/>
        <v>0.4</v>
      </c>
      <c r="AB193" s="42" t="s">
        <v>187</v>
      </c>
      <c r="AE193" s="42" t="s">
        <v>24</v>
      </c>
      <c r="BG193"/>
      <c r="BH193"/>
      <c r="BI193"/>
      <c r="BJ193"/>
      <c r="BK193"/>
      <c r="BL193"/>
      <c r="BM193"/>
      <c r="BN193"/>
      <c r="BO193"/>
      <c r="BP193"/>
      <c r="BQ193"/>
      <c r="BR193"/>
      <c r="BS193"/>
    </row>
    <row r="194" spans="1:71" ht="16.5" x14ac:dyDescent="0.3">
      <c r="A194" s="38" t="s">
        <v>281</v>
      </c>
      <c r="B194" s="36">
        <v>192</v>
      </c>
      <c r="C194" s="71" t="str">
        <f t="shared" ca="1" si="59"/>
        <v>10년~5년 사이</v>
      </c>
      <c r="D194" s="79">
        <v>43079</v>
      </c>
      <c r="E194" s="72">
        <f t="shared" si="60"/>
        <v>2</v>
      </c>
      <c r="F194" s="8" t="s">
        <v>1</v>
      </c>
      <c r="G194" s="59" t="s">
        <v>253</v>
      </c>
      <c r="H194" s="59" t="s">
        <v>744</v>
      </c>
      <c r="I194" s="83" t="s">
        <v>743</v>
      </c>
      <c r="J194" s="74" t="s">
        <v>4</v>
      </c>
      <c r="K194" s="75" t="s">
        <v>187</v>
      </c>
      <c r="L194" s="76">
        <v>0.4</v>
      </c>
      <c r="M194" s="47">
        <v>1269.7</v>
      </c>
      <c r="N194" s="103">
        <v>337.8</v>
      </c>
      <c r="O194" s="47">
        <f t="shared" si="49"/>
        <v>0.4</v>
      </c>
      <c r="P194" s="47">
        <f t="shared" si="50"/>
        <v>0.4</v>
      </c>
      <c r="Q194" s="47">
        <f t="shared" si="51"/>
        <v>1269.7</v>
      </c>
      <c r="R194" s="47">
        <f t="shared" si="52"/>
        <v>1269.7</v>
      </c>
      <c r="S194" s="47">
        <f t="shared" si="55"/>
        <v>0.4</v>
      </c>
      <c r="T194" s="47">
        <f t="shared" si="56"/>
        <v>0.4</v>
      </c>
      <c r="U194" s="47">
        <f t="shared" si="53"/>
        <v>337.8</v>
      </c>
      <c r="V194" s="47">
        <f t="shared" si="54"/>
        <v>337.8</v>
      </c>
      <c r="W194" s="98">
        <f t="shared" si="61"/>
        <v>337.8</v>
      </c>
      <c r="X194" s="98">
        <f t="shared" si="62"/>
        <v>0.4</v>
      </c>
      <c r="AB194" s="42" t="s">
        <v>187</v>
      </c>
      <c r="AE194" s="42" t="s">
        <v>24</v>
      </c>
      <c r="BG194"/>
      <c r="BH194"/>
      <c r="BI194"/>
      <c r="BJ194"/>
      <c r="BK194"/>
      <c r="BL194"/>
      <c r="BM194"/>
      <c r="BN194"/>
      <c r="BO194"/>
      <c r="BP194"/>
      <c r="BQ194"/>
      <c r="BR194"/>
      <c r="BS194"/>
    </row>
    <row r="195" spans="1:71" ht="16.5" x14ac:dyDescent="0.3">
      <c r="A195" s="38" t="s">
        <v>281</v>
      </c>
      <c r="B195" s="36">
        <v>193</v>
      </c>
      <c r="C195" s="71" t="str">
        <f t="shared" ca="1" si="59"/>
        <v>10년~5년 사이</v>
      </c>
      <c r="D195" s="79">
        <v>43079</v>
      </c>
      <c r="E195" s="72">
        <f t="shared" si="60"/>
        <v>2</v>
      </c>
      <c r="F195" s="8" t="s">
        <v>1</v>
      </c>
      <c r="G195" s="59" t="s">
        <v>68</v>
      </c>
      <c r="H195" s="59" t="s">
        <v>75</v>
      </c>
      <c r="I195" s="83" t="s">
        <v>743</v>
      </c>
      <c r="J195" s="74" t="s">
        <v>4</v>
      </c>
      <c r="K195" s="75" t="s">
        <v>187</v>
      </c>
      <c r="L195" s="76">
        <v>0.4</v>
      </c>
      <c r="M195" s="47">
        <v>1269.7</v>
      </c>
      <c r="N195" s="103">
        <v>337.8</v>
      </c>
      <c r="O195" s="47">
        <f t="shared" si="49"/>
        <v>0.4</v>
      </c>
      <c r="P195" s="47">
        <f t="shared" si="50"/>
        <v>0.4</v>
      </c>
      <c r="Q195" s="47">
        <f t="shared" si="51"/>
        <v>1269.7</v>
      </c>
      <c r="R195" s="47">
        <f t="shared" si="52"/>
        <v>1269.7</v>
      </c>
      <c r="S195" s="47">
        <f t="shared" si="55"/>
        <v>0.4</v>
      </c>
      <c r="T195" s="47">
        <f t="shared" si="56"/>
        <v>0.4</v>
      </c>
      <c r="U195" s="47">
        <f t="shared" si="53"/>
        <v>337.8</v>
      </c>
      <c r="V195" s="47">
        <f t="shared" si="54"/>
        <v>337.8</v>
      </c>
      <c r="W195" s="98">
        <f t="shared" si="61"/>
        <v>337.8</v>
      </c>
      <c r="X195" s="98">
        <f t="shared" si="62"/>
        <v>0.4</v>
      </c>
      <c r="AB195" s="42" t="s">
        <v>187</v>
      </c>
      <c r="AE195" s="42" t="s">
        <v>24</v>
      </c>
      <c r="BG195"/>
      <c r="BH195"/>
      <c r="BI195"/>
      <c r="BJ195"/>
      <c r="BK195"/>
      <c r="BL195"/>
      <c r="BM195"/>
      <c r="BN195"/>
      <c r="BO195"/>
      <c r="BP195"/>
      <c r="BQ195"/>
      <c r="BR195"/>
      <c r="BS195"/>
    </row>
    <row r="196" spans="1:71" ht="16.5" x14ac:dyDescent="0.3">
      <c r="A196" s="38" t="s">
        <v>281</v>
      </c>
      <c r="B196" s="36">
        <v>194</v>
      </c>
      <c r="C196" s="71" t="str">
        <f t="shared" ca="1" si="59"/>
        <v>10년~5년 사이</v>
      </c>
      <c r="D196" s="79">
        <v>43081</v>
      </c>
      <c r="E196" s="72">
        <f t="shared" si="60"/>
        <v>2</v>
      </c>
      <c r="F196" s="8" t="s">
        <v>1</v>
      </c>
      <c r="G196" s="59" t="s">
        <v>17</v>
      </c>
      <c r="H196" s="59" t="s">
        <v>82</v>
      </c>
      <c r="I196" s="57" t="s">
        <v>710</v>
      </c>
      <c r="J196" s="74" t="s">
        <v>4</v>
      </c>
      <c r="K196" s="75" t="s">
        <v>187</v>
      </c>
      <c r="L196" s="76">
        <v>0.7</v>
      </c>
      <c r="M196" s="58">
        <v>310.2</v>
      </c>
      <c r="N196" s="58">
        <v>217.1</v>
      </c>
      <c r="O196" s="47">
        <f t="shared" si="49"/>
        <v>0.7</v>
      </c>
      <c r="P196" s="47">
        <f t="shared" si="50"/>
        <v>0.7</v>
      </c>
      <c r="Q196" s="47">
        <f t="shared" si="51"/>
        <v>310.2</v>
      </c>
      <c r="R196" s="47">
        <f t="shared" si="52"/>
        <v>310.2</v>
      </c>
      <c r="S196" s="47">
        <f t="shared" si="55"/>
        <v>0.7</v>
      </c>
      <c r="T196" s="47">
        <f t="shared" si="56"/>
        <v>0.7</v>
      </c>
      <c r="U196" s="47">
        <f t="shared" si="53"/>
        <v>217.1</v>
      </c>
      <c r="V196" s="47">
        <f t="shared" si="54"/>
        <v>217.1</v>
      </c>
      <c r="W196" s="98">
        <f t="shared" si="61"/>
        <v>217.1</v>
      </c>
      <c r="X196" s="98">
        <f t="shared" si="62"/>
        <v>0.7</v>
      </c>
      <c r="AB196" s="42" t="s">
        <v>187</v>
      </c>
      <c r="BG196"/>
      <c r="BH196"/>
      <c r="BI196"/>
      <c r="BJ196"/>
      <c r="BK196"/>
      <c r="BL196"/>
      <c r="BM196"/>
      <c r="BN196"/>
      <c r="BO196"/>
      <c r="BP196"/>
      <c r="BQ196"/>
      <c r="BR196"/>
      <c r="BS196"/>
    </row>
    <row r="197" spans="1:71" ht="16.5" x14ac:dyDescent="0.3">
      <c r="A197" s="38" t="s">
        <v>281</v>
      </c>
      <c r="B197" s="36">
        <v>195</v>
      </c>
      <c r="C197" s="71" t="str">
        <f t="shared" ca="1" si="59"/>
        <v>10년~5년 사이</v>
      </c>
      <c r="D197" s="79">
        <v>43082</v>
      </c>
      <c r="E197" s="72">
        <f t="shared" si="60"/>
        <v>1</v>
      </c>
      <c r="F197" s="8" t="s">
        <v>1</v>
      </c>
      <c r="G197" s="59" t="s">
        <v>17</v>
      </c>
      <c r="H197" s="66" t="s">
        <v>139</v>
      </c>
      <c r="I197" s="57" t="s">
        <v>542</v>
      </c>
      <c r="J197" s="74" t="s">
        <v>4</v>
      </c>
      <c r="K197" s="75" t="s">
        <v>187</v>
      </c>
      <c r="L197" s="76">
        <v>1</v>
      </c>
      <c r="M197" s="101">
        <v>195</v>
      </c>
      <c r="N197" s="101">
        <v>195</v>
      </c>
      <c r="O197" s="47">
        <f t="shared" ref="O197:O260" si="63">IF(M197&gt;100,L197,"")</f>
        <v>1</v>
      </c>
      <c r="P197" s="47" t="str">
        <f t="shared" ref="P197:P260" si="64">IF(M197&gt;200,L197,"")</f>
        <v/>
      </c>
      <c r="Q197" s="47">
        <f t="shared" ref="Q197:Q260" si="65">IF(M197&gt;100,M197,"")</f>
        <v>195</v>
      </c>
      <c r="R197" s="47" t="str">
        <f t="shared" ref="R197:R260" si="66">IF(M197&gt;200,M197,"")</f>
        <v/>
      </c>
      <c r="S197" s="47">
        <f t="shared" si="55"/>
        <v>1</v>
      </c>
      <c r="T197" s="47" t="str">
        <f t="shared" si="56"/>
        <v/>
      </c>
      <c r="U197" s="47">
        <f t="shared" ref="U197:U260" si="67">IF(N197&gt;100,N197,"")</f>
        <v>195</v>
      </c>
      <c r="V197" s="47" t="str">
        <f t="shared" ref="V197:V260" si="68">IF(N197&gt;200,N197,"")</f>
        <v/>
      </c>
      <c r="W197" s="98">
        <f t="shared" si="61"/>
        <v>195</v>
      </c>
      <c r="X197" s="98">
        <f t="shared" si="62"/>
        <v>1</v>
      </c>
      <c r="AB197" s="42" t="s">
        <v>187</v>
      </c>
      <c r="AE197" s="42" t="s">
        <v>24</v>
      </c>
      <c r="BG197"/>
      <c r="BH197"/>
      <c r="BI197"/>
      <c r="BJ197"/>
      <c r="BK197"/>
      <c r="BL197"/>
      <c r="BM197"/>
      <c r="BN197"/>
      <c r="BO197"/>
      <c r="BP197"/>
      <c r="BQ197"/>
      <c r="BR197"/>
      <c r="BS197"/>
    </row>
    <row r="198" spans="1:71" ht="16.5" x14ac:dyDescent="0.3">
      <c r="A198" s="38" t="s">
        <v>281</v>
      </c>
      <c r="B198" s="36">
        <v>196</v>
      </c>
      <c r="C198" s="71" t="str">
        <f t="shared" ca="1" si="59"/>
        <v>10년~5년 사이</v>
      </c>
      <c r="D198" s="79">
        <v>43082</v>
      </c>
      <c r="E198" s="72">
        <f t="shared" si="60"/>
        <v>1</v>
      </c>
      <c r="F198" s="8" t="s">
        <v>1</v>
      </c>
      <c r="G198" s="59" t="s">
        <v>483</v>
      </c>
      <c r="H198" s="59" t="s">
        <v>773</v>
      </c>
      <c r="I198" s="83" t="s">
        <v>774</v>
      </c>
      <c r="J198" s="74" t="s">
        <v>4</v>
      </c>
      <c r="K198" s="75" t="s">
        <v>187</v>
      </c>
      <c r="L198" s="76">
        <v>1</v>
      </c>
      <c r="M198" s="58">
        <v>172.4</v>
      </c>
      <c r="N198" s="58">
        <v>172.4</v>
      </c>
      <c r="O198" s="47">
        <f t="shared" si="63"/>
        <v>1</v>
      </c>
      <c r="P198" s="47" t="str">
        <f t="shared" si="64"/>
        <v/>
      </c>
      <c r="Q198" s="47">
        <f t="shared" si="65"/>
        <v>172.4</v>
      </c>
      <c r="R198" s="47" t="str">
        <f t="shared" si="66"/>
        <v/>
      </c>
      <c r="S198" s="47">
        <f t="shared" si="55"/>
        <v>1</v>
      </c>
      <c r="T198" s="47" t="str">
        <f t="shared" si="56"/>
        <v/>
      </c>
      <c r="U198" s="47">
        <f t="shared" si="67"/>
        <v>172.4</v>
      </c>
      <c r="V198" s="47" t="str">
        <f t="shared" si="68"/>
        <v/>
      </c>
      <c r="W198" s="98">
        <f t="shared" si="61"/>
        <v>172.4</v>
      </c>
      <c r="X198" s="98">
        <f t="shared" si="62"/>
        <v>1</v>
      </c>
      <c r="AB198" s="42" t="s">
        <v>187</v>
      </c>
      <c r="BG198"/>
      <c r="BH198"/>
      <c r="BI198"/>
      <c r="BJ198"/>
      <c r="BK198"/>
      <c r="BL198"/>
      <c r="BM198"/>
      <c r="BN198"/>
      <c r="BO198"/>
      <c r="BP198"/>
      <c r="BQ198"/>
      <c r="BR198"/>
      <c r="BS198"/>
    </row>
    <row r="199" spans="1:71" ht="16.5" x14ac:dyDescent="0.3">
      <c r="A199" s="38" t="s">
        <v>281</v>
      </c>
      <c r="B199" s="36">
        <v>197</v>
      </c>
      <c r="C199" s="71" t="str">
        <f t="shared" ca="1" si="59"/>
        <v>10년~5년 사이</v>
      </c>
      <c r="D199" s="79">
        <v>43082</v>
      </c>
      <c r="E199" s="72">
        <f t="shared" si="60"/>
        <v>2</v>
      </c>
      <c r="F199" s="8" t="s">
        <v>1</v>
      </c>
      <c r="G199" s="59" t="s">
        <v>177</v>
      </c>
      <c r="H199" s="59" t="s">
        <v>541</v>
      </c>
      <c r="I199" s="83" t="s">
        <v>786</v>
      </c>
      <c r="J199" s="74" t="s">
        <v>4</v>
      </c>
      <c r="K199" s="75" t="s">
        <v>187</v>
      </c>
      <c r="L199" s="76">
        <v>0.7</v>
      </c>
      <c r="M199" s="58">
        <v>1134.7</v>
      </c>
      <c r="N199" s="58">
        <v>794.2</v>
      </c>
      <c r="O199" s="47">
        <f t="shared" si="63"/>
        <v>0.7</v>
      </c>
      <c r="P199" s="47">
        <f t="shared" si="64"/>
        <v>0.7</v>
      </c>
      <c r="Q199" s="47">
        <f t="shared" si="65"/>
        <v>1134.7</v>
      </c>
      <c r="R199" s="47">
        <f t="shared" si="66"/>
        <v>1134.7</v>
      </c>
      <c r="S199" s="47">
        <f t="shared" si="55"/>
        <v>0.7</v>
      </c>
      <c r="T199" s="47">
        <f t="shared" si="56"/>
        <v>0.7</v>
      </c>
      <c r="U199" s="47">
        <f t="shared" si="67"/>
        <v>794.2</v>
      </c>
      <c r="V199" s="47">
        <f t="shared" si="68"/>
        <v>794.2</v>
      </c>
      <c r="W199" s="98">
        <f t="shared" si="61"/>
        <v>794.2</v>
      </c>
      <c r="X199" s="98">
        <f t="shared" si="62"/>
        <v>0.7</v>
      </c>
      <c r="AB199" s="42" t="s">
        <v>187</v>
      </c>
      <c r="AE199" s="42" t="s">
        <v>24</v>
      </c>
      <c r="BG199"/>
      <c r="BH199"/>
      <c r="BI199"/>
      <c r="BJ199"/>
      <c r="BK199"/>
      <c r="BL199"/>
      <c r="BM199"/>
      <c r="BN199"/>
      <c r="BO199"/>
      <c r="BP199"/>
      <c r="BQ199"/>
      <c r="BR199"/>
      <c r="BS199"/>
    </row>
    <row r="200" spans="1:71" ht="16.5" x14ac:dyDescent="0.3">
      <c r="A200" s="38" t="s">
        <v>281</v>
      </c>
      <c r="B200" s="36">
        <v>198</v>
      </c>
      <c r="C200" s="71" t="str">
        <f t="shared" ca="1" si="59"/>
        <v>10년~5년 사이</v>
      </c>
      <c r="D200" s="79">
        <v>43083</v>
      </c>
      <c r="E200" s="72">
        <f t="shared" si="60"/>
        <v>2</v>
      </c>
      <c r="F200" s="8" t="s">
        <v>1</v>
      </c>
      <c r="G200" s="59" t="s">
        <v>17</v>
      </c>
      <c r="H200" s="59" t="s">
        <v>82</v>
      </c>
      <c r="I200" s="57" t="s">
        <v>488</v>
      </c>
      <c r="J200" s="74" t="s">
        <v>4</v>
      </c>
      <c r="K200" s="75" t="s">
        <v>187</v>
      </c>
      <c r="L200" s="76">
        <v>0.4</v>
      </c>
      <c r="M200" s="101">
        <v>514.70000000000005</v>
      </c>
      <c r="N200" s="101">
        <v>205.9</v>
      </c>
      <c r="O200" s="47">
        <f t="shared" si="63"/>
        <v>0.4</v>
      </c>
      <c r="P200" s="47">
        <f t="shared" si="64"/>
        <v>0.4</v>
      </c>
      <c r="Q200" s="47">
        <f t="shared" si="65"/>
        <v>514.70000000000005</v>
      </c>
      <c r="R200" s="47">
        <f t="shared" si="66"/>
        <v>514.70000000000005</v>
      </c>
      <c r="S200" s="47">
        <f t="shared" ref="S200:S263" si="69">IF(N200&gt;100,L200,"")</f>
        <v>0.4</v>
      </c>
      <c r="T200" s="47">
        <f t="shared" ref="T200:T263" si="70">IF(N200&gt;200,L200,"")</f>
        <v>0.4</v>
      </c>
      <c r="U200" s="47">
        <f t="shared" si="67"/>
        <v>205.9</v>
      </c>
      <c r="V200" s="47">
        <f t="shared" si="68"/>
        <v>205.9</v>
      </c>
      <c r="W200" s="98">
        <f t="shared" si="61"/>
        <v>205.9</v>
      </c>
      <c r="X200" s="98">
        <f t="shared" si="62"/>
        <v>0.4</v>
      </c>
      <c r="AB200" s="42" t="s">
        <v>187</v>
      </c>
      <c r="AE200" s="42" t="s">
        <v>24</v>
      </c>
      <c r="BG200"/>
      <c r="BH200"/>
      <c r="BI200"/>
      <c r="BJ200"/>
      <c r="BK200"/>
      <c r="BL200"/>
      <c r="BM200"/>
      <c r="BN200"/>
      <c r="BO200"/>
      <c r="BP200"/>
      <c r="BQ200"/>
      <c r="BR200"/>
      <c r="BS200"/>
    </row>
    <row r="201" spans="1:71" ht="16.5" x14ac:dyDescent="0.3">
      <c r="A201" s="38" t="s">
        <v>281</v>
      </c>
      <c r="B201" s="36">
        <v>199</v>
      </c>
      <c r="C201" s="71" t="str">
        <f t="shared" ca="1" si="59"/>
        <v>10년~5년 사이</v>
      </c>
      <c r="D201" s="79">
        <v>43083</v>
      </c>
      <c r="E201" s="72">
        <f t="shared" si="60"/>
        <v>1</v>
      </c>
      <c r="F201" s="8" t="s">
        <v>1</v>
      </c>
      <c r="G201" s="59" t="s">
        <v>309</v>
      </c>
      <c r="H201" s="59" t="s">
        <v>363</v>
      </c>
      <c r="I201" s="57" t="s">
        <v>520</v>
      </c>
      <c r="J201" s="74" t="s">
        <v>4</v>
      </c>
      <c r="K201" s="75" t="s">
        <v>187</v>
      </c>
      <c r="L201" s="76">
        <v>1</v>
      </c>
      <c r="M201" s="101">
        <v>105.8</v>
      </c>
      <c r="N201" s="101">
        <v>105.8</v>
      </c>
      <c r="O201" s="47">
        <f t="shared" si="63"/>
        <v>1</v>
      </c>
      <c r="P201" s="47" t="str">
        <f t="shared" si="64"/>
        <v/>
      </c>
      <c r="Q201" s="47">
        <f t="shared" si="65"/>
        <v>105.8</v>
      </c>
      <c r="R201" s="47" t="str">
        <f t="shared" si="66"/>
        <v/>
      </c>
      <c r="S201" s="47">
        <f t="shared" si="69"/>
        <v>1</v>
      </c>
      <c r="T201" s="47" t="str">
        <f t="shared" si="70"/>
        <v/>
      </c>
      <c r="U201" s="47">
        <f t="shared" si="67"/>
        <v>105.8</v>
      </c>
      <c r="V201" s="47" t="str">
        <f t="shared" si="68"/>
        <v/>
      </c>
      <c r="W201" s="98">
        <f t="shared" si="61"/>
        <v>105.8</v>
      </c>
      <c r="X201" s="98">
        <f t="shared" si="62"/>
        <v>1</v>
      </c>
      <c r="AB201" s="42" t="s">
        <v>187</v>
      </c>
      <c r="AE201" s="42" t="s">
        <v>24</v>
      </c>
      <c r="BG201"/>
      <c r="BH201"/>
      <c r="BI201"/>
      <c r="BJ201"/>
      <c r="BK201"/>
      <c r="BL201"/>
      <c r="BM201"/>
      <c r="BN201"/>
      <c r="BO201"/>
      <c r="BP201"/>
      <c r="BQ201"/>
      <c r="BR201"/>
      <c r="BS201"/>
    </row>
    <row r="202" spans="1:71" ht="16.5" x14ac:dyDescent="0.3">
      <c r="A202" s="38" t="s">
        <v>281</v>
      </c>
      <c r="B202" s="36">
        <v>200</v>
      </c>
      <c r="C202" s="71" t="str">
        <f t="shared" ca="1" si="59"/>
        <v>10년~5년 사이</v>
      </c>
      <c r="D202" s="82">
        <v>43086</v>
      </c>
      <c r="E202" s="72">
        <f t="shared" si="60"/>
        <v>1</v>
      </c>
      <c r="F202" s="8" t="s">
        <v>1</v>
      </c>
      <c r="G202" s="85" t="s">
        <v>477</v>
      </c>
      <c r="H202" s="85" t="s">
        <v>486</v>
      </c>
      <c r="I202" s="84" t="s">
        <v>487</v>
      </c>
      <c r="J202" s="74" t="s">
        <v>4</v>
      </c>
      <c r="K202" s="75" t="s">
        <v>187</v>
      </c>
      <c r="L202" s="76">
        <v>0.61599999999999999</v>
      </c>
      <c r="M202" s="105">
        <v>220.7</v>
      </c>
      <c r="N202" s="105">
        <v>136</v>
      </c>
      <c r="O202" s="47">
        <f t="shared" si="63"/>
        <v>0.61599999999999999</v>
      </c>
      <c r="P202" s="47">
        <f t="shared" si="64"/>
        <v>0.61599999999999999</v>
      </c>
      <c r="Q202" s="47">
        <f t="shared" si="65"/>
        <v>220.7</v>
      </c>
      <c r="R202" s="47">
        <f t="shared" si="66"/>
        <v>220.7</v>
      </c>
      <c r="S202" s="47">
        <f t="shared" si="69"/>
        <v>0.61599999999999999</v>
      </c>
      <c r="T202" s="47" t="str">
        <f t="shared" si="70"/>
        <v/>
      </c>
      <c r="U202" s="47">
        <f t="shared" si="67"/>
        <v>136</v>
      </c>
      <c r="V202" s="47" t="str">
        <f t="shared" si="68"/>
        <v/>
      </c>
      <c r="W202" s="98">
        <f t="shared" si="61"/>
        <v>136</v>
      </c>
      <c r="X202" s="98">
        <f t="shared" si="62"/>
        <v>0.61599999999999999</v>
      </c>
      <c r="AB202" s="42" t="s">
        <v>187</v>
      </c>
      <c r="AE202" s="42" t="s">
        <v>24</v>
      </c>
      <c r="BG202"/>
      <c r="BH202"/>
      <c r="BI202"/>
      <c r="BJ202"/>
      <c r="BK202"/>
      <c r="BL202"/>
      <c r="BM202"/>
      <c r="BN202"/>
      <c r="BO202"/>
      <c r="BP202"/>
      <c r="BQ202"/>
      <c r="BR202"/>
      <c r="BS202"/>
    </row>
    <row r="203" spans="1:71" ht="16.5" x14ac:dyDescent="0.3">
      <c r="A203" s="38" t="s">
        <v>281</v>
      </c>
      <c r="B203" s="36">
        <v>201</v>
      </c>
      <c r="C203" s="71" t="str">
        <f t="shared" ca="1" si="59"/>
        <v>10년~5년 사이</v>
      </c>
      <c r="D203" s="79">
        <v>43087</v>
      </c>
      <c r="E203" s="72">
        <f t="shared" si="60"/>
        <v>2</v>
      </c>
      <c r="F203" s="8" t="s">
        <v>1</v>
      </c>
      <c r="G203" s="59" t="s">
        <v>568</v>
      </c>
      <c r="H203" s="59" t="s">
        <v>699</v>
      </c>
      <c r="I203" s="83" t="s">
        <v>725</v>
      </c>
      <c r="J203" s="74" t="s">
        <v>4</v>
      </c>
      <c r="K203" s="75" t="s">
        <v>187</v>
      </c>
      <c r="L203" s="76">
        <v>0.3</v>
      </c>
      <c r="M203" s="58">
        <v>858.7</v>
      </c>
      <c r="N203" s="58">
        <v>257.60000000000002</v>
      </c>
      <c r="O203" s="47">
        <f t="shared" si="63"/>
        <v>0.3</v>
      </c>
      <c r="P203" s="47">
        <f t="shared" si="64"/>
        <v>0.3</v>
      </c>
      <c r="Q203" s="47">
        <f t="shared" si="65"/>
        <v>858.7</v>
      </c>
      <c r="R203" s="47">
        <f t="shared" si="66"/>
        <v>858.7</v>
      </c>
      <c r="S203" s="47">
        <f t="shared" si="69"/>
        <v>0.3</v>
      </c>
      <c r="T203" s="47">
        <f t="shared" si="70"/>
        <v>0.3</v>
      </c>
      <c r="U203" s="47">
        <f t="shared" si="67"/>
        <v>257.60000000000002</v>
      </c>
      <c r="V203" s="47">
        <f t="shared" si="68"/>
        <v>257.60000000000002</v>
      </c>
      <c r="W203" s="98">
        <f t="shared" si="61"/>
        <v>257.60000000000002</v>
      </c>
      <c r="X203" s="98">
        <f t="shared" si="62"/>
        <v>0.3</v>
      </c>
      <c r="AB203" s="42" t="s">
        <v>187</v>
      </c>
      <c r="BG203"/>
      <c r="BH203"/>
      <c r="BI203"/>
      <c r="BJ203"/>
      <c r="BK203"/>
      <c r="BL203"/>
      <c r="BM203"/>
      <c r="BN203"/>
      <c r="BO203"/>
      <c r="BP203"/>
      <c r="BQ203"/>
      <c r="BR203"/>
      <c r="BS203"/>
    </row>
    <row r="204" spans="1:71" ht="16.5" x14ac:dyDescent="0.3">
      <c r="A204" s="38" t="s">
        <v>281</v>
      </c>
      <c r="B204" s="36">
        <v>202</v>
      </c>
      <c r="C204" s="71" t="str">
        <f t="shared" ca="1" si="59"/>
        <v>10년~5년 사이</v>
      </c>
      <c r="D204" s="82">
        <v>43088</v>
      </c>
      <c r="E204" s="72">
        <f t="shared" si="60"/>
        <v>2</v>
      </c>
      <c r="F204" s="8" t="s">
        <v>1</v>
      </c>
      <c r="G204" s="85" t="s">
        <v>477</v>
      </c>
      <c r="H204" s="85" t="s">
        <v>478</v>
      </c>
      <c r="I204" s="84" t="s">
        <v>479</v>
      </c>
      <c r="J204" s="74" t="s">
        <v>4</v>
      </c>
      <c r="K204" s="75" t="s">
        <v>187</v>
      </c>
      <c r="L204" s="76">
        <v>0.4</v>
      </c>
      <c r="M204" s="105">
        <v>1263.2</v>
      </c>
      <c r="N204" s="105">
        <v>505.2</v>
      </c>
      <c r="O204" s="47">
        <f t="shared" si="63"/>
        <v>0.4</v>
      </c>
      <c r="P204" s="47">
        <f t="shared" si="64"/>
        <v>0.4</v>
      </c>
      <c r="Q204" s="47">
        <f t="shared" si="65"/>
        <v>1263.2</v>
      </c>
      <c r="R204" s="47">
        <f t="shared" si="66"/>
        <v>1263.2</v>
      </c>
      <c r="S204" s="47">
        <f t="shared" si="69"/>
        <v>0.4</v>
      </c>
      <c r="T204" s="47">
        <f t="shared" si="70"/>
        <v>0.4</v>
      </c>
      <c r="U204" s="47">
        <f t="shared" si="67"/>
        <v>505.2</v>
      </c>
      <c r="V204" s="47">
        <f t="shared" si="68"/>
        <v>505.2</v>
      </c>
      <c r="W204" s="98">
        <f t="shared" si="61"/>
        <v>505.2</v>
      </c>
      <c r="X204" s="98">
        <f t="shared" si="62"/>
        <v>0.4</v>
      </c>
      <c r="AB204" s="42" t="s">
        <v>187</v>
      </c>
      <c r="AE204" s="42" t="s">
        <v>24</v>
      </c>
      <c r="BG204"/>
      <c r="BH204"/>
      <c r="BI204"/>
      <c r="BJ204"/>
      <c r="BK204"/>
      <c r="BL204"/>
      <c r="BM204"/>
      <c r="BN204"/>
      <c r="BO204"/>
      <c r="BP204"/>
      <c r="BQ204"/>
      <c r="BR204"/>
      <c r="BS204"/>
    </row>
    <row r="205" spans="1:71" ht="16.5" x14ac:dyDescent="0.3">
      <c r="A205" s="38" t="s">
        <v>281</v>
      </c>
      <c r="B205" s="36">
        <v>203</v>
      </c>
      <c r="C205" s="71" t="str">
        <f t="shared" ca="1" si="59"/>
        <v>10년~5년 사이</v>
      </c>
      <c r="D205" s="79">
        <v>43088</v>
      </c>
      <c r="E205" s="72">
        <f t="shared" si="60"/>
        <v>1</v>
      </c>
      <c r="F205" s="8" t="s">
        <v>1</v>
      </c>
      <c r="G205" s="59" t="s">
        <v>568</v>
      </c>
      <c r="H205" s="59" t="s">
        <v>569</v>
      </c>
      <c r="I205" s="57" t="s">
        <v>570</v>
      </c>
      <c r="J205" s="74" t="s">
        <v>4</v>
      </c>
      <c r="K205" s="75" t="s">
        <v>187</v>
      </c>
      <c r="L205" s="76">
        <v>0.7</v>
      </c>
      <c r="M205" s="58">
        <v>258.7</v>
      </c>
      <c r="N205" s="58">
        <v>181.1</v>
      </c>
      <c r="O205" s="47">
        <f t="shared" si="63"/>
        <v>0.7</v>
      </c>
      <c r="P205" s="47">
        <f t="shared" si="64"/>
        <v>0.7</v>
      </c>
      <c r="Q205" s="47">
        <f t="shared" si="65"/>
        <v>258.7</v>
      </c>
      <c r="R205" s="47">
        <f t="shared" si="66"/>
        <v>258.7</v>
      </c>
      <c r="S205" s="47">
        <f t="shared" si="69"/>
        <v>0.7</v>
      </c>
      <c r="T205" s="47" t="str">
        <f t="shared" si="70"/>
        <v/>
      </c>
      <c r="U205" s="47">
        <f t="shared" si="67"/>
        <v>181.1</v>
      </c>
      <c r="V205" s="47" t="str">
        <f t="shared" si="68"/>
        <v/>
      </c>
      <c r="W205" s="98">
        <f t="shared" si="61"/>
        <v>181.1</v>
      </c>
      <c r="X205" s="98">
        <f t="shared" si="62"/>
        <v>0.7</v>
      </c>
      <c r="AB205" s="42" t="s">
        <v>187</v>
      </c>
      <c r="BG205"/>
      <c r="BH205"/>
      <c r="BI205"/>
      <c r="BJ205"/>
      <c r="BK205"/>
      <c r="BL205"/>
      <c r="BM205"/>
      <c r="BN205"/>
      <c r="BO205"/>
      <c r="BP205"/>
      <c r="BQ205"/>
      <c r="BR205"/>
      <c r="BS205"/>
    </row>
    <row r="206" spans="1:71" ht="16.5" x14ac:dyDescent="0.3">
      <c r="A206" s="38" t="s">
        <v>281</v>
      </c>
      <c r="B206" s="36">
        <v>204</v>
      </c>
      <c r="C206" s="71" t="str">
        <f t="shared" ca="1" si="59"/>
        <v>10년~5년 사이</v>
      </c>
      <c r="D206" s="79">
        <v>43088</v>
      </c>
      <c r="E206" s="72">
        <f t="shared" si="60"/>
        <v>2</v>
      </c>
      <c r="F206" s="8" t="s">
        <v>1</v>
      </c>
      <c r="G206" s="59" t="s">
        <v>68</v>
      </c>
      <c r="H206" s="59" t="s">
        <v>77</v>
      </c>
      <c r="I206" s="83" t="s">
        <v>719</v>
      </c>
      <c r="J206" s="74" t="s">
        <v>4</v>
      </c>
      <c r="K206" s="75" t="s">
        <v>187</v>
      </c>
      <c r="L206" s="76">
        <v>0.7</v>
      </c>
      <c r="M206" s="58">
        <v>1688.2</v>
      </c>
      <c r="N206" s="58">
        <v>996.6</v>
      </c>
      <c r="O206" s="47">
        <f t="shared" si="63"/>
        <v>0.7</v>
      </c>
      <c r="P206" s="47">
        <f t="shared" si="64"/>
        <v>0.7</v>
      </c>
      <c r="Q206" s="47">
        <f t="shared" si="65"/>
        <v>1688.2</v>
      </c>
      <c r="R206" s="47">
        <f t="shared" si="66"/>
        <v>1688.2</v>
      </c>
      <c r="S206" s="47">
        <f t="shared" si="69"/>
        <v>0.7</v>
      </c>
      <c r="T206" s="47">
        <f t="shared" si="70"/>
        <v>0.7</v>
      </c>
      <c r="U206" s="47">
        <f t="shared" si="67"/>
        <v>996.6</v>
      </c>
      <c r="V206" s="47">
        <f t="shared" si="68"/>
        <v>996.6</v>
      </c>
      <c r="W206" s="98">
        <f t="shared" si="61"/>
        <v>996.6</v>
      </c>
      <c r="X206" s="98">
        <f t="shared" si="62"/>
        <v>0.7</v>
      </c>
      <c r="AB206" s="42" t="s">
        <v>187</v>
      </c>
      <c r="AE206" s="42" t="s">
        <v>24</v>
      </c>
      <c r="BG206"/>
      <c r="BH206"/>
      <c r="BI206"/>
      <c r="BJ206"/>
      <c r="BK206"/>
      <c r="BL206"/>
      <c r="BM206"/>
      <c r="BN206"/>
      <c r="BO206"/>
      <c r="BP206"/>
      <c r="BQ206"/>
      <c r="BR206"/>
      <c r="BS206"/>
    </row>
    <row r="207" spans="1:71" ht="16.5" x14ac:dyDescent="0.3">
      <c r="A207" s="38" t="s">
        <v>281</v>
      </c>
      <c r="B207" s="36">
        <v>205</v>
      </c>
      <c r="C207" s="71" t="str">
        <f t="shared" ca="1" si="59"/>
        <v>10년~5년 사이</v>
      </c>
      <c r="D207" s="82">
        <v>43089</v>
      </c>
      <c r="E207" s="72">
        <f t="shared" si="60"/>
        <v>2</v>
      </c>
      <c r="F207" s="8" t="s">
        <v>1</v>
      </c>
      <c r="G207" s="85" t="s">
        <v>68</v>
      </c>
      <c r="H207" s="85" t="s">
        <v>475</v>
      </c>
      <c r="I207" s="84" t="s">
        <v>476</v>
      </c>
      <c r="J207" s="74" t="s">
        <v>4</v>
      </c>
      <c r="K207" s="75" t="s">
        <v>187</v>
      </c>
      <c r="L207" s="76">
        <v>0.6</v>
      </c>
      <c r="M207" s="105">
        <v>407.2</v>
      </c>
      <c r="N207" s="105">
        <v>244.3</v>
      </c>
      <c r="O207" s="47">
        <f t="shared" si="63"/>
        <v>0.6</v>
      </c>
      <c r="P207" s="47">
        <f t="shared" si="64"/>
        <v>0.6</v>
      </c>
      <c r="Q207" s="47">
        <f t="shared" si="65"/>
        <v>407.2</v>
      </c>
      <c r="R207" s="47">
        <f t="shared" si="66"/>
        <v>407.2</v>
      </c>
      <c r="S207" s="47">
        <f t="shared" si="69"/>
        <v>0.6</v>
      </c>
      <c r="T207" s="47">
        <f t="shared" si="70"/>
        <v>0.6</v>
      </c>
      <c r="U207" s="47">
        <f t="shared" si="67"/>
        <v>244.3</v>
      </c>
      <c r="V207" s="47">
        <f t="shared" si="68"/>
        <v>244.3</v>
      </c>
      <c r="W207" s="98">
        <f t="shared" si="61"/>
        <v>244.3</v>
      </c>
      <c r="X207" s="98">
        <f t="shared" si="62"/>
        <v>0.6</v>
      </c>
      <c r="AB207" s="42" t="s">
        <v>187</v>
      </c>
      <c r="BG207"/>
      <c r="BH207"/>
      <c r="BI207"/>
      <c r="BJ207"/>
      <c r="BK207"/>
      <c r="BL207"/>
      <c r="BM207"/>
      <c r="BN207"/>
      <c r="BO207"/>
      <c r="BP207"/>
      <c r="BQ207"/>
      <c r="BR207"/>
      <c r="BS207"/>
    </row>
    <row r="208" spans="1:71" ht="16.5" x14ac:dyDescent="0.3">
      <c r="A208" s="38" t="s">
        <v>281</v>
      </c>
      <c r="B208" s="36">
        <v>206</v>
      </c>
      <c r="C208" s="71" t="str">
        <f t="shared" ca="1" si="59"/>
        <v>10년~5년 사이</v>
      </c>
      <c r="D208" s="79">
        <v>43089</v>
      </c>
      <c r="E208" s="72">
        <f t="shared" si="60"/>
        <v>2</v>
      </c>
      <c r="F208" s="8" t="s">
        <v>1</v>
      </c>
      <c r="G208" s="59" t="s">
        <v>17</v>
      </c>
      <c r="H208" s="63" t="s">
        <v>137</v>
      </c>
      <c r="I208" s="41" t="s">
        <v>532</v>
      </c>
      <c r="J208" s="81" t="s">
        <v>4</v>
      </c>
      <c r="K208" s="75" t="s">
        <v>187</v>
      </c>
      <c r="L208" s="76">
        <v>0.7</v>
      </c>
      <c r="M208" s="101">
        <v>380.7</v>
      </c>
      <c r="N208" s="101">
        <v>266.5</v>
      </c>
      <c r="O208" s="47">
        <f t="shared" si="63"/>
        <v>0.7</v>
      </c>
      <c r="P208" s="47">
        <f t="shared" si="64"/>
        <v>0.7</v>
      </c>
      <c r="Q208" s="47">
        <f t="shared" si="65"/>
        <v>380.7</v>
      </c>
      <c r="R208" s="47">
        <f t="shared" si="66"/>
        <v>380.7</v>
      </c>
      <c r="S208" s="47">
        <f t="shared" si="69"/>
        <v>0.7</v>
      </c>
      <c r="T208" s="47">
        <f t="shared" si="70"/>
        <v>0.7</v>
      </c>
      <c r="U208" s="47">
        <f t="shared" si="67"/>
        <v>266.5</v>
      </c>
      <c r="V208" s="47">
        <f t="shared" si="68"/>
        <v>266.5</v>
      </c>
      <c r="W208" s="98">
        <f t="shared" si="61"/>
        <v>266.5</v>
      </c>
      <c r="X208" s="98">
        <f t="shared" si="62"/>
        <v>0.7</v>
      </c>
      <c r="AB208" s="42" t="s">
        <v>187</v>
      </c>
      <c r="AE208" s="42" t="s">
        <v>24</v>
      </c>
      <c r="BG208"/>
      <c r="BH208"/>
      <c r="BI208"/>
      <c r="BJ208"/>
      <c r="BK208"/>
      <c r="BL208"/>
      <c r="BM208"/>
      <c r="BN208"/>
      <c r="BO208"/>
      <c r="BP208"/>
      <c r="BQ208"/>
      <c r="BR208"/>
      <c r="BS208"/>
    </row>
    <row r="209" spans="1:71" ht="16.5" x14ac:dyDescent="0.3">
      <c r="A209" s="38" t="s">
        <v>281</v>
      </c>
      <c r="B209" s="36">
        <v>207</v>
      </c>
      <c r="C209" s="71" t="str">
        <f t="shared" ca="1" si="59"/>
        <v>10년~5년 사이</v>
      </c>
      <c r="D209" s="79">
        <v>43089</v>
      </c>
      <c r="E209" s="72">
        <f t="shared" si="60"/>
        <v>2</v>
      </c>
      <c r="F209" s="8" t="s">
        <v>1</v>
      </c>
      <c r="G209" s="59" t="s">
        <v>68</v>
      </c>
      <c r="H209" s="59" t="s">
        <v>77</v>
      </c>
      <c r="I209" s="41" t="s">
        <v>532</v>
      </c>
      <c r="J209" s="81" t="s">
        <v>4</v>
      </c>
      <c r="K209" s="75" t="s">
        <v>187</v>
      </c>
      <c r="L209" s="76">
        <v>0.7</v>
      </c>
      <c r="M209" s="101">
        <v>380.7</v>
      </c>
      <c r="N209" s="101">
        <v>266.5</v>
      </c>
      <c r="O209" s="47">
        <f t="shared" si="63"/>
        <v>0.7</v>
      </c>
      <c r="P209" s="47">
        <f t="shared" si="64"/>
        <v>0.7</v>
      </c>
      <c r="Q209" s="47">
        <f t="shared" si="65"/>
        <v>380.7</v>
      </c>
      <c r="R209" s="47">
        <f t="shared" si="66"/>
        <v>380.7</v>
      </c>
      <c r="S209" s="47">
        <f t="shared" si="69"/>
        <v>0.7</v>
      </c>
      <c r="T209" s="47">
        <f t="shared" si="70"/>
        <v>0.7</v>
      </c>
      <c r="U209" s="47">
        <f t="shared" si="67"/>
        <v>266.5</v>
      </c>
      <c r="V209" s="47">
        <f t="shared" si="68"/>
        <v>266.5</v>
      </c>
      <c r="W209" s="98">
        <f t="shared" si="61"/>
        <v>266.5</v>
      </c>
      <c r="X209" s="98">
        <f t="shared" si="62"/>
        <v>0.7</v>
      </c>
      <c r="AB209" s="42" t="s">
        <v>187</v>
      </c>
      <c r="AE209" s="42" t="s">
        <v>24</v>
      </c>
      <c r="BG209"/>
      <c r="BH209"/>
      <c r="BI209"/>
      <c r="BJ209"/>
      <c r="BK209"/>
      <c r="BL209"/>
      <c r="BM209"/>
      <c r="BN209"/>
      <c r="BO209"/>
      <c r="BP209"/>
      <c r="BQ209"/>
      <c r="BR209"/>
      <c r="BS209"/>
    </row>
    <row r="210" spans="1:71" ht="16.5" x14ac:dyDescent="0.3">
      <c r="A210" s="38" t="s">
        <v>281</v>
      </c>
      <c r="B210" s="36">
        <v>208</v>
      </c>
      <c r="C210" s="71" t="str">
        <f t="shared" ca="1" si="59"/>
        <v>10년~5년 사이</v>
      </c>
      <c r="D210" s="79">
        <v>43089</v>
      </c>
      <c r="E210" s="72">
        <f t="shared" si="60"/>
        <v>2</v>
      </c>
      <c r="F210" s="8" t="s">
        <v>1</v>
      </c>
      <c r="G210" s="59" t="s">
        <v>68</v>
      </c>
      <c r="H210" s="59" t="s">
        <v>75</v>
      </c>
      <c r="I210" s="65" t="s">
        <v>721</v>
      </c>
      <c r="J210" s="81" t="s">
        <v>4</v>
      </c>
      <c r="K210" s="75" t="s">
        <v>187</v>
      </c>
      <c r="L210" s="76">
        <v>0.51990000000000003</v>
      </c>
      <c r="M210" s="58">
        <v>532</v>
      </c>
      <c r="N210" s="58">
        <v>276.60000000000002</v>
      </c>
      <c r="O210" s="47">
        <f t="shared" si="63"/>
        <v>0.51990000000000003</v>
      </c>
      <c r="P210" s="47">
        <f t="shared" si="64"/>
        <v>0.51990000000000003</v>
      </c>
      <c r="Q210" s="47">
        <f t="shared" si="65"/>
        <v>532</v>
      </c>
      <c r="R210" s="47">
        <f t="shared" si="66"/>
        <v>532</v>
      </c>
      <c r="S210" s="47">
        <f t="shared" si="69"/>
        <v>0.51990000000000003</v>
      </c>
      <c r="T210" s="47">
        <f t="shared" si="70"/>
        <v>0.51990000000000003</v>
      </c>
      <c r="U210" s="47">
        <f t="shared" si="67"/>
        <v>276.60000000000002</v>
      </c>
      <c r="V210" s="47">
        <f t="shared" si="68"/>
        <v>276.60000000000002</v>
      </c>
      <c r="W210" s="98">
        <f t="shared" si="61"/>
        <v>276.60000000000002</v>
      </c>
      <c r="X210" s="98">
        <f t="shared" si="62"/>
        <v>0.51990000000000003</v>
      </c>
      <c r="AB210" s="42" t="s">
        <v>187</v>
      </c>
      <c r="AE210" s="42" t="s">
        <v>24</v>
      </c>
      <c r="BG210"/>
      <c r="BH210"/>
      <c r="BI210"/>
      <c r="BJ210"/>
      <c r="BK210"/>
      <c r="BL210"/>
      <c r="BM210"/>
      <c r="BN210"/>
      <c r="BO210"/>
      <c r="BP210"/>
      <c r="BQ210"/>
      <c r="BR210"/>
      <c r="BS210"/>
    </row>
    <row r="211" spans="1:71" ht="16.5" x14ac:dyDescent="0.3">
      <c r="A211" s="38" t="s">
        <v>281</v>
      </c>
      <c r="B211" s="36">
        <v>209</v>
      </c>
      <c r="C211" s="71" t="str">
        <f t="shared" ca="1" si="59"/>
        <v>10년~5년 사이</v>
      </c>
      <c r="D211" s="79">
        <v>43090</v>
      </c>
      <c r="E211" s="72">
        <f t="shared" si="60"/>
        <v>1</v>
      </c>
      <c r="F211" s="8" t="s">
        <v>1</v>
      </c>
      <c r="G211" s="59" t="s">
        <v>347</v>
      </c>
      <c r="H211" s="59" t="s">
        <v>496</v>
      </c>
      <c r="I211" s="41" t="s">
        <v>497</v>
      </c>
      <c r="J211" s="81" t="s">
        <v>4</v>
      </c>
      <c r="K211" s="75" t="s">
        <v>187</v>
      </c>
      <c r="L211" s="76">
        <v>0.4</v>
      </c>
      <c r="M211" s="101">
        <v>256.89999999999998</v>
      </c>
      <c r="N211" s="101">
        <v>102.7</v>
      </c>
      <c r="O211" s="47">
        <f t="shared" si="63"/>
        <v>0.4</v>
      </c>
      <c r="P211" s="47">
        <f t="shared" si="64"/>
        <v>0.4</v>
      </c>
      <c r="Q211" s="47">
        <f t="shared" si="65"/>
        <v>256.89999999999998</v>
      </c>
      <c r="R211" s="47">
        <f t="shared" si="66"/>
        <v>256.89999999999998</v>
      </c>
      <c r="S211" s="47">
        <f t="shared" si="69"/>
        <v>0.4</v>
      </c>
      <c r="T211" s="47" t="str">
        <f t="shared" si="70"/>
        <v/>
      </c>
      <c r="U211" s="47">
        <f t="shared" si="67"/>
        <v>102.7</v>
      </c>
      <c r="V211" s="47" t="str">
        <f t="shared" si="68"/>
        <v/>
      </c>
      <c r="W211" s="98">
        <f t="shared" si="61"/>
        <v>102.7</v>
      </c>
      <c r="X211" s="98">
        <f t="shared" si="62"/>
        <v>0.4</v>
      </c>
      <c r="AB211" s="42" t="s">
        <v>187</v>
      </c>
      <c r="BG211"/>
      <c r="BH211"/>
      <c r="BI211"/>
      <c r="BJ211"/>
      <c r="BK211"/>
      <c r="BL211"/>
      <c r="BM211"/>
      <c r="BN211"/>
      <c r="BO211"/>
      <c r="BP211"/>
      <c r="BQ211"/>
      <c r="BR211"/>
      <c r="BS211"/>
    </row>
    <row r="212" spans="1:71" ht="16.5" x14ac:dyDescent="0.3">
      <c r="A212" s="38" t="s">
        <v>281</v>
      </c>
      <c r="B212" s="36">
        <v>210</v>
      </c>
      <c r="C212" s="71" t="str">
        <f t="shared" ca="1" si="59"/>
        <v>10년~5년 사이</v>
      </c>
      <c r="D212" s="79">
        <v>43090</v>
      </c>
      <c r="E212" s="72" t="str">
        <f t="shared" si="60"/>
        <v/>
      </c>
      <c r="F212" s="8" t="s">
        <v>1</v>
      </c>
      <c r="G212" s="59" t="s">
        <v>17</v>
      </c>
      <c r="H212" s="66" t="s">
        <v>139</v>
      </c>
      <c r="I212" s="41" t="s">
        <v>512</v>
      </c>
      <c r="J212" s="81" t="s">
        <v>4</v>
      </c>
      <c r="K212" s="75" t="s">
        <v>187</v>
      </c>
      <c r="L212" s="76">
        <v>1</v>
      </c>
      <c r="M212" s="101">
        <v>20.2</v>
      </c>
      <c r="N212" s="101">
        <v>20.2</v>
      </c>
      <c r="O212" s="47" t="str">
        <f t="shared" si="63"/>
        <v/>
      </c>
      <c r="P212" s="47" t="str">
        <f t="shared" si="64"/>
        <v/>
      </c>
      <c r="Q212" s="47" t="str">
        <f t="shared" si="65"/>
        <v/>
      </c>
      <c r="R212" s="47" t="str">
        <f t="shared" si="66"/>
        <v/>
      </c>
      <c r="S212" s="47" t="str">
        <f t="shared" si="69"/>
        <v/>
      </c>
      <c r="T212" s="47" t="str">
        <f t="shared" si="70"/>
        <v/>
      </c>
      <c r="U212" s="47" t="str">
        <f t="shared" si="67"/>
        <v/>
      </c>
      <c r="V212" s="47" t="str">
        <f t="shared" si="68"/>
        <v/>
      </c>
      <c r="W212" s="98">
        <f t="shared" si="61"/>
        <v>20.2</v>
      </c>
      <c r="X212" s="98">
        <f t="shared" si="62"/>
        <v>1</v>
      </c>
      <c r="AB212" s="42" t="s">
        <v>187</v>
      </c>
      <c r="BG212"/>
      <c r="BH212"/>
      <c r="BI212"/>
      <c r="BJ212"/>
      <c r="BK212"/>
      <c r="BL212"/>
      <c r="BM212"/>
      <c r="BN212"/>
      <c r="BO212"/>
      <c r="BP212"/>
      <c r="BQ212"/>
      <c r="BR212"/>
      <c r="BS212"/>
    </row>
    <row r="213" spans="1:71" ht="16.5" x14ac:dyDescent="0.3">
      <c r="A213" s="38" t="s">
        <v>281</v>
      </c>
      <c r="B213" s="36">
        <v>211</v>
      </c>
      <c r="C213" s="71" t="str">
        <f t="shared" ca="1" si="59"/>
        <v>10년~5년 사이</v>
      </c>
      <c r="D213" s="79">
        <v>43090</v>
      </c>
      <c r="E213" s="72">
        <f t="shared" si="60"/>
        <v>2</v>
      </c>
      <c r="F213" s="8" t="s">
        <v>1</v>
      </c>
      <c r="G213" s="59" t="s">
        <v>85</v>
      </c>
      <c r="H213" s="59" t="s">
        <v>544</v>
      </c>
      <c r="I213" s="65" t="s">
        <v>721</v>
      </c>
      <c r="J213" s="81" t="s">
        <v>4</v>
      </c>
      <c r="K213" s="75" t="s">
        <v>187</v>
      </c>
      <c r="L213" s="76">
        <v>0.51990000000000003</v>
      </c>
      <c r="M213" s="58">
        <v>532</v>
      </c>
      <c r="N213" s="58">
        <v>276.60000000000002</v>
      </c>
      <c r="O213" s="47">
        <f t="shared" si="63"/>
        <v>0.51990000000000003</v>
      </c>
      <c r="P213" s="47">
        <f t="shared" si="64"/>
        <v>0.51990000000000003</v>
      </c>
      <c r="Q213" s="47">
        <f t="shared" si="65"/>
        <v>532</v>
      </c>
      <c r="R213" s="47">
        <f t="shared" si="66"/>
        <v>532</v>
      </c>
      <c r="S213" s="47">
        <f t="shared" si="69"/>
        <v>0.51990000000000003</v>
      </c>
      <c r="T213" s="47">
        <f t="shared" si="70"/>
        <v>0.51990000000000003</v>
      </c>
      <c r="U213" s="47">
        <f t="shared" si="67"/>
        <v>276.60000000000002</v>
      </c>
      <c r="V213" s="47">
        <f t="shared" si="68"/>
        <v>276.60000000000002</v>
      </c>
      <c r="W213" s="98">
        <f t="shared" si="61"/>
        <v>276.60000000000002</v>
      </c>
      <c r="X213" s="98">
        <f t="shared" si="62"/>
        <v>0.51990000000000003</v>
      </c>
      <c r="AB213" s="42" t="s">
        <v>187</v>
      </c>
      <c r="AE213" s="42" t="s">
        <v>24</v>
      </c>
      <c r="BG213"/>
      <c r="BH213"/>
      <c r="BI213"/>
      <c r="BJ213"/>
      <c r="BK213"/>
      <c r="BL213"/>
      <c r="BM213"/>
      <c r="BN213"/>
      <c r="BO213"/>
      <c r="BP213"/>
      <c r="BQ213"/>
      <c r="BR213"/>
      <c r="BS213"/>
    </row>
    <row r="214" spans="1:71" ht="16.5" x14ac:dyDescent="0.3">
      <c r="A214" s="38" t="s">
        <v>281</v>
      </c>
      <c r="B214" s="36">
        <v>212</v>
      </c>
      <c r="C214" s="71" t="str">
        <f t="shared" ca="1" si="59"/>
        <v>10년~5년 사이</v>
      </c>
      <c r="D214" s="79">
        <v>43091</v>
      </c>
      <c r="E214" s="72" t="str">
        <f t="shared" si="60"/>
        <v/>
      </c>
      <c r="F214" s="8" t="s">
        <v>1</v>
      </c>
      <c r="G214" s="59" t="s">
        <v>309</v>
      </c>
      <c r="H214" s="59" t="s">
        <v>363</v>
      </c>
      <c r="I214" s="41" t="s">
        <v>557</v>
      </c>
      <c r="J214" s="81" t="s">
        <v>4</v>
      </c>
      <c r="K214" s="75" t="s">
        <v>187</v>
      </c>
      <c r="L214" s="76">
        <v>1</v>
      </c>
      <c r="M214" s="101">
        <v>61.8</v>
      </c>
      <c r="N214" s="101">
        <v>61.8</v>
      </c>
      <c r="O214" s="47" t="str">
        <f t="shared" si="63"/>
        <v/>
      </c>
      <c r="P214" s="47" t="str">
        <f t="shared" si="64"/>
        <v/>
      </c>
      <c r="Q214" s="47" t="str">
        <f t="shared" si="65"/>
        <v/>
      </c>
      <c r="R214" s="47" t="str">
        <f t="shared" si="66"/>
        <v/>
      </c>
      <c r="S214" s="47" t="str">
        <f t="shared" si="69"/>
        <v/>
      </c>
      <c r="T214" s="47" t="str">
        <f t="shared" si="70"/>
        <v/>
      </c>
      <c r="U214" s="47" t="str">
        <f t="shared" si="67"/>
        <v/>
      </c>
      <c r="V214" s="47" t="str">
        <f t="shared" si="68"/>
        <v/>
      </c>
      <c r="W214" s="98">
        <f t="shared" si="61"/>
        <v>61.8</v>
      </c>
      <c r="X214" s="98">
        <f t="shared" si="62"/>
        <v>1</v>
      </c>
      <c r="AB214" s="42" t="s">
        <v>187</v>
      </c>
      <c r="BG214"/>
      <c r="BH214"/>
      <c r="BI214"/>
      <c r="BJ214"/>
      <c r="BK214"/>
      <c r="BL214"/>
      <c r="BM214"/>
      <c r="BN214"/>
      <c r="BO214"/>
      <c r="BP214"/>
      <c r="BQ214"/>
      <c r="BR214"/>
      <c r="BS214"/>
    </row>
    <row r="215" spans="1:71" ht="16.5" x14ac:dyDescent="0.3">
      <c r="A215" s="38" t="s">
        <v>281</v>
      </c>
      <c r="B215" s="36">
        <v>213</v>
      </c>
      <c r="C215" s="71" t="str">
        <f t="shared" ca="1" si="59"/>
        <v>10년~5년 사이</v>
      </c>
      <c r="D215" s="79">
        <v>43091</v>
      </c>
      <c r="E215" s="72">
        <f t="shared" si="60"/>
        <v>2</v>
      </c>
      <c r="F215" s="8" t="s">
        <v>1</v>
      </c>
      <c r="G215" s="59" t="s">
        <v>253</v>
      </c>
      <c r="H215" s="59" t="s">
        <v>722</v>
      </c>
      <c r="I215" s="65" t="s">
        <v>721</v>
      </c>
      <c r="J215" s="81" t="s">
        <v>4</v>
      </c>
      <c r="K215" s="75" t="s">
        <v>187</v>
      </c>
      <c r="L215" s="76">
        <v>0.51990000000000003</v>
      </c>
      <c r="M215" s="58">
        <v>532</v>
      </c>
      <c r="N215" s="58">
        <v>276.60000000000002</v>
      </c>
      <c r="O215" s="47">
        <f t="shared" si="63"/>
        <v>0.51990000000000003</v>
      </c>
      <c r="P215" s="47">
        <f t="shared" si="64"/>
        <v>0.51990000000000003</v>
      </c>
      <c r="Q215" s="47">
        <f t="shared" si="65"/>
        <v>532</v>
      </c>
      <c r="R215" s="47">
        <f t="shared" si="66"/>
        <v>532</v>
      </c>
      <c r="S215" s="47">
        <f t="shared" si="69"/>
        <v>0.51990000000000003</v>
      </c>
      <c r="T215" s="47">
        <f t="shared" si="70"/>
        <v>0.51990000000000003</v>
      </c>
      <c r="U215" s="47">
        <f t="shared" si="67"/>
        <v>276.60000000000002</v>
      </c>
      <c r="V215" s="47">
        <f t="shared" si="68"/>
        <v>276.60000000000002</v>
      </c>
      <c r="W215" s="98">
        <f t="shared" si="61"/>
        <v>276.60000000000002</v>
      </c>
      <c r="X215" s="98">
        <f t="shared" si="62"/>
        <v>0.51990000000000003</v>
      </c>
      <c r="AB215" s="42" t="s">
        <v>187</v>
      </c>
      <c r="AE215" s="42" t="s">
        <v>24</v>
      </c>
      <c r="BG215"/>
      <c r="BH215"/>
      <c r="BI215"/>
      <c r="BJ215"/>
      <c r="BK215"/>
      <c r="BL215"/>
      <c r="BM215"/>
      <c r="BN215"/>
      <c r="BO215"/>
      <c r="BP215"/>
      <c r="BQ215"/>
      <c r="BR215"/>
      <c r="BS215"/>
    </row>
    <row r="216" spans="1:71" ht="16.5" x14ac:dyDescent="0.3">
      <c r="A216" s="38" t="s">
        <v>281</v>
      </c>
      <c r="B216" s="36">
        <v>214</v>
      </c>
      <c r="C216" s="71" t="str">
        <f t="shared" ca="1" si="59"/>
        <v>10년~5년 사이</v>
      </c>
      <c r="D216" s="79">
        <v>43091</v>
      </c>
      <c r="E216" s="72">
        <f t="shared" si="60"/>
        <v>2</v>
      </c>
      <c r="F216" s="8" t="s">
        <v>1</v>
      </c>
      <c r="G216" s="59" t="s">
        <v>68</v>
      </c>
      <c r="H216" s="59" t="s">
        <v>77</v>
      </c>
      <c r="I216" s="80" t="s">
        <v>726</v>
      </c>
      <c r="J216" s="81" t="s">
        <v>4</v>
      </c>
      <c r="K216" s="75" t="s">
        <v>187</v>
      </c>
      <c r="L216" s="76">
        <v>0.4</v>
      </c>
      <c r="M216" s="58">
        <v>1006.3</v>
      </c>
      <c r="N216" s="58">
        <v>402.5</v>
      </c>
      <c r="O216" s="47">
        <f t="shared" si="63"/>
        <v>0.4</v>
      </c>
      <c r="P216" s="47">
        <f t="shared" si="64"/>
        <v>0.4</v>
      </c>
      <c r="Q216" s="47">
        <f t="shared" si="65"/>
        <v>1006.3</v>
      </c>
      <c r="R216" s="47">
        <f t="shared" si="66"/>
        <v>1006.3</v>
      </c>
      <c r="S216" s="47">
        <f t="shared" si="69"/>
        <v>0.4</v>
      </c>
      <c r="T216" s="47">
        <f t="shared" si="70"/>
        <v>0.4</v>
      </c>
      <c r="U216" s="47">
        <f t="shared" si="67"/>
        <v>402.5</v>
      </c>
      <c r="V216" s="47">
        <f t="shared" si="68"/>
        <v>402.5</v>
      </c>
      <c r="W216" s="98">
        <f t="shared" si="61"/>
        <v>402.5</v>
      </c>
      <c r="X216" s="98">
        <f t="shared" si="62"/>
        <v>0.4</v>
      </c>
      <c r="AB216" s="42" t="s">
        <v>187</v>
      </c>
      <c r="BG216"/>
      <c r="BH216"/>
      <c r="BI216"/>
      <c r="BJ216"/>
      <c r="BK216"/>
      <c r="BL216"/>
      <c r="BM216"/>
      <c r="BN216"/>
      <c r="BO216"/>
      <c r="BP216"/>
      <c r="BQ216"/>
      <c r="BR216"/>
      <c r="BS216"/>
    </row>
    <row r="217" spans="1:71" ht="16.5" x14ac:dyDescent="0.3">
      <c r="A217" s="38" t="s">
        <v>281</v>
      </c>
      <c r="B217" s="36">
        <v>215</v>
      </c>
      <c r="C217" s="71" t="str">
        <f t="shared" ca="1" si="59"/>
        <v>10년~5년 사이</v>
      </c>
      <c r="D217" s="79">
        <v>43091</v>
      </c>
      <c r="E217" s="72">
        <f t="shared" si="60"/>
        <v>1</v>
      </c>
      <c r="F217" s="8" t="s">
        <v>1</v>
      </c>
      <c r="G217" s="59" t="s">
        <v>737</v>
      </c>
      <c r="H217" s="59" t="s">
        <v>576</v>
      </c>
      <c r="I217" s="80" t="s">
        <v>738</v>
      </c>
      <c r="J217" s="81" t="s">
        <v>4</v>
      </c>
      <c r="K217" s="75" t="s">
        <v>187</v>
      </c>
      <c r="L217" s="76">
        <v>0.45</v>
      </c>
      <c r="M217" s="58">
        <v>242.9</v>
      </c>
      <c r="N217" s="58">
        <v>109.3</v>
      </c>
      <c r="O217" s="47">
        <f t="shared" si="63"/>
        <v>0.45</v>
      </c>
      <c r="P217" s="47">
        <f t="shared" si="64"/>
        <v>0.45</v>
      </c>
      <c r="Q217" s="47">
        <f t="shared" si="65"/>
        <v>242.9</v>
      </c>
      <c r="R217" s="47">
        <f t="shared" si="66"/>
        <v>242.9</v>
      </c>
      <c r="S217" s="47">
        <f t="shared" si="69"/>
        <v>0.45</v>
      </c>
      <c r="T217" s="47" t="str">
        <f t="shared" si="70"/>
        <v/>
      </c>
      <c r="U217" s="47">
        <f t="shared" si="67"/>
        <v>109.3</v>
      </c>
      <c r="V217" s="47" t="str">
        <f t="shared" si="68"/>
        <v/>
      </c>
      <c r="W217" s="98">
        <f t="shared" si="61"/>
        <v>109.3</v>
      </c>
      <c r="X217" s="98">
        <f t="shared" si="62"/>
        <v>0.45</v>
      </c>
      <c r="AB217" s="42" t="s">
        <v>187</v>
      </c>
      <c r="BG217"/>
      <c r="BH217"/>
      <c r="BI217"/>
      <c r="BJ217"/>
      <c r="BK217"/>
      <c r="BL217"/>
      <c r="BM217"/>
      <c r="BN217"/>
      <c r="BO217"/>
      <c r="BP217"/>
      <c r="BQ217"/>
      <c r="BR217"/>
      <c r="BS217"/>
    </row>
    <row r="218" spans="1:71" ht="16.5" x14ac:dyDescent="0.3">
      <c r="A218" s="38" t="s">
        <v>281</v>
      </c>
      <c r="B218" s="36">
        <v>216</v>
      </c>
      <c r="C218" s="71" t="str">
        <f t="shared" ca="1" si="59"/>
        <v>10년~5년 사이</v>
      </c>
      <c r="D218" s="79">
        <v>43091</v>
      </c>
      <c r="E218" s="72">
        <f t="shared" si="60"/>
        <v>1</v>
      </c>
      <c r="F218" s="8" t="s">
        <v>1</v>
      </c>
      <c r="G218" s="59" t="s">
        <v>10</v>
      </c>
      <c r="H218" s="67" t="s">
        <v>48</v>
      </c>
      <c r="I218" s="80" t="s">
        <v>763</v>
      </c>
      <c r="J218" s="81" t="s">
        <v>4</v>
      </c>
      <c r="K218" s="75" t="s">
        <v>187</v>
      </c>
      <c r="L218" s="76">
        <v>0.55000000000000004</v>
      </c>
      <c r="M218" s="58">
        <v>260.7</v>
      </c>
      <c r="N218" s="58">
        <v>143.30000000000001</v>
      </c>
      <c r="O218" s="47">
        <f t="shared" si="63"/>
        <v>0.55000000000000004</v>
      </c>
      <c r="P218" s="47">
        <f t="shared" si="64"/>
        <v>0.55000000000000004</v>
      </c>
      <c r="Q218" s="47">
        <f t="shared" si="65"/>
        <v>260.7</v>
      </c>
      <c r="R218" s="47">
        <f t="shared" si="66"/>
        <v>260.7</v>
      </c>
      <c r="S218" s="47">
        <f t="shared" si="69"/>
        <v>0.55000000000000004</v>
      </c>
      <c r="T218" s="47" t="str">
        <f t="shared" si="70"/>
        <v/>
      </c>
      <c r="U218" s="47">
        <f t="shared" si="67"/>
        <v>143.30000000000001</v>
      </c>
      <c r="V218" s="47" t="str">
        <f t="shared" si="68"/>
        <v/>
      </c>
      <c r="W218" s="98">
        <f t="shared" si="61"/>
        <v>143.30000000000001</v>
      </c>
      <c r="X218" s="98">
        <f t="shared" si="62"/>
        <v>0.55000000000000004</v>
      </c>
      <c r="AB218" s="42" t="s">
        <v>187</v>
      </c>
      <c r="AE218" s="42" t="s">
        <v>24</v>
      </c>
      <c r="BG218"/>
      <c r="BH218"/>
      <c r="BI218"/>
      <c r="BJ218"/>
      <c r="BK218"/>
      <c r="BL218"/>
      <c r="BM218"/>
      <c r="BN218"/>
      <c r="BO218"/>
      <c r="BP218"/>
      <c r="BQ218"/>
      <c r="BR218"/>
      <c r="BS218"/>
    </row>
    <row r="219" spans="1:71" ht="16.5" x14ac:dyDescent="0.3">
      <c r="A219" s="38" t="s">
        <v>281</v>
      </c>
      <c r="B219" s="36">
        <v>217</v>
      </c>
      <c r="C219" s="71" t="str">
        <f t="shared" ca="1" si="59"/>
        <v>10년~5년 사이</v>
      </c>
      <c r="D219" s="79">
        <v>43092</v>
      </c>
      <c r="E219" s="72">
        <f t="shared" si="60"/>
        <v>2</v>
      </c>
      <c r="F219" s="8" t="s">
        <v>1</v>
      </c>
      <c r="G219" s="59" t="s">
        <v>253</v>
      </c>
      <c r="H219" s="59" t="s">
        <v>507</v>
      </c>
      <c r="I219" s="65" t="s">
        <v>721</v>
      </c>
      <c r="J219" s="81" t="s">
        <v>4</v>
      </c>
      <c r="K219" s="75" t="s">
        <v>187</v>
      </c>
      <c r="L219" s="76">
        <v>0.51990000000000003</v>
      </c>
      <c r="M219" s="58">
        <v>532</v>
      </c>
      <c r="N219" s="58">
        <v>276.60000000000002</v>
      </c>
      <c r="O219" s="47">
        <f t="shared" si="63"/>
        <v>0.51990000000000003</v>
      </c>
      <c r="P219" s="47">
        <f t="shared" si="64"/>
        <v>0.51990000000000003</v>
      </c>
      <c r="Q219" s="47">
        <f t="shared" si="65"/>
        <v>532</v>
      </c>
      <c r="R219" s="47">
        <f t="shared" si="66"/>
        <v>532</v>
      </c>
      <c r="S219" s="47">
        <f t="shared" si="69"/>
        <v>0.51990000000000003</v>
      </c>
      <c r="T219" s="47">
        <f t="shared" si="70"/>
        <v>0.51990000000000003</v>
      </c>
      <c r="U219" s="47">
        <f t="shared" si="67"/>
        <v>276.60000000000002</v>
      </c>
      <c r="V219" s="47">
        <f t="shared" si="68"/>
        <v>276.60000000000002</v>
      </c>
      <c r="W219" s="98">
        <f t="shared" si="61"/>
        <v>276.60000000000002</v>
      </c>
      <c r="X219" s="98">
        <f t="shared" si="62"/>
        <v>0.51990000000000003</v>
      </c>
      <c r="AB219" s="42" t="s">
        <v>187</v>
      </c>
      <c r="AE219" s="42" t="s">
        <v>24</v>
      </c>
      <c r="BG219"/>
      <c r="BH219"/>
      <c r="BI219"/>
      <c r="BJ219"/>
      <c r="BK219"/>
      <c r="BL219"/>
      <c r="BM219"/>
      <c r="BN219"/>
      <c r="BO219"/>
      <c r="BP219"/>
      <c r="BQ219"/>
      <c r="BR219"/>
      <c r="BS219"/>
    </row>
    <row r="220" spans="1:71" ht="16.5" x14ac:dyDescent="0.3">
      <c r="A220" s="38" t="s">
        <v>281</v>
      </c>
      <c r="B220" s="36">
        <v>218</v>
      </c>
      <c r="C220" s="71" t="str">
        <f t="shared" ca="1" si="59"/>
        <v>10년~5년 사이</v>
      </c>
      <c r="D220" s="79">
        <v>43095</v>
      </c>
      <c r="E220" s="72">
        <f t="shared" si="60"/>
        <v>2</v>
      </c>
      <c r="F220" s="8" t="s">
        <v>1</v>
      </c>
      <c r="G220" s="59" t="s">
        <v>17</v>
      </c>
      <c r="H220" s="63" t="s">
        <v>137</v>
      </c>
      <c r="I220" s="80" t="s">
        <v>724</v>
      </c>
      <c r="J220" s="81" t="s">
        <v>4</v>
      </c>
      <c r="K220" s="75" t="s">
        <v>187</v>
      </c>
      <c r="L220" s="76">
        <v>0.3</v>
      </c>
      <c r="M220" s="58">
        <v>848.1</v>
      </c>
      <c r="N220" s="58">
        <v>254.4</v>
      </c>
      <c r="O220" s="47">
        <f t="shared" si="63"/>
        <v>0.3</v>
      </c>
      <c r="P220" s="47">
        <f t="shared" si="64"/>
        <v>0.3</v>
      </c>
      <c r="Q220" s="47">
        <f t="shared" si="65"/>
        <v>848.1</v>
      </c>
      <c r="R220" s="47">
        <f t="shared" si="66"/>
        <v>848.1</v>
      </c>
      <c r="S220" s="47">
        <f t="shared" si="69"/>
        <v>0.3</v>
      </c>
      <c r="T220" s="47">
        <f t="shared" si="70"/>
        <v>0.3</v>
      </c>
      <c r="U220" s="47">
        <f t="shared" si="67"/>
        <v>254.4</v>
      </c>
      <c r="V220" s="47">
        <f t="shared" si="68"/>
        <v>254.4</v>
      </c>
      <c r="W220" s="98">
        <f t="shared" si="61"/>
        <v>254.4</v>
      </c>
      <c r="X220" s="98">
        <f t="shared" si="62"/>
        <v>0.3</v>
      </c>
      <c r="AB220" s="42" t="s">
        <v>187</v>
      </c>
      <c r="AE220" s="42" t="s">
        <v>24</v>
      </c>
      <c r="BG220"/>
      <c r="BH220"/>
      <c r="BI220"/>
      <c r="BJ220"/>
      <c r="BK220"/>
      <c r="BL220"/>
      <c r="BM220"/>
      <c r="BN220"/>
      <c r="BO220"/>
      <c r="BP220"/>
      <c r="BQ220"/>
      <c r="BR220"/>
      <c r="BS220"/>
    </row>
    <row r="221" spans="1:71" ht="16.5" x14ac:dyDescent="0.3">
      <c r="A221" s="38" t="s">
        <v>281</v>
      </c>
      <c r="B221" s="36">
        <v>219</v>
      </c>
      <c r="C221" s="71" t="str">
        <f t="shared" ca="1" si="59"/>
        <v>10년~5년 사이</v>
      </c>
      <c r="D221" s="79">
        <v>43096</v>
      </c>
      <c r="E221" s="72">
        <f t="shared" si="60"/>
        <v>2</v>
      </c>
      <c r="F221" s="8" t="s">
        <v>1</v>
      </c>
      <c r="G221" s="59" t="s">
        <v>68</v>
      </c>
      <c r="H221" s="59" t="s">
        <v>756</v>
      </c>
      <c r="I221" s="80" t="s">
        <v>757</v>
      </c>
      <c r="J221" s="81" t="s">
        <v>4</v>
      </c>
      <c r="K221" s="75" t="s">
        <v>187</v>
      </c>
      <c r="L221" s="76">
        <v>0.39</v>
      </c>
      <c r="M221" s="58">
        <v>582.20000000000005</v>
      </c>
      <c r="N221" s="58">
        <v>227</v>
      </c>
      <c r="O221" s="47">
        <f t="shared" si="63"/>
        <v>0.39</v>
      </c>
      <c r="P221" s="47">
        <f t="shared" si="64"/>
        <v>0.39</v>
      </c>
      <c r="Q221" s="47">
        <f t="shared" si="65"/>
        <v>582.20000000000005</v>
      </c>
      <c r="R221" s="47">
        <f t="shared" si="66"/>
        <v>582.20000000000005</v>
      </c>
      <c r="S221" s="47">
        <f t="shared" si="69"/>
        <v>0.39</v>
      </c>
      <c r="T221" s="47">
        <f t="shared" si="70"/>
        <v>0.39</v>
      </c>
      <c r="U221" s="47">
        <f t="shared" si="67"/>
        <v>227</v>
      </c>
      <c r="V221" s="47">
        <f t="shared" si="68"/>
        <v>227</v>
      </c>
      <c r="W221" s="98">
        <f t="shared" si="61"/>
        <v>227</v>
      </c>
      <c r="X221" s="98">
        <f t="shared" si="62"/>
        <v>0.39</v>
      </c>
      <c r="AB221" s="42" t="s">
        <v>187</v>
      </c>
      <c r="BG221"/>
      <c r="BH221"/>
      <c r="BI221"/>
      <c r="BJ221"/>
      <c r="BK221"/>
      <c r="BL221"/>
      <c r="BM221"/>
      <c r="BN221"/>
      <c r="BO221"/>
      <c r="BP221"/>
      <c r="BQ221"/>
      <c r="BR221"/>
      <c r="BS221"/>
    </row>
    <row r="222" spans="1:71" ht="16.5" x14ac:dyDescent="0.3">
      <c r="A222" s="38" t="s">
        <v>281</v>
      </c>
      <c r="B222" s="36">
        <v>220</v>
      </c>
      <c r="C222" s="71" t="str">
        <f t="shared" ca="1" si="59"/>
        <v>10년~5년 사이</v>
      </c>
      <c r="D222" s="79">
        <v>43096</v>
      </c>
      <c r="E222" s="72">
        <f t="shared" si="60"/>
        <v>2</v>
      </c>
      <c r="F222" s="8" t="s">
        <v>1</v>
      </c>
      <c r="G222" s="59" t="s">
        <v>68</v>
      </c>
      <c r="H222" s="59" t="s">
        <v>468</v>
      </c>
      <c r="I222" s="80" t="s">
        <v>759</v>
      </c>
      <c r="J222" s="81" t="s">
        <v>4</v>
      </c>
      <c r="K222" s="75" t="s">
        <v>187</v>
      </c>
      <c r="L222" s="76">
        <v>0.6</v>
      </c>
      <c r="M222" s="58">
        <v>349</v>
      </c>
      <c r="N222" s="58">
        <v>209.4</v>
      </c>
      <c r="O222" s="47">
        <f t="shared" si="63"/>
        <v>0.6</v>
      </c>
      <c r="P222" s="47">
        <f t="shared" si="64"/>
        <v>0.6</v>
      </c>
      <c r="Q222" s="47">
        <f t="shared" si="65"/>
        <v>349</v>
      </c>
      <c r="R222" s="47">
        <f t="shared" si="66"/>
        <v>349</v>
      </c>
      <c r="S222" s="47">
        <f t="shared" si="69"/>
        <v>0.6</v>
      </c>
      <c r="T222" s="47">
        <f t="shared" si="70"/>
        <v>0.6</v>
      </c>
      <c r="U222" s="47">
        <f t="shared" si="67"/>
        <v>209.4</v>
      </c>
      <c r="V222" s="47">
        <f t="shared" si="68"/>
        <v>209.4</v>
      </c>
      <c r="W222" s="98">
        <f t="shared" si="61"/>
        <v>209.4</v>
      </c>
      <c r="X222" s="98">
        <f t="shared" si="62"/>
        <v>0.6</v>
      </c>
      <c r="AB222" s="42" t="s">
        <v>187</v>
      </c>
      <c r="BG222"/>
      <c r="BH222"/>
      <c r="BI222"/>
      <c r="BJ222"/>
      <c r="BK222"/>
      <c r="BL222"/>
      <c r="BM222"/>
      <c r="BN222"/>
      <c r="BO222"/>
      <c r="BP222"/>
      <c r="BQ222"/>
      <c r="BR222"/>
      <c r="BS222"/>
    </row>
    <row r="223" spans="1:71" ht="16.5" x14ac:dyDescent="0.3">
      <c r="A223" s="38" t="s">
        <v>281</v>
      </c>
      <c r="B223" s="36">
        <v>221</v>
      </c>
      <c r="C223" s="71" t="str">
        <f t="shared" ca="1" si="59"/>
        <v>10년~5년 사이</v>
      </c>
      <c r="D223" s="79">
        <v>43097</v>
      </c>
      <c r="E223" s="72">
        <f t="shared" si="60"/>
        <v>2</v>
      </c>
      <c r="F223" s="8" t="s">
        <v>1</v>
      </c>
      <c r="G223" s="59" t="s">
        <v>483</v>
      </c>
      <c r="H223" s="59" t="s">
        <v>484</v>
      </c>
      <c r="I223" s="80" t="s">
        <v>754</v>
      </c>
      <c r="J223" s="81" t="s">
        <v>4</v>
      </c>
      <c r="K223" s="75" t="s">
        <v>187</v>
      </c>
      <c r="L223" s="76">
        <v>0.55000000000000004</v>
      </c>
      <c r="M223" s="58">
        <v>485.9</v>
      </c>
      <c r="N223" s="58">
        <v>267.2</v>
      </c>
      <c r="O223" s="47">
        <f t="shared" si="63"/>
        <v>0.55000000000000004</v>
      </c>
      <c r="P223" s="47">
        <f t="shared" si="64"/>
        <v>0.55000000000000004</v>
      </c>
      <c r="Q223" s="47">
        <f t="shared" si="65"/>
        <v>485.9</v>
      </c>
      <c r="R223" s="47">
        <f t="shared" si="66"/>
        <v>485.9</v>
      </c>
      <c r="S223" s="47">
        <f t="shared" si="69"/>
        <v>0.55000000000000004</v>
      </c>
      <c r="T223" s="47">
        <f t="shared" si="70"/>
        <v>0.55000000000000004</v>
      </c>
      <c r="U223" s="47">
        <f t="shared" si="67"/>
        <v>267.2</v>
      </c>
      <c r="V223" s="47">
        <f t="shared" si="68"/>
        <v>267.2</v>
      </c>
      <c r="W223" s="98">
        <f t="shared" ref="W223:W250" si="71">N223</f>
        <v>267.2</v>
      </c>
      <c r="X223" s="98">
        <f t="shared" ref="X223:X250" si="72">IF(W223&gt;0,L223,"")</f>
        <v>0.55000000000000004</v>
      </c>
      <c r="AB223" s="42" t="s">
        <v>187</v>
      </c>
      <c r="BG223"/>
      <c r="BH223"/>
      <c r="BI223"/>
      <c r="BJ223"/>
      <c r="BK223"/>
      <c r="BL223"/>
      <c r="BM223"/>
      <c r="BN223"/>
      <c r="BO223"/>
      <c r="BP223"/>
      <c r="BQ223"/>
      <c r="BR223"/>
      <c r="BS223"/>
    </row>
    <row r="224" spans="1:71" ht="16.5" x14ac:dyDescent="0.3">
      <c r="A224" s="38" t="s">
        <v>281</v>
      </c>
      <c r="B224" s="36">
        <v>222</v>
      </c>
      <c r="C224" s="71" t="str">
        <f t="shared" ca="1" si="59"/>
        <v>10년~5년 사이</v>
      </c>
      <c r="D224" s="79">
        <v>43098</v>
      </c>
      <c r="E224" s="72">
        <f t="shared" si="60"/>
        <v>2</v>
      </c>
      <c r="F224" s="8" t="s">
        <v>1</v>
      </c>
      <c r="G224" s="59" t="s">
        <v>309</v>
      </c>
      <c r="H224" s="59" t="s">
        <v>363</v>
      </c>
      <c r="I224" s="80" t="s">
        <v>828</v>
      </c>
      <c r="J224" s="81" t="s">
        <v>4</v>
      </c>
      <c r="K224" s="75" t="s">
        <v>187</v>
      </c>
      <c r="L224" s="76">
        <v>0.4</v>
      </c>
      <c r="M224" s="58">
        <v>630.1</v>
      </c>
      <c r="N224" s="58">
        <v>252</v>
      </c>
      <c r="O224" s="47">
        <f t="shared" si="63"/>
        <v>0.4</v>
      </c>
      <c r="P224" s="47">
        <f t="shared" si="64"/>
        <v>0.4</v>
      </c>
      <c r="Q224" s="47">
        <f t="shared" si="65"/>
        <v>630.1</v>
      </c>
      <c r="R224" s="47">
        <f t="shared" si="66"/>
        <v>630.1</v>
      </c>
      <c r="S224" s="47">
        <f t="shared" si="69"/>
        <v>0.4</v>
      </c>
      <c r="T224" s="47">
        <f t="shared" si="70"/>
        <v>0.4</v>
      </c>
      <c r="U224" s="47">
        <f t="shared" si="67"/>
        <v>252</v>
      </c>
      <c r="V224" s="47">
        <f t="shared" si="68"/>
        <v>252</v>
      </c>
      <c r="W224" s="98">
        <f t="shared" si="71"/>
        <v>252</v>
      </c>
      <c r="X224" s="98">
        <f t="shared" si="72"/>
        <v>0.4</v>
      </c>
      <c r="AB224" s="42" t="s">
        <v>187</v>
      </c>
      <c r="BG224"/>
      <c r="BH224"/>
      <c r="BI224"/>
      <c r="BJ224"/>
      <c r="BK224"/>
      <c r="BL224"/>
      <c r="BM224"/>
      <c r="BN224"/>
      <c r="BO224"/>
      <c r="BP224"/>
      <c r="BQ224"/>
      <c r="BR224"/>
      <c r="BS224"/>
    </row>
    <row r="225" spans="1:71" ht="16.5" x14ac:dyDescent="0.3">
      <c r="A225" s="38" t="s">
        <v>281</v>
      </c>
      <c r="B225" s="36">
        <v>223</v>
      </c>
      <c r="C225" s="71" t="str">
        <f t="shared" ca="1" si="59"/>
        <v>10년~5년 사이</v>
      </c>
      <c r="D225" s="79">
        <v>43103</v>
      </c>
      <c r="E225" s="72">
        <f t="shared" si="60"/>
        <v>1</v>
      </c>
      <c r="F225" s="8" t="s">
        <v>1</v>
      </c>
      <c r="G225" s="59" t="s">
        <v>36</v>
      </c>
      <c r="H225" s="59" t="s">
        <v>227</v>
      </c>
      <c r="I225" s="41" t="s">
        <v>516</v>
      </c>
      <c r="J225" s="81" t="s">
        <v>4</v>
      </c>
      <c r="K225" s="75" t="s">
        <v>187</v>
      </c>
      <c r="L225" s="76">
        <v>1</v>
      </c>
      <c r="M225" s="101">
        <v>154.30000000000001</v>
      </c>
      <c r="N225" s="101">
        <v>154.30000000000001</v>
      </c>
      <c r="O225" s="47">
        <f t="shared" si="63"/>
        <v>1</v>
      </c>
      <c r="P225" s="47" t="str">
        <f t="shared" si="64"/>
        <v/>
      </c>
      <c r="Q225" s="47">
        <f t="shared" si="65"/>
        <v>154.30000000000001</v>
      </c>
      <c r="R225" s="47" t="str">
        <f t="shared" si="66"/>
        <v/>
      </c>
      <c r="S225" s="47">
        <f t="shared" si="69"/>
        <v>1</v>
      </c>
      <c r="T225" s="47" t="str">
        <f t="shared" si="70"/>
        <v/>
      </c>
      <c r="U225" s="47">
        <f t="shared" si="67"/>
        <v>154.30000000000001</v>
      </c>
      <c r="V225" s="47" t="str">
        <f t="shared" si="68"/>
        <v/>
      </c>
      <c r="W225" s="98">
        <f t="shared" si="71"/>
        <v>154.30000000000001</v>
      </c>
      <c r="X225" s="98">
        <f t="shared" si="72"/>
        <v>1</v>
      </c>
      <c r="AB225" s="42" t="s">
        <v>187</v>
      </c>
      <c r="BG225"/>
      <c r="BH225"/>
      <c r="BI225"/>
      <c r="BJ225"/>
      <c r="BK225"/>
      <c r="BL225"/>
      <c r="BM225"/>
      <c r="BN225"/>
      <c r="BO225"/>
      <c r="BP225"/>
      <c r="BQ225"/>
      <c r="BR225"/>
      <c r="BS225"/>
    </row>
    <row r="226" spans="1:71" ht="16.5" x14ac:dyDescent="0.3">
      <c r="A226" s="38" t="s">
        <v>281</v>
      </c>
      <c r="B226" s="36">
        <v>224</v>
      </c>
      <c r="C226" s="71" t="str">
        <f t="shared" ca="1" si="59"/>
        <v>10년~5년 사이</v>
      </c>
      <c r="D226" s="79">
        <v>43117</v>
      </c>
      <c r="E226" s="72" t="str">
        <f t="shared" si="60"/>
        <v/>
      </c>
      <c r="F226" s="8" t="s">
        <v>1</v>
      </c>
      <c r="G226" s="59" t="s">
        <v>17</v>
      </c>
      <c r="H226" s="66" t="s">
        <v>139</v>
      </c>
      <c r="I226" s="80" t="s">
        <v>585</v>
      </c>
      <c r="J226" s="81" t="s">
        <v>4</v>
      </c>
      <c r="K226" s="75" t="s">
        <v>187</v>
      </c>
      <c r="L226" s="76">
        <v>1</v>
      </c>
      <c r="M226" s="58">
        <v>9.3000000000000007</v>
      </c>
      <c r="N226" s="58">
        <v>9.3000000000000007</v>
      </c>
      <c r="O226" s="47" t="str">
        <f t="shared" si="63"/>
        <v/>
      </c>
      <c r="P226" s="47" t="str">
        <f t="shared" si="64"/>
        <v/>
      </c>
      <c r="Q226" s="47" t="str">
        <f t="shared" si="65"/>
        <v/>
      </c>
      <c r="R226" s="47" t="str">
        <f t="shared" si="66"/>
        <v/>
      </c>
      <c r="S226" s="47" t="str">
        <f t="shared" si="69"/>
        <v/>
      </c>
      <c r="T226" s="47" t="str">
        <f t="shared" si="70"/>
        <v/>
      </c>
      <c r="U226" s="47" t="str">
        <f t="shared" si="67"/>
        <v/>
      </c>
      <c r="V226" s="47" t="str">
        <f t="shared" si="68"/>
        <v/>
      </c>
      <c r="W226" s="98">
        <f t="shared" si="71"/>
        <v>9.3000000000000007</v>
      </c>
      <c r="X226" s="98">
        <f t="shared" si="72"/>
        <v>1</v>
      </c>
      <c r="AB226" s="42" t="s">
        <v>187</v>
      </c>
      <c r="BG226"/>
      <c r="BH226"/>
      <c r="BI226"/>
      <c r="BJ226"/>
      <c r="BK226"/>
      <c r="BL226"/>
      <c r="BM226"/>
      <c r="BN226"/>
      <c r="BO226"/>
      <c r="BP226"/>
      <c r="BQ226"/>
      <c r="BR226"/>
      <c r="BS226"/>
    </row>
    <row r="227" spans="1:71" ht="16.5" x14ac:dyDescent="0.3">
      <c r="A227" s="38" t="s">
        <v>281</v>
      </c>
      <c r="B227" s="36">
        <v>225</v>
      </c>
      <c r="C227" s="71" t="str">
        <f t="shared" ca="1" si="59"/>
        <v>10년~5년 사이</v>
      </c>
      <c r="D227" s="79">
        <v>43150</v>
      </c>
      <c r="E227" s="72">
        <f t="shared" si="60"/>
        <v>2</v>
      </c>
      <c r="F227" s="8" t="s">
        <v>1</v>
      </c>
      <c r="G227" s="59" t="s">
        <v>477</v>
      </c>
      <c r="H227" s="59" t="s">
        <v>572</v>
      </c>
      <c r="I227" s="41" t="s">
        <v>573</v>
      </c>
      <c r="J227" s="81" t="s">
        <v>4</v>
      </c>
      <c r="K227" s="75" t="s">
        <v>187</v>
      </c>
      <c r="L227" s="76">
        <v>0.4</v>
      </c>
      <c r="M227" s="58">
        <v>800</v>
      </c>
      <c r="N227" s="58">
        <v>352</v>
      </c>
      <c r="O227" s="47">
        <f t="shared" si="63"/>
        <v>0.4</v>
      </c>
      <c r="P227" s="47">
        <f t="shared" si="64"/>
        <v>0.4</v>
      </c>
      <c r="Q227" s="47">
        <f t="shared" si="65"/>
        <v>800</v>
      </c>
      <c r="R227" s="47">
        <f t="shared" si="66"/>
        <v>800</v>
      </c>
      <c r="S227" s="47">
        <f t="shared" si="69"/>
        <v>0.4</v>
      </c>
      <c r="T227" s="47">
        <f t="shared" si="70"/>
        <v>0.4</v>
      </c>
      <c r="U227" s="47">
        <f t="shared" si="67"/>
        <v>352</v>
      </c>
      <c r="V227" s="47">
        <f t="shared" si="68"/>
        <v>352</v>
      </c>
      <c r="W227" s="98">
        <f t="shared" si="71"/>
        <v>352</v>
      </c>
      <c r="X227" s="98">
        <f t="shared" si="72"/>
        <v>0.4</v>
      </c>
      <c r="AB227" s="42" t="s">
        <v>187</v>
      </c>
      <c r="BG227"/>
      <c r="BH227"/>
      <c r="BI227"/>
      <c r="BJ227"/>
      <c r="BK227"/>
      <c r="BL227"/>
      <c r="BM227"/>
      <c r="BN227"/>
      <c r="BO227"/>
      <c r="BP227"/>
      <c r="BQ227"/>
      <c r="BR227"/>
      <c r="BS227"/>
    </row>
    <row r="228" spans="1:71" ht="16.5" x14ac:dyDescent="0.3">
      <c r="A228" s="38" t="s">
        <v>281</v>
      </c>
      <c r="B228" s="36">
        <v>226</v>
      </c>
      <c r="C228" s="71" t="str">
        <f t="shared" ca="1" si="59"/>
        <v>10년~5년 사이</v>
      </c>
      <c r="D228" s="79">
        <v>43154</v>
      </c>
      <c r="E228" s="72">
        <f t="shared" si="60"/>
        <v>1</v>
      </c>
      <c r="F228" s="8" t="s">
        <v>1</v>
      </c>
      <c r="G228" s="59" t="s">
        <v>10</v>
      </c>
      <c r="H228" s="67" t="s">
        <v>48</v>
      </c>
      <c r="I228" s="80" t="s">
        <v>799</v>
      </c>
      <c r="J228" s="81" t="s">
        <v>4</v>
      </c>
      <c r="K228" s="75" t="s">
        <v>187</v>
      </c>
      <c r="L228" s="76">
        <v>1</v>
      </c>
      <c r="M228" s="58">
        <v>136.5</v>
      </c>
      <c r="N228" s="58">
        <v>136.5</v>
      </c>
      <c r="O228" s="47">
        <f t="shared" si="63"/>
        <v>1</v>
      </c>
      <c r="P228" s="47" t="str">
        <f t="shared" si="64"/>
        <v/>
      </c>
      <c r="Q228" s="47">
        <f t="shared" si="65"/>
        <v>136.5</v>
      </c>
      <c r="R228" s="47" t="str">
        <f t="shared" si="66"/>
        <v/>
      </c>
      <c r="S228" s="47">
        <f t="shared" si="69"/>
        <v>1</v>
      </c>
      <c r="T228" s="47" t="str">
        <f t="shared" si="70"/>
        <v/>
      </c>
      <c r="U228" s="47">
        <f t="shared" si="67"/>
        <v>136.5</v>
      </c>
      <c r="V228" s="47" t="str">
        <f t="shared" si="68"/>
        <v/>
      </c>
      <c r="W228" s="98">
        <f t="shared" si="71"/>
        <v>136.5</v>
      </c>
      <c r="X228" s="98">
        <f t="shared" si="72"/>
        <v>1</v>
      </c>
      <c r="AB228" s="42" t="s">
        <v>187</v>
      </c>
      <c r="BG228"/>
      <c r="BH228"/>
      <c r="BI228"/>
      <c r="BJ228"/>
      <c r="BK228"/>
      <c r="BL228"/>
      <c r="BM228"/>
      <c r="BN228"/>
      <c r="BO228"/>
      <c r="BP228"/>
      <c r="BQ228"/>
      <c r="BR228"/>
      <c r="BS228"/>
    </row>
    <row r="229" spans="1:71" ht="16.5" x14ac:dyDescent="0.3">
      <c r="A229" s="38" t="s">
        <v>281</v>
      </c>
      <c r="B229" s="36">
        <v>227</v>
      </c>
      <c r="C229" s="71" t="str">
        <f t="shared" ca="1" si="59"/>
        <v>10년~5년 사이</v>
      </c>
      <c r="D229" s="79">
        <v>43182</v>
      </c>
      <c r="E229" s="72" t="str">
        <f t="shared" si="60"/>
        <v/>
      </c>
      <c r="F229" s="8" t="s">
        <v>1</v>
      </c>
      <c r="G229" s="59" t="s">
        <v>17</v>
      </c>
      <c r="H229" s="66" t="s">
        <v>441</v>
      </c>
      <c r="I229" s="80" t="s">
        <v>596</v>
      </c>
      <c r="J229" s="81" t="s">
        <v>4</v>
      </c>
      <c r="K229" s="75" t="s">
        <v>187</v>
      </c>
      <c r="L229" s="76">
        <v>1</v>
      </c>
      <c r="M229" s="58">
        <v>9.3000000000000007</v>
      </c>
      <c r="N229" s="58">
        <v>9.3000000000000007</v>
      </c>
      <c r="O229" s="47" t="str">
        <f t="shared" si="63"/>
        <v/>
      </c>
      <c r="P229" s="47" t="str">
        <f t="shared" si="64"/>
        <v/>
      </c>
      <c r="Q229" s="47" t="str">
        <f t="shared" si="65"/>
        <v/>
      </c>
      <c r="R229" s="47" t="str">
        <f t="shared" si="66"/>
        <v/>
      </c>
      <c r="S229" s="47" t="str">
        <f t="shared" si="69"/>
        <v/>
      </c>
      <c r="T229" s="47" t="str">
        <f t="shared" si="70"/>
        <v/>
      </c>
      <c r="U229" s="47" t="str">
        <f t="shared" si="67"/>
        <v/>
      </c>
      <c r="V229" s="47" t="str">
        <f t="shared" si="68"/>
        <v/>
      </c>
      <c r="W229" s="98">
        <f t="shared" si="71"/>
        <v>9.3000000000000007</v>
      </c>
      <c r="X229" s="98">
        <f t="shared" si="72"/>
        <v>1</v>
      </c>
      <c r="AB229" s="42" t="s">
        <v>187</v>
      </c>
      <c r="BG229"/>
      <c r="BH229"/>
      <c r="BI229"/>
      <c r="BJ229"/>
      <c r="BK229"/>
      <c r="BL229"/>
      <c r="BM229"/>
      <c r="BN229"/>
      <c r="BO229"/>
      <c r="BP229"/>
      <c r="BQ229"/>
      <c r="BR229"/>
      <c r="BS229"/>
    </row>
    <row r="230" spans="1:71" ht="16.5" x14ac:dyDescent="0.3">
      <c r="A230" s="38" t="s">
        <v>281</v>
      </c>
      <c r="B230" s="36">
        <v>228</v>
      </c>
      <c r="C230" s="71" t="str">
        <f t="shared" ca="1" si="59"/>
        <v>10년~5년 사이</v>
      </c>
      <c r="D230" s="79">
        <v>43182</v>
      </c>
      <c r="E230" s="72">
        <f t="shared" si="60"/>
        <v>1</v>
      </c>
      <c r="F230" s="8" t="s">
        <v>1</v>
      </c>
      <c r="G230" s="59" t="s">
        <v>68</v>
      </c>
      <c r="H230" s="59" t="s">
        <v>77</v>
      </c>
      <c r="I230" s="80" t="s">
        <v>808</v>
      </c>
      <c r="J230" s="81" t="s">
        <v>4</v>
      </c>
      <c r="K230" s="75" t="s">
        <v>187</v>
      </c>
      <c r="L230" s="76">
        <v>0.55000000000000004</v>
      </c>
      <c r="M230" s="58">
        <v>243.4</v>
      </c>
      <c r="N230" s="58">
        <v>133.9</v>
      </c>
      <c r="O230" s="47">
        <f t="shared" si="63"/>
        <v>0.55000000000000004</v>
      </c>
      <c r="P230" s="47">
        <f t="shared" si="64"/>
        <v>0.55000000000000004</v>
      </c>
      <c r="Q230" s="47">
        <f t="shared" si="65"/>
        <v>243.4</v>
      </c>
      <c r="R230" s="47">
        <f t="shared" si="66"/>
        <v>243.4</v>
      </c>
      <c r="S230" s="47">
        <f t="shared" si="69"/>
        <v>0.55000000000000004</v>
      </c>
      <c r="T230" s="47" t="str">
        <f t="shared" si="70"/>
        <v/>
      </c>
      <c r="U230" s="47">
        <f t="shared" si="67"/>
        <v>133.9</v>
      </c>
      <c r="V230" s="47" t="str">
        <f t="shared" si="68"/>
        <v/>
      </c>
      <c r="W230" s="98">
        <f t="shared" si="71"/>
        <v>133.9</v>
      </c>
      <c r="X230" s="98">
        <f t="shared" si="72"/>
        <v>0.55000000000000004</v>
      </c>
      <c r="AB230" s="42" t="s">
        <v>187</v>
      </c>
      <c r="BG230"/>
      <c r="BH230"/>
      <c r="BI230"/>
      <c r="BJ230"/>
      <c r="BK230"/>
      <c r="BL230"/>
      <c r="BM230"/>
      <c r="BN230"/>
      <c r="BO230"/>
      <c r="BP230"/>
      <c r="BQ230"/>
      <c r="BR230"/>
      <c r="BS230"/>
    </row>
    <row r="231" spans="1:71" ht="16.5" x14ac:dyDescent="0.3">
      <c r="A231" s="38" t="s">
        <v>281</v>
      </c>
      <c r="B231" s="36">
        <v>229</v>
      </c>
      <c r="C231" s="71" t="str">
        <f t="shared" ca="1" si="59"/>
        <v>10년~5년 사이</v>
      </c>
      <c r="D231" s="79">
        <v>43194</v>
      </c>
      <c r="E231" s="72">
        <f t="shared" si="60"/>
        <v>2</v>
      </c>
      <c r="F231" s="8" t="s">
        <v>1</v>
      </c>
      <c r="G231" s="59" t="s">
        <v>568</v>
      </c>
      <c r="H231" s="59" t="s">
        <v>611</v>
      </c>
      <c r="I231" s="80" t="s">
        <v>728</v>
      </c>
      <c r="J231" s="81" t="s">
        <v>4</v>
      </c>
      <c r="K231" s="75" t="s">
        <v>187</v>
      </c>
      <c r="L231" s="76">
        <v>0.4</v>
      </c>
      <c r="M231" s="58">
        <v>823.2</v>
      </c>
      <c r="N231" s="58">
        <v>329.3</v>
      </c>
      <c r="O231" s="47">
        <f t="shared" si="63"/>
        <v>0.4</v>
      </c>
      <c r="P231" s="47">
        <f t="shared" si="64"/>
        <v>0.4</v>
      </c>
      <c r="Q231" s="47">
        <f t="shared" si="65"/>
        <v>823.2</v>
      </c>
      <c r="R231" s="47">
        <f t="shared" si="66"/>
        <v>823.2</v>
      </c>
      <c r="S231" s="47">
        <f t="shared" si="69"/>
        <v>0.4</v>
      </c>
      <c r="T231" s="47">
        <f t="shared" si="70"/>
        <v>0.4</v>
      </c>
      <c r="U231" s="47">
        <f t="shared" si="67"/>
        <v>329.3</v>
      </c>
      <c r="V231" s="47">
        <f t="shared" si="68"/>
        <v>329.3</v>
      </c>
      <c r="W231" s="98">
        <f t="shared" si="71"/>
        <v>329.3</v>
      </c>
      <c r="X231" s="98">
        <f t="shared" si="72"/>
        <v>0.4</v>
      </c>
      <c r="AB231" s="42" t="s">
        <v>187</v>
      </c>
      <c r="BG231"/>
      <c r="BH231"/>
      <c r="BI231"/>
      <c r="BJ231"/>
      <c r="BK231"/>
      <c r="BL231"/>
      <c r="BM231"/>
      <c r="BN231"/>
      <c r="BO231"/>
      <c r="BP231"/>
      <c r="BQ231"/>
      <c r="BR231"/>
      <c r="BS231"/>
    </row>
    <row r="232" spans="1:71" ht="16.5" x14ac:dyDescent="0.3">
      <c r="A232" s="38" t="s">
        <v>281</v>
      </c>
      <c r="B232" s="36">
        <v>230</v>
      </c>
      <c r="C232" s="71" t="str">
        <f t="shared" ca="1" si="59"/>
        <v>10년~5년 사이</v>
      </c>
      <c r="D232" s="79">
        <v>43194</v>
      </c>
      <c r="E232" s="72">
        <f t="shared" si="60"/>
        <v>1</v>
      </c>
      <c r="F232" s="8" t="s">
        <v>1</v>
      </c>
      <c r="G232" s="59" t="s">
        <v>68</v>
      </c>
      <c r="H232" s="59" t="s">
        <v>77</v>
      </c>
      <c r="I232" s="80" t="s">
        <v>749</v>
      </c>
      <c r="J232" s="81" t="s">
        <v>4</v>
      </c>
      <c r="K232" s="75" t="s">
        <v>187</v>
      </c>
      <c r="L232" s="76">
        <v>0.51</v>
      </c>
      <c r="M232" s="58">
        <v>260.2</v>
      </c>
      <c r="N232" s="58">
        <v>132.69999999999999</v>
      </c>
      <c r="O232" s="47">
        <f t="shared" si="63"/>
        <v>0.51</v>
      </c>
      <c r="P232" s="47">
        <f t="shared" si="64"/>
        <v>0.51</v>
      </c>
      <c r="Q232" s="47">
        <f t="shared" si="65"/>
        <v>260.2</v>
      </c>
      <c r="R232" s="47">
        <f t="shared" si="66"/>
        <v>260.2</v>
      </c>
      <c r="S232" s="47">
        <f t="shared" si="69"/>
        <v>0.51</v>
      </c>
      <c r="T232" s="47" t="str">
        <f t="shared" si="70"/>
        <v/>
      </c>
      <c r="U232" s="47">
        <f t="shared" si="67"/>
        <v>132.69999999999999</v>
      </c>
      <c r="V232" s="47" t="str">
        <f t="shared" si="68"/>
        <v/>
      </c>
      <c r="W232" s="98">
        <f t="shared" si="71"/>
        <v>132.69999999999999</v>
      </c>
      <c r="X232" s="98">
        <f t="shared" si="72"/>
        <v>0.51</v>
      </c>
      <c r="AB232" s="42" t="s">
        <v>187</v>
      </c>
      <c r="BG232"/>
      <c r="BH232"/>
      <c r="BI232"/>
      <c r="BJ232"/>
      <c r="BK232"/>
      <c r="BL232"/>
      <c r="BM232"/>
      <c r="BN232"/>
      <c r="BO232"/>
      <c r="BP232"/>
      <c r="BQ232"/>
      <c r="BR232"/>
      <c r="BS232"/>
    </row>
    <row r="233" spans="1:71" ht="16.5" x14ac:dyDescent="0.3">
      <c r="A233" s="38" t="s">
        <v>281</v>
      </c>
      <c r="B233" s="36">
        <v>231</v>
      </c>
      <c r="C233" s="71" t="str">
        <f t="shared" ca="1" si="59"/>
        <v>10년~5년 사이</v>
      </c>
      <c r="D233" s="79">
        <v>43213</v>
      </c>
      <c r="E233" s="72">
        <f t="shared" si="60"/>
        <v>2</v>
      </c>
      <c r="F233" s="8" t="s">
        <v>1</v>
      </c>
      <c r="G233" s="59" t="s">
        <v>491</v>
      </c>
      <c r="H233" s="59" t="s">
        <v>492</v>
      </c>
      <c r="I233" s="80" t="s">
        <v>798</v>
      </c>
      <c r="J233" s="81" t="s">
        <v>4</v>
      </c>
      <c r="K233" s="75" t="s">
        <v>187</v>
      </c>
      <c r="L233" s="76">
        <v>0.7</v>
      </c>
      <c r="M233" s="58">
        <v>432.4</v>
      </c>
      <c r="N233" s="58">
        <v>302.7</v>
      </c>
      <c r="O233" s="47">
        <f t="shared" si="63"/>
        <v>0.7</v>
      </c>
      <c r="P233" s="47">
        <f t="shared" si="64"/>
        <v>0.7</v>
      </c>
      <c r="Q233" s="47">
        <f t="shared" si="65"/>
        <v>432.4</v>
      </c>
      <c r="R233" s="47">
        <f t="shared" si="66"/>
        <v>432.4</v>
      </c>
      <c r="S233" s="47">
        <f t="shared" si="69"/>
        <v>0.7</v>
      </c>
      <c r="T233" s="47">
        <f t="shared" si="70"/>
        <v>0.7</v>
      </c>
      <c r="U233" s="47">
        <f t="shared" si="67"/>
        <v>302.7</v>
      </c>
      <c r="V233" s="47">
        <f t="shared" si="68"/>
        <v>302.7</v>
      </c>
      <c r="W233" s="98">
        <f t="shared" si="71"/>
        <v>302.7</v>
      </c>
      <c r="X233" s="98">
        <f t="shared" si="72"/>
        <v>0.7</v>
      </c>
      <c r="AB233" s="42" t="s">
        <v>187</v>
      </c>
      <c r="AE233" s="42" t="s">
        <v>24</v>
      </c>
      <c r="BG233"/>
      <c r="BH233"/>
      <c r="BI233"/>
      <c r="BJ233"/>
      <c r="BK233"/>
      <c r="BL233"/>
      <c r="BM233"/>
      <c r="BN233"/>
      <c r="BO233"/>
      <c r="BP233"/>
      <c r="BQ233"/>
      <c r="BR233"/>
      <c r="BS233"/>
    </row>
    <row r="234" spans="1:71" ht="16.5" x14ac:dyDescent="0.3">
      <c r="A234" s="38" t="s">
        <v>281</v>
      </c>
      <c r="B234" s="36">
        <v>232</v>
      </c>
      <c r="C234" s="71" t="str">
        <f t="shared" ca="1" si="59"/>
        <v>10년~5년 사이</v>
      </c>
      <c r="D234" s="79">
        <v>43213</v>
      </c>
      <c r="E234" s="72">
        <f t="shared" si="60"/>
        <v>1</v>
      </c>
      <c r="F234" s="8" t="s">
        <v>1</v>
      </c>
      <c r="G234" s="59" t="s">
        <v>68</v>
      </c>
      <c r="H234" s="59" t="s">
        <v>77</v>
      </c>
      <c r="I234" s="80" t="s">
        <v>812</v>
      </c>
      <c r="J234" s="81" t="s">
        <v>4</v>
      </c>
      <c r="K234" s="75" t="s">
        <v>187</v>
      </c>
      <c r="L234" s="76">
        <v>0.55000000000000004</v>
      </c>
      <c r="M234" s="58">
        <v>237.4</v>
      </c>
      <c r="N234" s="58">
        <v>130.6</v>
      </c>
      <c r="O234" s="47">
        <f t="shared" si="63"/>
        <v>0.55000000000000004</v>
      </c>
      <c r="P234" s="47">
        <f t="shared" si="64"/>
        <v>0.55000000000000004</v>
      </c>
      <c r="Q234" s="47">
        <f t="shared" si="65"/>
        <v>237.4</v>
      </c>
      <c r="R234" s="47">
        <f t="shared" si="66"/>
        <v>237.4</v>
      </c>
      <c r="S234" s="47">
        <f t="shared" si="69"/>
        <v>0.55000000000000004</v>
      </c>
      <c r="T234" s="47" t="str">
        <f t="shared" si="70"/>
        <v/>
      </c>
      <c r="U234" s="47">
        <f t="shared" si="67"/>
        <v>130.6</v>
      </c>
      <c r="V234" s="47" t="str">
        <f t="shared" si="68"/>
        <v/>
      </c>
      <c r="W234" s="98">
        <f t="shared" si="71"/>
        <v>130.6</v>
      </c>
      <c r="X234" s="98">
        <f t="shared" si="72"/>
        <v>0.55000000000000004</v>
      </c>
      <c r="AB234" s="42" t="s">
        <v>187</v>
      </c>
      <c r="BG234"/>
      <c r="BH234"/>
      <c r="BI234"/>
      <c r="BJ234"/>
      <c r="BK234"/>
      <c r="BL234"/>
      <c r="BM234"/>
      <c r="BN234"/>
      <c r="BO234"/>
      <c r="BP234"/>
      <c r="BQ234"/>
      <c r="BR234"/>
      <c r="BS234"/>
    </row>
    <row r="235" spans="1:71" ht="16.5" x14ac:dyDescent="0.3">
      <c r="A235" s="38" t="s">
        <v>281</v>
      </c>
      <c r="B235" s="36">
        <v>233</v>
      </c>
      <c r="C235" s="71" t="str">
        <f t="shared" ca="1" si="59"/>
        <v>10년~5년 사이</v>
      </c>
      <c r="D235" s="79">
        <v>43216</v>
      </c>
      <c r="E235" s="72">
        <f t="shared" si="60"/>
        <v>2</v>
      </c>
      <c r="F235" s="8" t="s">
        <v>1</v>
      </c>
      <c r="G235" s="59" t="s">
        <v>17</v>
      </c>
      <c r="H235" s="59" t="s">
        <v>442</v>
      </c>
      <c r="I235" s="80" t="s">
        <v>766</v>
      </c>
      <c r="J235" s="81" t="s">
        <v>4</v>
      </c>
      <c r="K235" s="75" t="s">
        <v>187</v>
      </c>
      <c r="L235" s="76">
        <v>0.7</v>
      </c>
      <c r="M235" s="58">
        <v>332.9</v>
      </c>
      <c r="N235" s="58">
        <v>233</v>
      </c>
      <c r="O235" s="47">
        <f t="shared" si="63"/>
        <v>0.7</v>
      </c>
      <c r="P235" s="47">
        <f t="shared" si="64"/>
        <v>0.7</v>
      </c>
      <c r="Q235" s="47">
        <f t="shared" si="65"/>
        <v>332.9</v>
      </c>
      <c r="R235" s="47">
        <f t="shared" si="66"/>
        <v>332.9</v>
      </c>
      <c r="S235" s="47">
        <f t="shared" si="69"/>
        <v>0.7</v>
      </c>
      <c r="T235" s="47">
        <f t="shared" si="70"/>
        <v>0.7</v>
      </c>
      <c r="U235" s="47">
        <f t="shared" si="67"/>
        <v>233</v>
      </c>
      <c r="V235" s="47">
        <f t="shared" si="68"/>
        <v>233</v>
      </c>
      <c r="W235" s="98">
        <f t="shared" si="71"/>
        <v>233</v>
      </c>
      <c r="X235" s="98">
        <f t="shared" si="72"/>
        <v>0.7</v>
      </c>
      <c r="AB235" s="42" t="s">
        <v>187</v>
      </c>
      <c r="BG235"/>
      <c r="BH235"/>
      <c r="BI235"/>
      <c r="BJ235"/>
      <c r="BK235"/>
      <c r="BL235"/>
      <c r="BM235"/>
      <c r="BN235"/>
      <c r="BO235"/>
      <c r="BP235"/>
      <c r="BQ235"/>
      <c r="BR235"/>
      <c r="BS235"/>
    </row>
    <row r="236" spans="1:71" ht="16.5" x14ac:dyDescent="0.3">
      <c r="A236" s="38" t="s">
        <v>281</v>
      </c>
      <c r="B236" s="36">
        <v>234</v>
      </c>
      <c r="C236" s="71" t="str">
        <f t="shared" ca="1" si="59"/>
        <v>10년~5년 사이</v>
      </c>
      <c r="D236" s="79">
        <v>43220</v>
      </c>
      <c r="E236" s="72">
        <f t="shared" si="60"/>
        <v>1</v>
      </c>
      <c r="F236" s="8" t="s">
        <v>1</v>
      </c>
      <c r="G236" s="59" t="s">
        <v>68</v>
      </c>
      <c r="H236" s="59" t="s">
        <v>756</v>
      </c>
      <c r="I236" s="80" t="s">
        <v>778</v>
      </c>
      <c r="J236" s="81" t="s">
        <v>4</v>
      </c>
      <c r="K236" s="75" t="s">
        <v>187</v>
      </c>
      <c r="L236" s="76">
        <v>1</v>
      </c>
      <c r="M236" s="58">
        <v>142.4</v>
      </c>
      <c r="N236" s="58">
        <v>142.4</v>
      </c>
      <c r="O236" s="47">
        <f t="shared" si="63"/>
        <v>1</v>
      </c>
      <c r="P236" s="47" t="str">
        <f t="shared" si="64"/>
        <v/>
      </c>
      <c r="Q236" s="47">
        <f t="shared" si="65"/>
        <v>142.4</v>
      </c>
      <c r="R236" s="47" t="str">
        <f t="shared" si="66"/>
        <v/>
      </c>
      <c r="S236" s="47">
        <f t="shared" si="69"/>
        <v>1</v>
      </c>
      <c r="T236" s="47" t="str">
        <f t="shared" si="70"/>
        <v/>
      </c>
      <c r="U236" s="47">
        <f t="shared" si="67"/>
        <v>142.4</v>
      </c>
      <c r="V236" s="47" t="str">
        <f t="shared" si="68"/>
        <v/>
      </c>
      <c r="W236" s="98">
        <f t="shared" si="71"/>
        <v>142.4</v>
      </c>
      <c r="X236" s="98">
        <f t="shared" si="72"/>
        <v>1</v>
      </c>
      <c r="AB236" s="42" t="s">
        <v>187</v>
      </c>
      <c r="BG236"/>
      <c r="BH236"/>
      <c r="BI236"/>
      <c r="BJ236"/>
      <c r="BK236"/>
      <c r="BL236"/>
      <c r="BM236"/>
      <c r="BN236"/>
      <c r="BO236"/>
      <c r="BP236"/>
      <c r="BQ236"/>
      <c r="BR236"/>
      <c r="BS236"/>
    </row>
    <row r="237" spans="1:71" ht="16.5" x14ac:dyDescent="0.3">
      <c r="A237" s="38" t="s">
        <v>281</v>
      </c>
      <c r="B237" s="36">
        <v>235</v>
      </c>
      <c r="C237" s="71" t="str">
        <f t="shared" ca="1" si="59"/>
        <v>10년~5년 사이</v>
      </c>
      <c r="D237" s="79">
        <v>43260</v>
      </c>
      <c r="E237" s="72" t="str">
        <f t="shared" si="60"/>
        <v/>
      </c>
      <c r="F237" s="8" t="s">
        <v>1</v>
      </c>
      <c r="G237" s="59" t="s">
        <v>17</v>
      </c>
      <c r="H237" s="80" t="s">
        <v>835</v>
      </c>
      <c r="I237" s="80" t="s">
        <v>598</v>
      </c>
      <c r="J237" s="81" t="s">
        <v>4</v>
      </c>
      <c r="K237" s="75" t="s">
        <v>187</v>
      </c>
      <c r="L237" s="76">
        <v>1</v>
      </c>
      <c r="M237" s="58">
        <v>19.2</v>
      </c>
      <c r="N237" s="58">
        <v>19.2</v>
      </c>
      <c r="O237" s="47" t="str">
        <f t="shared" si="63"/>
        <v/>
      </c>
      <c r="P237" s="47" t="str">
        <f t="shared" si="64"/>
        <v/>
      </c>
      <c r="Q237" s="47" t="str">
        <f t="shared" si="65"/>
        <v/>
      </c>
      <c r="R237" s="47" t="str">
        <f t="shared" si="66"/>
        <v/>
      </c>
      <c r="S237" s="47" t="str">
        <f t="shared" si="69"/>
        <v/>
      </c>
      <c r="T237" s="47" t="str">
        <f t="shared" si="70"/>
        <v/>
      </c>
      <c r="U237" s="47" t="str">
        <f t="shared" si="67"/>
        <v/>
      </c>
      <c r="V237" s="47" t="str">
        <f t="shared" si="68"/>
        <v/>
      </c>
      <c r="W237" s="98">
        <f t="shared" si="71"/>
        <v>19.2</v>
      </c>
      <c r="X237" s="98">
        <f t="shared" si="72"/>
        <v>1</v>
      </c>
      <c r="AB237" s="42" t="s">
        <v>187</v>
      </c>
      <c r="BG237"/>
      <c r="BH237"/>
      <c r="BI237"/>
      <c r="BJ237"/>
      <c r="BK237"/>
      <c r="BL237"/>
      <c r="BM237"/>
      <c r="BN237"/>
      <c r="BO237"/>
      <c r="BP237"/>
      <c r="BQ237"/>
      <c r="BR237"/>
      <c r="BS237"/>
    </row>
    <row r="238" spans="1:71" ht="16.5" x14ac:dyDescent="0.3">
      <c r="A238" s="38" t="s">
        <v>281</v>
      </c>
      <c r="B238" s="36">
        <v>236</v>
      </c>
      <c r="C238" s="71" t="str">
        <f t="shared" ca="1" si="59"/>
        <v>10년~5년 사이</v>
      </c>
      <c r="D238" s="79">
        <v>43267</v>
      </c>
      <c r="E238" s="72" t="str">
        <f t="shared" si="60"/>
        <v/>
      </c>
      <c r="F238" s="8" t="s">
        <v>1</v>
      </c>
      <c r="G238" s="59" t="s">
        <v>177</v>
      </c>
      <c r="H238" s="59" t="s">
        <v>541</v>
      </c>
      <c r="I238" s="80" t="s">
        <v>599</v>
      </c>
      <c r="J238" s="81" t="s">
        <v>4</v>
      </c>
      <c r="K238" s="75" t="s">
        <v>187</v>
      </c>
      <c r="L238" s="76">
        <v>1</v>
      </c>
      <c r="M238" s="58">
        <v>19.100000000000001</v>
      </c>
      <c r="N238" s="58">
        <v>19.100000000000001</v>
      </c>
      <c r="O238" s="47" t="str">
        <f t="shared" si="63"/>
        <v/>
      </c>
      <c r="P238" s="47" t="str">
        <f t="shared" si="64"/>
        <v/>
      </c>
      <c r="Q238" s="47" t="str">
        <f t="shared" si="65"/>
        <v/>
      </c>
      <c r="R238" s="47" t="str">
        <f t="shared" si="66"/>
        <v/>
      </c>
      <c r="S238" s="47" t="str">
        <f t="shared" si="69"/>
        <v/>
      </c>
      <c r="T238" s="47" t="str">
        <f t="shared" si="70"/>
        <v/>
      </c>
      <c r="U238" s="47" t="str">
        <f t="shared" si="67"/>
        <v/>
      </c>
      <c r="V238" s="47" t="str">
        <f t="shared" si="68"/>
        <v/>
      </c>
      <c r="W238" s="98">
        <f t="shared" si="71"/>
        <v>19.100000000000001</v>
      </c>
      <c r="X238" s="98">
        <f t="shared" si="72"/>
        <v>1</v>
      </c>
      <c r="AB238" s="42" t="s">
        <v>187</v>
      </c>
      <c r="BG238"/>
      <c r="BH238"/>
      <c r="BI238"/>
      <c r="BJ238"/>
      <c r="BK238"/>
      <c r="BL238"/>
      <c r="BM238"/>
      <c r="BN238"/>
      <c r="BO238"/>
      <c r="BP238"/>
      <c r="BQ238"/>
      <c r="BR238"/>
      <c r="BS238"/>
    </row>
    <row r="239" spans="1:71" ht="16.5" x14ac:dyDescent="0.3">
      <c r="A239" s="38" t="s">
        <v>281</v>
      </c>
      <c r="B239" s="36">
        <v>237</v>
      </c>
      <c r="C239" s="71" t="str">
        <f t="shared" ca="1" si="59"/>
        <v>10년~5년 사이</v>
      </c>
      <c r="D239" s="79">
        <v>43273</v>
      </c>
      <c r="E239" s="72">
        <f t="shared" si="60"/>
        <v>2</v>
      </c>
      <c r="F239" s="8" t="s">
        <v>1</v>
      </c>
      <c r="G239" s="59" t="s">
        <v>480</v>
      </c>
      <c r="H239" s="59" t="s">
        <v>481</v>
      </c>
      <c r="I239" s="80" t="s">
        <v>753</v>
      </c>
      <c r="J239" s="81" t="s">
        <v>4</v>
      </c>
      <c r="K239" s="75" t="s">
        <v>187</v>
      </c>
      <c r="L239" s="76">
        <v>0.9</v>
      </c>
      <c r="M239" s="58">
        <v>240.5</v>
      </c>
      <c r="N239" s="58">
        <v>216.5</v>
      </c>
      <c r="O239" s="47">
        <f t="shared" si="63"/>
        <v>0.9</v>
      </c>
      <c r="P239" s="47">
        <f t="shared" si="64"/>
        <v>0.9</v>
      </c>
      <c r="Q239" s="47">
        <f t="shared" si="65"/>
        <v>240.5</v>
      </c>
      <c r="R239" s="47">
        <f t="shared" si="66"/>
        <v>240.5</v>
      </c>
      <c r="S239" s="47">
        <f t="shared" si="69"/>
        <v>0.9</v>
      </c>
      <c r="T239" s="47">
        <f t="shared" si="70"/>
        <v>0.9</v>
      </c>
      <c r="U239" s="47">
        <f t="shared" si="67"/>
        <v>216.5</v>
      </c>
      <c r="V239" s="47">
        <f t="shared" si="68"/>
        <v>216.5</v>
      </c>
      <c r="W239" s="98">
        <f t="shared" si="71"/>
        <v>216.5</v>
      </c>
      <c r="X239" s="98">
        <f t="shared" si="72"/>
        <v>0.9</v>
      </c>
      <c r="AB239" s="42" t="s">
        <v>187</v>
      </c>
      <c r="BG239"/>
      <c r="BH239"/>
      <c r="BI239"/>
      <c r="BJ239"/>
      <c r="BK239"/>
      <c r="BL239"/>
      <c r="BM239"/>
      <c r="BN239"/>
      <c r="BO239"/>
      <c r="BP239"/>
      <c r="BQ239"/>
      <c r="BR239"/>
      <c r="BS239"/>
    </row>
    <row r="240" spans="1:71" ht="16.5" x14ac:dyDescent="0.3">
      <c r="A240" s="38" t="s">
        <v>281</v>
      </c>
      <c r="B240" s="36">
        <v>238</v>
      </c>
      <c r="C240" s="71" t="str">
        <f t="shared" ca="1" si="59"/>
        <v>10년~5년 사이</v>
      </c>
      <c r="D240" s="79">
        <v>43280</v>
      </c>
      <c r="E240" s="72" t="str">
        <f t="shared" si="60"/>
        <v/>
      </c>
      <c r="F240" s="8" t="s">
        <v>1</v>
      </c>
      <c r="G240" s="59" t="s">
        <v>17</v>
      </c>
      <c r="H240" s="80" t="s">
        <v>835</v>
      </c>
      <c r="I240" s="80" t="s">
        <v>597</v>
      </c>
      <c r="J240" s="81" t="s">
        <v>4</v>
      </c>
      <c r="K240" s="75" t="s">
        <v>187</v>
      </c>
      <c r="L240" s="76">
        <v>1</v>
      </c>
      <c r="M240" s="58">
        <v>19.2</v>
      </c>
      <c r="N240" s="58">
        <v>19.2</v>
      </c>
      <c r="O240" s="47" t="str">
        <f t="shared" si="63"/>
        <v/>
      </c>
      <c r="P240" s="47" t="str">
        <f t="shared" si="64"/>
        <v/>
      </c>
      <c r="Q240" s="47" t="str">
        <f t="shared" si="65"/>
        <v/>
      </c>
      <c r="R240" s="47" t="str">
        <f t="shared" si="66"/>
        <v/>
      </c>
      <c r="S240" s="47" t="str">
        <f t="shared" si="69"/>
        <v/>
      </c>
      <c r="T240" s="47" t="str">
        <f t="shared" si="70"/>
        <v/>
      </c>
      <c r="U240" s="47" t="str">
        <f t="shared" si="67"/>
        <v/>
      </c>
      <c r="V240" s="47" t="str">
        <f t="shared" si="68"/>
        <v/>
      </c>
      <c r="W240" s="98">
        <f t="shared" si="71"/>
        <v>19.2</v>
      </c>
      <c r="X240" s="98">
        <f t="shared" si="72"/>
        <v>1</v>
      </c>
      <c r="AB240" s="42" t="s">
        <v>187</v>
      </c>
      <c r="BG240"/>
      <c r="BH240"/>
      <c r="BI240"/>
      <c r="BJ240"/>
      <c r="BK240"/>
      <c r="BL240"/>
      <c r="BM240"/>
      <c r="BN240"/>
      <c r="BO240"/>
      <c r="BP240"/>
      <c r="BQ240"/>
      <c r="BR240"/>
      <c r="BS240"/>
    </row>
    <row r="241" spans="1:71" ht="16.5" x14ac:dyDescent="0.3">
      <c r="A241" s="38" t="s">
        <v>281</v>
      </c>
      <c r="B241" s="36">
        <v>239</v>
      </c>
      <c r="C241" s="71" t="str">
        <f t="shared" ca="1" si="59"/>
        <v>10년~5년 사이</v>
      </c>
      <c r="D241" s="79">
        <v>43283</v>
      </c>
      <c r="E241" s="72">
        <f t="shared" si="60"/>
        <v>1</v>
      </c>
      <c r="F241" s="8" t="s">
        <v>1</v>
      </c>
      <c r="G241" s="59" t="s">
        <v>68</v>
      </c>
      <c r="H241" s="59" t="s">
        <v>473</v>
      </c>
      <c r="I241" s="80" t="s">
        <v>586</v>
      </c>
      <c r="J241" s="81" t="s">
        <v>4</v>
      </c>
      <c r="K241" s="75" t="s">
        <v>187</v>
      </c>
      <c r="L241" s="76">
        <v>1</v>
      </c>
      <c r="M241" s="58">
        <v>172.8</v>
      </c>
      <c r="N241" s="58">
        <v>172.8</v>
      </c>
      <c r="O241" s="47">
        <f t="shared" si="63"/>
        <v>1</v>
      </c>
      <c r="P241" s="47" t="str">
        <f t="shared" si="64"/>
        <v/>
      </c>
      <c r="Q241" s="47">
        <f t="shared" si="65"/>
        <v>172.8</v>
      </c>
      <c r="R241" s="47" t="str">
        <f t="shared" si="66"/>
        <v/>
      </c>
      <c r="S241" s="47">
        <f t="shared" si="69"/>
        <v>1</v>
      </c>
      <c r="T241" s="47" t="str">
        <f t="shared" si="70"/>
        <v/>
      </c>
      <c r="U241" s="47">
        <f t="shared" si="67"/>
        <v>172.8</v>
      </c>
      <c r="V241" s="47" t="str">
        <f t="shared" si="68"/>
        <v/>
      </c>
      <c r="W241" s="98">
        <f t="shared" si="71"/>
        <v>172.8</v>
      </c>
      <c r="X241" s="98">
        <f t="shared" si="72"/>
        <v>1</v>
      </c>
      <c r="AB241" s="42" t="s">
        <v>187</v>
      </c>
      <c r="BG241"/>
      <c r="BH241"/>
      <c r="BI241"/>
      <c r="BJ241"/>
      <c r="BK241"/>
      <c r="BL241"/>
      <c r="BM241"/>
      <c r="BN241"/>
      <c r="BO241"/>
      <c r="BP241"/>
      <c r="BQ241"/>
      <c r="BR241"/>
      <c r="BS241"/>
    </row>
    <row r="242" spans="1:71" ht="16.5" x14ac:dyDescent="0.3">
      <c r="A242" s="38" t="s">
        <v>281</v>
      </c>
      <c r="B242" s="36">
        <v>240</v>
      </c>
      <c r="C242" s="71" t="str">
        <f t="shared" ca="1" si="59"/>
        <v>10년~5년 사이</v>
      </c>
      <c r="D242" s="79">
        <v>43283</v>
      </c>
      <c r="E242" s="72" t="str">
        <f t="shared" si="60"/>
        <v/>
      </c>
      <c r="F242" s="8" t="s">
        <v>1</v>
      </c>
      <c r="G242" s="59" t="s">
        <v>17</v>
      </c>
      <c r="H242" s="80" t="s">
        <v>835</v>
      </c>
      <c r="I242" s="80" t="s">
        <v>628</v>
      </c>
      <c r="J242" s="81" t="s">
        <v>4</v>
      </c>
      <c r="K242" s="75" t="s">
        <v>187</v>
      </c>
      <c r="L242" s="76">
        <v>1</v>
      </c>
      <c r="M242" s="58">
        <v>9.1999999999999993</v>
      </c>
      <c r="N242" s="58">
        <v>9.1999999999999993</v>
      </c>
      <c r="O242" s="47" t="str">
        <f t="shared" si="63"/>
        <v/>
      </c>
      <c r="P242" s="47" t="str">
        <f t="shared" si="64"/>
        <v/>
      </c>
      <c r="Q242" s="47" t="str">
        <f t="shared" si="65"/>
        <v/>
      </c>
      <c r="R242" s="47" t="str">
        <f t="shared" si="66"/>
        <v/>
      </c>
      <c r="S242" s="47" t="str">
        <f t="shared" si="69"/>
        <v/>
      </c>
      <c r="T242" s="47" t="str">
        <f t="shared" si="70"/>
        <v/>
      </c>
      <c r="U242" s="47" t="str">
        <f t="shared" si="67"/>
        <v/>
      </c>
      <c r="V242" s="47" t="str">
        <f t="shared" si="68"/>
        <v/>
      </c>
      <c r="W242" s="98">
        <f t="shared" si="71"/>
        <v>9.1999999999999993</v>
      </c>
      <c r="X242" s="98">
        <f t="shared" si="72"/>
        <v>1</v>
      </c>
      <c r="AB242" s="42" t="s">
        <v>187</v>
      </c>
      <c r="BG242"/>
      <c r="BH242"/>
      <c r="BI242"/>
      <c r="BJ242"/>
      <c r="BK242"/>
      <c r="BL242"/>
      <c r="BM242"/>
      <c r="BN242"/>
      <c r="BO242"/>
      <c r="BP242"/>
      <c r="BQ242"/>
      <c r="BR242"/>
      <c r="BS242"/>
    </row>
    <row r="243" spans="1:71" ht="16.5" x14ac:dyDescent="0.3">
      <c r="A243" s="38" t="s">
        <v>281</v>
      </c>
      <c r="B243" s="36">
        <v>241</v>
      </c>
      <c r="C243" s="71" t="str">
        <f t="shared" ca="1" si="59"/>
        <v>10년~5년 사이</v>
      </c>
      <c r="D243" s="79">
        <v>43284</v>
      </c>
      <c r="E243" s="72">
        <f t="shared" si="60"/>
        <v>2</v>
      </c>
      <c r="F243" s="8" t="s">
        <v>1</v>
      </c>
      <c r="G243" s="59" t="s">
        <v>253</v>
      </c>
      <c r="H243" s="59" t="s">
        <v>781</v>
      </c>
      <c r="I243" s="80" t="s">
        <v>782</v>
      </c>
      <c r="J243" s="81" t="s">
        <v>4</v>
      </c>
      <c r="K243" s="75" t="s">
        <v>187</v>
      </c>
      <c r="L243" s="76">
        <v>0.6</v>
      </c>
      <c r="M243" s="58">
        <v>1698.5</v>
      </c>
      <c r="N243" s="58">
        <v>1019.1</v>
      </c>
      <c r="O243" s="47">
        <f t="shared" si="63"/>
        <v>0.6</v>
      </c>
      <c r="P243" s="47">
        <f t="shared" si="64"/>
        <v>0.6</v>
      </c>
      <c r="Q243" s="47">
        <f t="shared" si="65"/>
        <v>1698.5</v>
      </c>
      <c r="R243" s="47">
        <f t="shared" si="66"/>
        <v>1698.5</v>
      </c>
      <c r="S243" s="47">
        <f t="shared" si="69"/>
        <v>0.6</v>
      </c>
      <c r="T243" s="47">
        <f t="shared" si="70"/>
        <v>0.6</v>
      </c>
      <c r="U243" s="47">
        <f t="shared" si="67"/>
        <v>1019.1</v>
      </c>
      <c r="V243" s="47">
        <f t="shared" si="68"/>
        <v>1019.1</v>
      </c>
      <c r="W243" s="98">
        <f t="shared" si="71"/>
        <v>1019.1</v>
      </c>
      <c r="X243" s="98">
        <f t="shared" si="72"/>
        <v>0.6</v>
      </c>
      <c r="AB243" s="42" t="s">
        <v>187</v>
      </c>
      <c r="AE243" s="42" t="s">
        <v>24</v>
      </c>
      <c r="BG243"/>
      <c r="BH243"/>
      <c r="BI243"/>
      <c r="BJ243"/>
      <c r="BK243"/>
      <c r="BL243"/>
      <c r="BM243"/>
      <c r="BN243"/>
      <c r="BO243"/>
      <c r="BP243"/>
      <c r="BQ243"/>
      <c r="BR243"/>
      <c r="BS243"/>
    </row>
    <row r="244" spans="1:71" ht="16.5" x14ac:dyDescent="0.3">
      <c r="A244" s="38" t="s">
        <v>281</v>
      </c>
      <c r="B244" s="36">
        <v>242</v>
      </c>
      <c r="C244" s="71" t="str">
        <f t="shared" ca="1" si="59"/>
        <v>10년~5년 사이</v>
      </c>
      <c r="D244" s="79">
        <v>43295</v>
      </c>
      <c r="E244" s="72">
        <f t="shared" si="60"/>
        <v>2</v>
      </c>
      <c r="F244" s="8" t="s">
        <v>1</v>
      </c>
      <c r="G244" s="59" t="s">
        <v>68</v>
      </c>
      <c r="H244" s="59" t="s">
        <v>77</v>
      </c>
      <c r="I244" s="80" t="s">
        <v>732</v>
      </c>
      <c r="J244" s="81" t="s">
        <v>4</v>
      </c>
      <c r="K244" s="75" t="s">
        <v>187</v>
      </c>
      <c r="L244" s="76">
        <v>1</v>
      </c>
      <c r="M244" s="58">
        <v>340.5</v>
      </c>
      <c r="N244" s="58">
        <v>340.5</v>
      </c>
      <c r="O244" s="47">
        <f t="shared" si="63"/>
        <v>1</v>
      </c>
      <c r="P244" s="47">
        <f t="shared" si="64"/>
        <v>1</v>
      </c>
      <c r="Q244" s="47">
        <f t="shared" si="65"/>
        <v>340.5</v>
      </c>
      <c r="R244" s="47">
        <f t="shared" si="66"/>
        <v>340.5</v>
      </c>
      <c r="S244" s="47">
        <f t="shared" si="69"/>
        <v>1</v>
      </c>
      <c r="T244" s="47">
        <f t="shared" si="70"/>
        <v>1</v>
      </c>
      <c r="U244" s="47">
        <f t="shared" si="67"/>
        <v>340.5</v>
      </c>
      <c r="V244" s="47">
        <f t="shared" si="68"/>
        <v>340.5</v>
      </c>
      <c r="W244" s="98">
        <f t="shared" si="71"/>
        <v>340.5</v>
      </c>
      <c r="X244" s="98">
        <f t="shared" si="72"/>
        <v>1</v>
      </c>
      <c r="AB244" s="42" t="s">
        <v>187</v>
      </c>
      <c r="BG244"/>
      <c r="BH244"/>
      <c r="BI244"/>
      <c r="BJ244"/>
      <c r="BK244"/>
      <c r="BL244"/>
      <c r="BM244"/>
      <c r="BN244"/>
      <c r="BO244"/>
      <c r="BP244"/>
      <c r="BQ244"/>
      <c r="BR244"/>
      <c r="BS244"/>
    </row>
    <row r="245" spans="1:71" ht="16.5" x14ac:dyDescent="0.3">
      <c r="A245" s="38" t="s">
        <v>281</v>
      </c>
      <c r="B245" s="36">
        <v>243</v>
      </c>
      <c r="C245" s="71" t="str">
        <f t="shared" ca="1" si="59"/>
        <v>10년~5년 사이</v>
      </c>
      <c r="D245" s="79">
        <v>43318</v>
      </c>
      <c r="E245" s="72" t="str">
        <f t="shared" si="60"/>
        <v/>
      </c>
      <c r="F245" s="8" t="s">
        <v>1</v>
      </c>
      <c r="G245" s="59" t="s">
        <v>17</v>
      </c>
      <c r="H245" s="66" t="s">
        <v>138</v>
      </c>
      <c r="I245" s="80" t="s">
        <v>608</v>
      </c>
      <c r="J245" s="81" t="s">
        <v>4</v>
      </c>
      <c r="K245" s="75" t="s">
        <v>187</v>
      </c>
      <c r="L245" s="76">
        <v>1</v>
      </c>
      <c r="M245" s="58">
        <v>16.100000000000001</v>
      </c>
      <c r="N245" s="58">
        <v>16.100000000000001</v>
      </c>
      <c r="O245" s="47" t="str">
        <f t="shared" si="63"/>
        <v/>
      </c>
      <c r="P245" s="47" t="str">
        <f t="shared" si="64"/>
        <v/>
      </c>
      <c r="Q245" s="47" t="str">
        <f t="shared" si="65"/>
        <v/>
      </c>
      <c r="R245" s="47" t="str">
        <f t="shared" si="66"/>
        <v/>
      </c>
      <c r="S245" s="47" t="str">
        <f t="shared" si="69"/>
        <v/>
      </c>
      <c r="T245" s="47" t="str">
        <f t="shared" si="70"/>
        <v/>
      </c>
      <c r="U245" s="47" t="str">
        <f t="shared" si="67"/>
        <v/>
      </c>
      <c r="V245" s="47" t="str">
        <f t="shared" si="68"/>
        <v/>
      </c>
      <c r="W245" s="98">
        <f t="shared" si="71"/>
        <v>16.100000000000001</v>
      </c>
      <c r="X245" s="98">
        <f t="shared" si="72"/>
        <v>1</v>
      </c>
      <c r="AB245" s="42" t="s">
        <v>187</v>
      </c>
      <c r="BG245"/>
      <c r="BH245"/>
      <c r="BI245"/>
      <c r="BJ245"/>
      <c r="BK245"/>
      <c r="BL245"/>
      <c r="BM245"/>
      <c r="BN245"/>
      <c r="BO245"/>
      <c r="BP245"/>
      <c r="BQ245"/>
      <c r="BR245"/>
      <c r="BS245"/>
    </row>
    <row r="246" spans="1:71" ht="16.5" x14ac:dyDescent="0.3">
      <c r="A246" s="38" t="s">
        <v>281</v>
      </c>
      <c r="B246" s="36">
        <v>244</v>
      </c>
      <c r="C246" s="71" t="str">
        <f t="shared" ca="1" si="59"/>
        <v>10년~5년 사이</v>
      </c>
      <c r="D246" s="79">
        <v>43318</v>
      </c>
      <c r="E246" s="72">
        <f t="shared" si="60"/>
        <v>2</v>
      </c>
      <c r="F246" s="8" t="s">
        <v>1</v>
      </c>
      <c r="G246" s="59" t="s">
        <v>68</v>
      </c>
      <c r="H246" s="59" t="s">
        <v>475</v>
      </c>
      <c r="I246" s="80" t="s">
        <v>755</v>
      </c>
      <c r="J246" s="81" t="s">
        <v>4</v>
      </c>
      <c r="K246" s="75" t="s">
        <v>187</v>
      </c>
      <c r="L246" s="76">
        <v>0.3</v>
      </c>
      <c r="M246" s="58">
        <v>1231.4000000000001</v>
      </c>
      <c r="N246" s="58">
        <v>369.4</v>
      </c>
      <c r="O246" s="47">
        <f t="shared" si="63"/>
        <v>0.3</v>
      </c>
      <c r="P246" s="47">
        <f t="shared" si="64"/>
        <v>0.3</v>
      </c>
      <c r="Q246" s="47">
        <f t="shared" si="65"/>
        <v>1231.4000000000001</v>
      </c>
      <c r="R246" s="47">
        <f t="shared" si="66"/>
        <v>1231.4000000000001</v>
      </c>
      <c r="S246" s="47">
        <f t="shared" si="69"/>
        <v>0.3</v>
      </c>
      <c r="T246" s="47">
        <f t="shared" si="70"/>
        <v>0.3</v>
      </c>
      <c r="U246" s="47">
        <f t="shared" si="67"/>
        <v>369.4</v>
      </c>
      <c r="V246" s="47">
        <f t="shared" si="68"/>
        <v>369.4</v>
      </c>
      <c r="W246" s="98">
        <f t="shared" si="71"/>
        <v>369.4</v>
      </c>
      <c r="X246" s="98">
        <f t="shared" si="72"/>
        <v>0.3</v>
      </c>
      <c r="AB246" s="42" t="s">
        <v>187</v>
      </c>
      <c r="BG246"/>
      <c r="BH246"/>
      <c r="BI246"/>
      <c r="BJ246"/>
      <c r="BK246"/>
      <c r="BL246"/>
      <c r="BM246"/>
      <c r="BN246"/>
      <c r="BO246"/>
      <c r="BP246"/>
      <c r="BQ246"/>
      <c r="BR246"/>
      <c r="BS246"/>
    </row>
    <row r="247" spans="1:71" ht="16.5" x14ac:dyDescent="0.3">
      <c r="A247" s="38" t="s">
        <v>281</v>
      </c>
      <c r="B247" s="36">
        <v>245</v>
      </c>
      <c r="C247" s="71" t="str">
        <f t="shared" ca="1" si="59"/>
        <v>10년~5년 사이</v>
      </c>
      <c r="D247" s="79">
        <v>43328</v>
      </c>
      <c r="E247" s="72" t="str">
        <f t="shared" si="60"/>
        <v/>
      </c>
      <c r="F247" s="8" t="s">
        <v>1</v>
      </c>
      <c r="G247" s="59" t="s">
        <v>68</v>
      </c>
      <c r="H247" s="59" t="s">
        <v>75</v>
      </c>
      <c r="I247" s="41" t="s">
        <v>567</v>
      </c>
      <c r="J247" s="81" t="s">
        <v>4</v>
      </c>
      <c r="K247" s="75" t="s">
        <v>187</v>
      </c>
      <c r="L247" s="76">
        <v>0.65</v>
      </c>
      <c r="M247" s="58">
        <v>149.9</v>
      </c>
      <c r="N247" s="58">
        <v>97.4</v>
      </c>
      <c r="O247" s="47">
        <f t="shared" si="63"/>
        <v>0.65</v>
      </c>
      <c r="P247" s="47" t="str">
        <f t="shared" si="64"/>
        <v/>
      </c>
      <c r="Q247" s="47">
        <f t="shared" si="65"/>
        <v>149.9</v>
      </c>
      <c r="R247" s="47" t="str">
        <f t="shared" si="66"/>
        <v/>
      </c>
      <c r="S247" s="47" t="str">
        <f t="shared" si="69"/>
        <v/>
      </c>
      <c r="T247" s="47" t="str">
        <f t="shared" si="70"/>
        <v/>
      </c>
      <c r="U247" s="47" t="str">
        <f t="shared" si="67"/>
        <v/>
      </c>
      <c r="V247" s="47" t="str">
        <f t="shared" si="68"/>
        <v/>
      </c>
      <c r="W247" s="98">
        <f t="shared" si="71"/>
        <v>97.4</v>
      </c>
      <c r="X247" s="98">
        <f t="shared" si="72"/>
        <v>0.65</v>
      </c>
      <c r="AB247" s="42" t="s">
        <v>187</v>
      </c>
      <c r="BG247"/>
      <c r="BH247"/>
      <c r="BI247"/>
      <c r="BJ247"/>
      <c r="BK247"/>
      <c r="BL247"/>
      <c r="BM247"/>
      <c r="BN247"/>
      <c r="BO247"/>
      <c r="BP247"/>
      <c r="BQ247"/>
      <c r="BR247"/>
      <c r="BS247"/>
    </row>
    <row r="248" spans="1:71" ht="16.5" x14ac:dyDescent="0.3">
      <c r="A248" s="38" t="s">
        <v>281</v>
      </c>
      <c r="B248" s="36">
        <v>246</v>
      </c>
      <c r="C248" s="71" t="str">
        <f t="shared" ca="1" si="59"/>
        <v>10년~5년 사이</v>
      </c>
      <c r="D248" s="79">
        <v>43328</v>
      </c>
      <c r="E248" s="72">
        <f t="shared" si="60"/>
        <v>2</v>
      </c>
      <c r="F248" s="8" t="s">
        <v>1</v>
      </c>
      <c r="G248" s="59" t="s">
        <v>491</v>
      </c>
      <c r="H248" s="59" t="s">
        <v>492</v>
      </c>
      <c r="I248" s="80" t="s">
        <v>775</v>
      </c>
      <c r="J248" s="81" t="s">
        <v>4</v>
      </c>
      <c r="K248" s="75" t="s">
        <v>187</v>
      </c>
      <c r="L248" s="76">
        <v>0.7</v>
      </c>
      <c r="M248" s="58">
        <v>983</v>
      </c>
      <c r="N248" s="58">
        <v>688.1</v>
      </c>
      <c r="O248" s="47">
        <f t="shared" si="63"/>
        <v>0.7</v>
      </c>
      <c r="P248" s="47">
        <f t="shared" si="64"/>
        <v>0.7</v>
      </c>
      <c r="Q248" s="47">
        <f t="shared" si="65"/>
        <v>983</v>
      </c>
      <c r="R248" s="47">
        <f t="shared" si="66"/>
        <v>983</v>
      </c>
      <c r="S248" s="47">
        <f t="shared" si="69"/>
        <v>0.7</v>
      </c>
      <c r="T248" s="47">
        <f t="shared" si="70"/>
        <v>0.7</v>
      </c>
      <c r="U248" s="47">
        <f t="shared" si="67"/>
        <v>688.1</v>
      </c>
      <c r="V248" s="47">
        <f t="shared" si="68"/>
        <v>688.1</v>
      </c>
      <c r="W248" s="98">
        <f t="shared" si="71"/>
        <v>688.1</v>
      </c>
      <c r="X248" s="98">
        <f t="shared" si="72"/>
        <v>0.7</v>
      </c>
      <c r="AB248" s="42" t="s">
        <v>187</v>
      </c>
      <c r="AE248" s="42" t="s">
        <v>24</v>
      </c>
      <c r="BG248"/>
      <c r="BH248"/>
      <c r="BI248"/>
      <c r="BJ248"/>
      <c r="BK248"/>
      <c r="BL248"/>
      <c r="BM248"/>
      <c r="BN248"/>
      <c r="BO248"/>
      <c r="BP248"/>
      <c r="BQ248"/>
      <c r="BR248"/>
      <c r="BS248"/>
    </row>
    <row r="249" spans="1:71" ht="16.5" x14ac:dyDescent="0.3">
      <c r="A249" s="38" t="s">
        <v>281</v>
      </c>
      <c r="B249" s="36">
        <v>247</v>
      </c>
      <c r="C249" s="71" t="str">
        <f t="shared" ca="1" si="59"/>
        <v>10년~5년 사이</v>
      </c>
      <c r="D249" s="79">
        <v>43359</v>
      </c>
      <c r="E249" s="72">
        <f t="shared" si="60"/>
        <v>2</v>
      </c>
      <c r="F249" s="8" t="s">
        <v>1</v>
      </c>
      <c r="G249" s="59" t="s">
        <v>17</v>
      </c>
      <c r="H249" s="59" t="s">
        <v>751</v>
      </c>
      <c r="I249" s="80" t="s">
        <v>752</v>
      </c>
      <c r="J249" s="81" t="s">
        <v>4</v>
      </c>
      <c r="K249" s="75" t="s">
        <v>187</v>
      </c>
      <c r="L249" s="76">
        <v>0.45</v>
      </c>
      <c r="M249" s="58">
        <v>644.1</v>
      </c>
      <c r="N249" s="58">
        <v>289.8</v>
      </c>
      <c r="O249" s="47">
        <f t="shared" si="63"/>
        <v>0.45</v>
      </c>
      <c r="P249" s="47">
        <f t="shared" si="64"/>
        <v>0.45</v>
      </c>
      <c r="Q249" s="47">
        <f t="shared" si="65"/>
        <v>644.1</v>
      </c>
      <c r="R249" s="47">
        <f t="shared" si="66"/>
        <v>644.1</v>
      </c>
      <c r="S249" s="47">
        <f t="shared" si="69"/>
        <v>0.45</v>
      </c>
      <c r="T249" s="47">
        <f t="shared" si="70"/>
        <v>0.45</v>
      </c>
      <c r="U249" s="47">
        <f t="shared" si="67"/>
        <v>289.8</v>
      </c>
      <c r="V249" s="47">
        <f t="shared" si="68"/>
        <v>289.8</v>
      </c>
      <c r="W249" s="98">
        <f t="shared" si="71"/>
        <v>289.8</v>
      </c>
      <c r="X249" s="98">
        <f t="shared" si="72"/>
        <v>0.45</v>
      </c>
      <c r="AB249" s="42" t="s">
        <v>187</v>
      </c>
      <c r="AE249" s="42" t="s">
        <v>24</v>
      </c>
      <c r="BG249"/>
      <c r="BH249"/>
      <c r="BI249"/>
      <c r="BJ249"/>
      <c r="BK249"/>
      <c r="BL249"/>
      <c r="BM249"/>
      <c r="BN249"/>
      <c r="BO249"/>
      <c r="BP249"/>
      <c r="BQ249"/>
      <c r="BR249"/>
      <c r="BS249"/>
    </row>
    <row r="250" spans="1:71" ht="16.5" x14ac:dyDescent="0.3">
      <c r="A250" s="38" t="s">
        <v>281</v>
      </c>
      <c r="B250" s="36">
        <v>248</v>
      </c>
      <c r="C250" s="71" t="str">
        <f t="shared" ca="1" si="59"/>
        <v>10년~5년 사이</v>
      </c>
      <c r="D250" s="79">
        <v>43366</v>
      </c>
      <c r="E250" s="72">
        <f t="shared" si="60"/>
        <v>1</v>
      </c>
      <c r="F250" s="8" t="s">
        <v>1</v>
      </c>
      <c r="G250" s="59" t="s">
        <v>491</v>
      </c>
      <c r="H250" s="59" t="s">
        <v>604</v>
      </c>
      <c r="I250" s="80" t="s">
        <v>605</v>
      </c>
      <c r="J250" s="81" t="s">
        <v>4</v>
      </c>
      <c r="K250" s="75" t="s">
        <v>187</v>
      </c>
      <c r="L250" s="76">
        <v>1</v>
      </c>
      <c r="M250" s="58">
        <v>166.6</v>
      </c>
      <c r="N250" s="58">
        <v>166.6</v>
      </c>
      <c r="O250" s="47">
        <f t="shared" si="63"/>
        <v>1</v>
      </c>
      <c r="P250" s="47" t="str">
        <f t="shared" si="64"/>
        <v/>
      </c>
      <c r="Q250" s="47">
        <f t="shared" si="65"/>
        <v>166.6</v>
      </c>
      <c r="R250" s="47" t="str">
        <f t="shared" si="66"/>
        <v/>
      </c>
      <c r="S250" s="47">
        <f t="shared" si="69"/>
        <v>1</v>
      </c>
      <c r="T250" s="47" t="str">
        <f t="shared" si="70"/>
        <v/>
      </c>
      <c r="U250" s="47">
        <f t="shared" si="67"/>
        <v>166.6</v>
      </c>
      <c r="V250" s="47" t="str">
        <f t="shared" si="68"/>
        <v/>
      </c>
      <c r="W250" s="98">
        <f t="shared" si="71"/>
        <v>166.6</v>
      </c>
      <c r="X250" s="98">
        <f t="shared" si="72"/>
        <v>1</v>
      </c>
      <c r="AB250" s="42" t="s">
        <v>187</v>
      </c>
      <c r="BG250"/>
      <c r="BH250"/>
      <c r="BI250"/>
      <c r="BJ250"/>
      <c r="BK250"/>
      <c r="BL250"/>
      <c r="BM250"/>
      <c r="BN250"/>
      <c r="BO250"/>
      <c r="BP250"/>
      <c r="BQ250"/>
      <c r="BR250"/>
      <c r="BS250"/>
    </row>
    <row r="251" spans="1:71" ht="16.5" x14ac:dyDescent="0.3">
      <c r="A251" s="38" t="s">
        <v>281</v>
      </c>
      <c r="B251" s="36">
        <v>249</v>
      </c>
      <c r="C251" s="71" t="str">
        <f t="shared" ca="1" si="59"/>
        <v>10년~5년 사이</v>
      </c>
      <c r="D251" s="79">
        <v>43366</v>
      </c>
      <c r="E251" s="72">
        <f t="shared" si="60"/>
        <v>1</v>
      </c>
      <c r="F251" s="8" t="s">
        <v>1</v>
      </c>
      <c r="G251" s="59" t="s">
        <v>491</v>
      </c>
      <c r="H251" s="59" t="s">
        <v>492</v>
      </c>
      <c r="I251" s="80" t="s">
        <v>605</v>
      </c>
      <c r="J251" s="81" t="s">
        <v>4</v>
      </c>
      <c r="K251" s="75" t="s">
        <v>187</v>
      </c>
      <c r="L251" s="76">
        <v>1</v>
      </c>
      <c r="M251" s="58">
        <v>166.6</v>
      </c>
      <c r="N251" s="58">
        <v>166.6</v>
      </c>
      <c r="O251" s="47">
        <f t="shared" si="63"/>
        <v>1</v>
      </c>
      <c r="P251" s="47" t="str">
        <f t="shared" si="64"/>
        <v/>
      </c>
      <c r="Q251" s="47">
        <f t="shared" si="65"/>
        <v>166.6</v>
      </c>
      <c r="R251" s="47" t="str">
        <f t="shared" si="66"/>
        <v/>
      </c>
      <c r="S251" s="47">
        <f t="shared" si="69"/>
        <v>1</v>
      </c>
      <c r="T251" s="47" t="str">
        <f t="shared" si="70"/>
        <v/>
      </c>
      <c r="U251" s="47">
        <f t="shared" si="67"/>
        <v>166.6</v>
      </c>
      <c r="V251" s="47" t="str">
        <f t="shared" si="68"/>
        <v/>
      </c>
      <c r="W251" s="98">
        <f t="shared" ref="W251" si="73">N251</f>
        <v>166.6</v>
      </c>
      <c r="X251" s="98">
        <f t="shared" ref="X251" si="74">IF(W251&gt;0,L251,"")</f>
        <v>1</v>
      </c>
      <c r="AB251" s="42" t="s">
        <v>187</v>
      </c>
      <c r="BG251"/>
      <c r="BH251"/>
      <c r="BI251"/>
      <c r="BJ251"/>
      <c r="BK251"/>
      <c r="BL251"/>
      <c r="BM251"/>
      <c r="BN251"/>
      <c r="BO251"/>
      <c r="BP251"/>
      <c r="BQ251"/>
      <c r="BR251"/>
      <c r="BS251"/>
    </row>
    <row r="252" spans="1:71" ht="16.5" x14ac:dyDescent="0.3">
      <c r="A252" s="38" t="s">
        <v>281</v>
      </c>
      <c r="B252" s="36">
        <v>250</v>
      </c>
      <c r="C252" s="71" t="str">
        <f t="shared" ca="1" si="59"/>
        <v>10년~5년 사이</v>
      </c>
      <c r="D252" s="79">
        <v>43366</v>
      </c>
      <c r="E252" s="72">
        <f t="shared" si="60"/>
        <v>1</v>
      </c>
      <c r="F252" s="8" t="s">
        <v>1</v>
      </c>
      <c r="G252" s="59" t="s">
        <v>606</v>
      </c>
      <c r="H252" s="59" t="s">
        <v>607</v>
      </c>
      <c r="I252" s="80" t="s">
        <v>605</v>
      </c>
      <c r="J252" s="81" t="s">
        <v>4</v>
      </c>
      <c r="K252" s="75" t="s">
        <v>187</v>
      </c>
      <c r="L252" s="76">
        <v>1</v>
      </c>
      <c r="M252" s="58">
        <v>166.6</v>
      </c>
      <c r="N252" s="58">
        <v>166.6</v>
      </c>
      <c r="O252" s="47">
        <f t="shared" si="63"/>
        <v>1</v>
      </c>
      <c r="P252" s="47" t="str">
        <f t="shared" si="64"/>
        <v/>
      </c>
      <c r="Q252" s="47">
        <f t="shared" si="65"/>
        <v>166.6</v>
      </c>
      <c r="R252" s="47" t="str">
        <f t="shared" si="66"/>
        <v/>
      </c>
      <c r="S252" s="47">
        <f t="shared" si="69"/>
        <v>1</v>
      </c>
      <c r="T252" s="47" t="str">
        <f t="shared" si="70"/>
        <v/>
      </c>
      <c r="U252" s="47">
        <f t="shared" si="67"/>
        <v>166.6</v>
      </c>
      <c r="V252" s="47" t="str">
        <f t="shared" si="68"/>
        <v/>
      </c>
      <c r="W252" s="98">
        <f t="shared" ref="W252" si="75">N252</f>
        <v>166.6</v>
      </c>
      <c r="X252" s="98">
        <f t="shared" ref="X252" si="76">IF(W252&gt;0,L252,"")</f>
        <v>1</v>
      </c>
      <c r="AB252" s="42" t="s">
        <v>187</v>
      </c>
      <c r="BG252"/>
      <c r="BH252"/>
      <c r="BI252"/>
      <c r="BJ252"/>
      <c r="BK252"/>
      <c r="BL252"/>
      <c r="BM252"/>
      <c r="BN252"/>
      <c r="BO252"/>
      <c r="BP252"/>
      <c r="BQ252"/>
      <c r="BR252"/>
      <c r="BS252"/>
    </row>
    <row r="253" spans="1:71" ht="16.5" x14ac:dyDescent="0.3">
      <c r="A253" s="38" t="s">
        <v>281</v>
      </c>
      <c r="B253" s="36">
        <v>251</v>
      </c>
      <c r="C253" s="71" t="str">
        <f t="shared" ca="1" si="59"/>
        <v>10년~5년 사이</v>
      </c>
      <c r="D253" s="79">
        <v>43387</v>
      </c>
      <c r="E253" s="72">
        <f t="shared" si="60"/>
        <v>1</v>
      </c>
      <c r="F253" s="8" t="s">
        <v>1</v>
      </c>
      <c r="G253" s="59" t="s">
        <v>97</v>
      </c>
      <c r="H253" s="59" t="s">
        <v>98</v>
      </c>
      <c r="I253" s="41" t="s">
        <v>566</v>
      </c>
      <c r="J253" s="81" t="s">
        <v>4</v>
      </c>
      <c r="K253" s="75" t="s">
        <v>187</v>
      </c>
      <c r="L253" s="76">
        <v>1</v>
      </c>
      <c r="M253" s="58">
        <v>143.5</v>
      </c>
      <c r="N253" s="58">
        <v>143.5</v>
      </c>
      <c r="O253" s="47">
        <f t="shared" si="63"/>
        <v>1</v>
      </c>
      <c r="P253" s="47" t="str">
        <f t="shared" si="64"/>
        <v/>
      </c>
      <c r="Q253" s="47">
        <f t="shared" si="65"/>
        <v>143.5</v>
      </c>
      <c r="R253" s="47" t="str">
        <f t="shared" si="66"/>
        <v/>
      </c>
      <c r="S253" s="47">
        <f t="shared" si="69"/>
        <v>1</v>
      </c>
      <c r="T253" s="47" t="str">
        <f t="shared" si="70"/>
        <v/>
      </c>
      <c r="U253" s="47">
        <f t="shared" si="67"/>
        <v>143.5</v>
      </c>
      <c r="V253" s="47" t="str">
        <f t="shared" si="68"/>
        <v/>
      </c>
      <c r="W253" s="98">
        <f t="shared" ref="W253:W266" si="77">N253</f>
        <v>143.5</v>
      </c>
      <c r="X253" s="98">
        <f t="shared" ref="X253:X266" si="78">IF(W253&gt;0,L253,"")</f>
        <v>1</v>
      </c>
      <c r="AB253" s="42" t="s">
        <v>187</v>
      </c>
      <c r="BG253"/>
      <c r="BH253"/>
      <c r="BI253"/>
      <c r="BJ253"/>
      <c r="BK253"/>
      <c r="BL253"/>
      <c r="BM253"/>
      <c r="BN253"/>
      <c r="BO253"/>
      <c r="BP253"/>
      <c r="BQ253"/>
      <c r="BR253"/>
      <c r="BS253"/>
    </row>
    <row r="254" spans="1:71" ht="16.5" x14ac:dyDescent="0.3">
      <c r="A254" s="38" t="s">
        <v>281</v>
      </c>
      <c r="B254" s="36">
        <v>252</v>
      </c>
      <c r="C254" s="71" t="str">
        <f t="shared" ca="1" si="59"/>
        <v>10년~5년 사이</v>
      </c>
      <c r="D254" s="79">
        <v>43404</v>
      </c>
      <c r="E254" s="72">
        <f t="shared" si="60"/>
        <v>2</v>
      </c>
      <c r="F254" s="8" t="s">
        <v>1</v>
      </c>
      <c r="G254" s="59" t="s">
        <v>783</v>
      </c>
      <c r="H254" s="59" t="s">
        <v>784</v>
      </c>
      <c r="I254" s="80" t="s">
        <v>785</v>
      </c>
      <c r="J254" s="81" t="s">
        <v>4</v>
      </c>
      <c r="K254" s="75" t="s">
        <v>187</v>
      </c>
      <c r="L254" s="76">
        <v>0.69589999999999996</v>
      </c>
      <c r="M254" s="58">
        <v>397.9</v>
      </c>
      <c r="N254" s="58">
        <v>206.8</v>
      </c>
      <c r="O254" s="47">
        <f t="shared" si="63"/>
        <v>0.69589999999999996</v>
      </c>
      <c r="P254" s="47">
        <f t="shared" si="64"/>
        <v>0.69589999999999996</v>
      </c>
      <c r="Q254" s="47">
        <f t="shared" si="65"/>
        <v>397.9</v>
      </c>
      <c r="R254" s="47">
        <f t="shared" si="66"/>
        <v>397.9</v>
      </c>
      <c r="S254" s="47">
        <f t="shared" si="69"/>
        <v>0.69589999999999996</v>
      </c>
      <c r="T254" s="47">
        <f t="shared" si="70"/>
        <v>0.69589999999999996</v>
      </c>
      <c r="U254" s="47">
        <f t="shared" si="67"/>
        <v>206.8</v>
      </c>
      <c r="V254" s="47">
        <f t="shared" si="68"/>
        <v>206.8</v>
      </c>
      <c r="W254" s="98">
        <f t="shared" si="77"/>
        <v>206.8</v>
      </c>
      <c r="X254" s="98">
        <f t="shared" si="78"/>
        <v>0.69589999999999996</v>
      </c>
      <c r="AB254" s="42" t="s">
        <v>187</v>
      </c>
      <c r="AE254" s="42" t="s">
        <v>24</v>
      </c>
      <c r="BG254"/>
      <c r="BH254"/>
      <c r="BI254"/>
      <c r="BJ254"/>
      <c r="BK254"/>
      <c r="BL254"/>
      <c r="BM254"/>
      <c r="BN254"/>
      <c r="BO254"/>
      <c r="BP254"/>
      <c r="BQ254"/>
      <c r="BR254"/>
      <c r="BS254"/>
    </row>
    <row r="255" spans="1:71" ht="16.5" x14ac:dyDescent="0.3">
      <c r="A255" s="38" t="s">
        <v>281</v>
      </c>
      <c r="B255" s="36">
        <v>253</v>
      </c>
      <c r="C255" s="71" t="str">
        <f t="shared" ref="C255:C318" ca="1" si="79">IF(TODAY()-10*365&gt;D255,"10년 초과",IF(TODAY()-5*365&gt;D255,"10년~5년 사이","5년 이내"))</f>
        <v>10년~5년 사이</v>
      </c>
      <c r="D255" s="79">
        <v>43437</v>
      </c>
      <c r="E255" s="72">
        <f t="shared" ref="E255:E318" si="80">IF((N255&gt;200),2,IF(N255&gt;100,1,IF((N255&lt;99.9),"")))</f>
        <v>1</v>
      </c>
      <c r="F255" s="8" t="s">
        <v>1</v>
      </c>
      <c r="G255" s="59" t="s">
        <v>68</v>
      </c>
      <c r="H255" s="59" t="s">
        <v>588</v>
      </c>
      <c r="I255" s="80" t="s">
        <v>815</v>
      </c>
      <c r="J255" s="81" t="s">
        <v>4</v>
      </c>
      <c r="K255" s="75" t="s">
        <v>187</v>
      </c>
      <c r="L255" s="76">
        <v>0.7</v>
      </c>
      <c r="M255" s="58">
        <v>251.8</v>
      </c>
      <c r="N255" s="58">
        <v>176.2</v>
      </c>
      <c r="O255" s="47">
        <f t="shared" si="63"/>
        <v>0.7</v>
      </c>
      <c r="P255" s="47">
        <f t="shared" si="64"/>
        <v>0.7</v>
      </c>
      <c r="Q255" s="47">
        <f t="shared" si="65"/>
        <v>251.8</v>
      </c>
      <c r="R255" s="47">
        <f t="shared" si="66"/>
        <v>251.8</v>
      </c>
      <c r="S255" s="47">
        <f t="shared" si="69"/>
        <v>0.7</v>
      </c>
      <c r="T255" s="47" t="str">
        <f t="shared" si="70"/>
        <v/>
      </c>
      <c r="U255" s="47">
        <f t="shared" si="67"/>
        <v>176.2</v>
      </c>
      <c r="V255" s="47" t="str">
        <f t="shared" si="68"/>
        <v/>
      </c>
      <c r="W255" s="98">
        <f t="shared" si="77"/>
        <v>176.2</v>
      </c>
      <c r="X255" s="98">
        <f t="shared" si="78"/>
        <v>0.7</v>
      </c>
      <c r="AB255" s="42" t="s">
        <v>187</v>
      </c>
      <c r="BG255"/>
      <c r="BH255"/>
      <c r="BI255"/>
      <c r="BJ255"/>
      <c r="BK255"/>
      <c r="BL255"/>
      <c r="BM255"/>
      <c r="BN255"/>
      <c r="BO255"/>
      <c r="BP255"/>
      <c r="BQ255"/>
      <c r="BR255"/>
      <c r="BS255"/>
    </row>
    <row r="256" spans="1:71" ht="16.5" x14ac:dyDescent="0.3">
      <c r="A256" s="38" t="s">
        <v>281</v>
      </c>
      <c r="B256" s="36">
        <v>254</v>
      </c>
      <c r="C256" s="71" t="str">
        <f t="shared" ca="1" si="79"/>
        <v>10년~5년 사이</v>
      </c>
      <c r="D256" s="79">
        <v>43437</v>
      </c>
      <c r="E256" s="72">
        <f t="shared" si="80"/>
        <v>1</v>
      </c>
      <c r="F256" s="8" t="s">
        <v>1</v>
      </c>
      <c r="G256" s="59" t="s">
        <v>85</v>
      </c>
      <c r="H256" s="59" t="s">
        <v>816</v>
      </c>
      <c r="I256" s="80" t="s">
        <v>817</v>
      </c>
      <c r="J256" s="81" t="s">
        <v>4</v>
      </c>
      <c r="K256" s="75" t="s">
        <v>187</v>
      </c>
      <c r="L256" s="76">
        <v>0.7</v>
      </c>
      <c r="M256" s="58">
        <v>251.8</v>
      </c>
      <c r="N256" s="58">
        <v>176.2</v>
      </c>
      <c r="O256" s="47">
        <f t="shared" si="63"/>
        <v>0.7</v>
      </c>
      <c r="P256" s="47">
        <f t="shared" si="64"/>
        <v>0.7</v>
      </c>
      <c r="Q256" s="47">
        <f t="shared" si="65"/>
        <v>251.8</v>
      </c>
      <c r="R256" s="47">
        <f t="shared" si="66"/>
        <v>251.8</v>
      </c>
      <c r="S256" s="47">
        <f t="shared" si="69"/>
        <v>0.7</v>
      </c>
      <c r="T256" s="47" t="str">
        <f t="shared" si="70"/>
        <v/>
      </c>
      <c r="U256" s="47">
        <f t="shared" si="67"/>
        <v>176.2</v>
      </c>
      <c r="V256" s="47" t="str">
        <f t="shared" si="68"/>
        <v/>
      </c>
      <c r="W256" s="98">
        <f t="shared" si="77"/>
        <v>176.2</v>
      </c>
      <c r="X256" s="98">
        <f t="shared" si="78"/>
        <v>0.7</v>
      </c>
      <c r="AB256" s="42" t="s">
        <v>187</v>
      </c>
      <c r="BG256"/>
      <c r="BH256"/>
      <c r="BI256"/>
      <c r="BJ256"/>
      <c r="BK256"/>
      <c r="BL256"/>
      <c r="BM256"/>
      <c r="BN256"/>
      <c r="BO256"/>
      <c r="BP256"/>
      <c r="BQ256"/>
      <c r="BR256"/>
      <c r="BS256"/>
    </row>
    <row r="257" spans="1:71" ht="16.5" x14ac:dyDescent="0.3">
      <c r="A257" s="38" t="s">
        <v>281</v>
      </c>
      <c r="B257" s="36">
        <v>255</v>
      </c>
      <c r="C257" s="71" t="str">
        <f t="shared" ca="1" si="79"/>
        <v>10년~5년 사이</v>
      </c>
      <c r="D257" s="79">
        <v>43445</v>
      </c>
      <c r="E257" s="72" t="str">
        <f t="shared" si="80"/>
        <v/>
      </c>
      <c r="F257" s="8" t="s">
        <v>1</v>
      </c>
      <c r="G257" s="59" t="s">
        <v>619</v>
      </c>
      <c r="H257" s="59" t="s">
        <v>620</v>
      </c>
      <c r="I257" s="80" t="s">
        <v>621</v>
      </c>
      <c r="J257" s="81" t="s">
        <v>4</v>
      </c>
      <c r="K257" s="75" t="s">
        <v>187</v>
      </c>
      <c r="L257" s="76">
        <v>1</v>
      </c>
      <c r="M257" s="58">
        <v>18.399999999999999</v>
      </c>
      <c r="N257" s="58">
        <v>18.399999999999999</v>
      </c>
      <c r="O257" s="47" t="str">
        <f t="shared" si="63"/>
        <v/>
      </c>
      <c r="P257" s="47" t="str">
        <f t="shared" si="64"/>
        <v/>
      </c>
      <c r="Q257" s="47" t="str">
        <f t="shared" si="65"/>
        <v/>
      </c>
      <c r="R257" s="47" t="str">
        <f t="shared" si="66"/>
        <v/>
      </c>
      <c r="S257" s="47" t="str">
        <f t="shared" si="69"/>
        <v/>
      </c>
      <c r="T257" s="47" t="str">
        <f t="shared" si="70"/>
        <v/>
      </c>
      <c r="U257" s="47" t="str">
        <f t="shared" si="67"/>
        <v/>
      </c>
      <c r="V257" s="47" t="str">
        <f t="shared" si="68"/>
        <v/>
      </c>
      <c r="W257" s="98">
        <f t="shared" si="77"/>
        <v>18.399999999999999</v>
      </c>
      <c r="X257" s="98">
        <f t="shared" si="78"/>
        <v>1</v>
      </c>
      <c r="AB257" s="42" t="s">
        <v>187</v>
      </c>
      <c r="BG257"/>
      <c r="BH257"/>
      <c r="BI257"/>
      <c r="BJ257"/>
      <c r="BK257"/>
      <c r="BL257"/>
      <c r="BM257"/>
      <c r="BN257"/>
      <c r="BO257"/>
      <c r="BP257"/>
      <c r="BQ257"/>
      <c r="BR257"/>
      <c r="BS257"/>
    </row>
    <row r="258" spans="1:71" ht="16.5" x14ac:dyDescent="0.3">
      <c r="A258" s="38" t="s">
        <v>281</v>
      </c>
      <c r="B258" s="36">
        <v>256</v>
      </c>
      <c r="C258" s="71" t="str">
        <f t="shared" ca="1" si="79"/>
        <v>10년~5년 사이</v>
      </c>
      <c r="D258" s="79">
        <v>43445</v>
      </c>
      <c r="E258" s="72" t="str">
        <f t="shared" si="80"/>
        <v/>
      </c>
      <c r="F258" s="8" t="s">
        <v>1</v>
      </c>
      <c r="G258" s="59" t="s">
        <v>619</v>
      </c>
      <c r="H258" s="59" t="s">
        <v>620</v>
      </c>
      <c r="I258" s="80" t="s">
        <v>622</v>
      </c>
      <c r="J258" s="81" t="s">
        <v>4</v>
      </c>
      <c r="K258" s="75" t="s">
        <v>187</v>
      </c>
      <c r="L258" s="76">
        <v>1</v>
      </c>
      <c r="M258" s="58">
        <v>18.399999999999999</v>
      </c>
      <c r="N258" s="58">
        <v>18.399999999999999</v>
      </c>
      <c r="O258" s="47" t="str">
        <f t="shared" si="63"/>
        <v/>
      </c>
      <c r="P258" s="47" t="str">
        <f t="shared" si="64"/>
        <v/>
      </c>
      <c r="Q258" s="47" t="str">
        <f t="shared" si="65"/>
        <v/>
      </c>
      <c r="R258" s="47" t="str">
        <f t="shared" si="66"/>
        <v/>
      </c>
      <c r="S258" s="47" t="str">
        <f t="shared" si="69"/>
        <v/>
      </c>
      <c r="T258" s="47" t="str">
        <f t="shared" si="70"/>
        <v/>
      </c>
      <c r="U258" s="47" t="str">
        <f t="shared" si="67"/>
        <v/>
      </c>
      <c r="V258" s="47" t="str">
        <f t="shared" si="68"/>
        <v/>
      </c>
      <c r="W258" s="98">
        <f t="shared" si="77"/>
        <v>18.399999999999999</v>
      </c>
      <c r="X258" s="98">
        <f t="shared" si="78"/>
        <v>1</v>
      </c>
      <c r="AB258" s="42" t="s">
        <v>187</v>
      </c>
      <c r="BG258"/>
      <c r="BH258"/>
      <c r="BI258"/>
      <c r="BJ258"/>
      <c r="BK258"/>
      <c r="BL258"/>
      <c r="BM258"/>
      <c r="BN258"/>
      <c r="BO258"/>
      <c r="BP258"/>
      <c r="BQ258"/>
      <c r="BR258"/>
      <c r="BS258"/>
    </row>
    <row r="259" spans="1:71" ht="16.5" x14ac:dyDescent="0.3">
      <c r="A259" s="38" t="s">
        <v>281</v>
      </c>
      <c r="B259" s="36">
        <v>257</v>
      </c>
      <c r="C259" s="71" t="str">
        <f t="shared" ca="1" si="79"/>
        <v>10년~5년 사이</v>
      </c>
      <c r="D259" s="79">
        <v>43445</v>
      </c>
      <c r="E259" s="72">
        <f t="shared" si="80"/>
        <v>1</v>
      </c>
      <c r="F259" s="8" t="s">
        <v>1</v>
      </c>
      <c r="G259" s="59" t="s">
        <v>17</v>
      </c>
      <c r="H259" s="66" t="s">
        <v>441</v>
      </c>
      <c r="I259" s="80" t="s">
        <v>793</v>
      </c>
      <c r="J259" s="81" t="s">
        <v>4</v>
      </c>
      <c r="K259" s="75" t="s">
        <v>187</v>
      </c>
      <c r="L259" s="76">
        <v>0.45</v>
      </c>
      <c r="M259" s="58">
        <v>395.1</v>
      </c>
      <c r="N259" s="58">
        <v>158.80000000000001</v>
      </c>
      <c r="O259" s="47">
        <f t="shared" si="63"/>
        <v>0.45</v>
      </c>
      <c r="P259" s="47">
        <f t="shared" si="64"/>
        <v>0.45</v>
      </c>
      <c r="Q259" s="47">
        <f t="shared" si="65"/>
        <v>395.1</v>
      </c>
      <c r="R259" s="47">
        <f t="shared" si="66"/>
        <v>395.1</v>
      </c>
      <c r="S259" s="47">
        <f t="shared" si="69"/>
        <v>0.45</v>
      </c>
      <c r="T259" s="47" t="str">
        <f t="shared" si="70"/>
        <v/>
      </c>
      <c r="U259" s="47">
        <f t="shared" si="67"/>
        <v>158.80000000000001</v>
      </c>
      <c r="V259" s="47" t="str">
        <f t="shared" si="68"/>
        <v/>
      </c>
      <c r="W259" s="98">
        <f t="shared" si="77"/>
        <v>158.80000000000001</v>
      </c>
      <c r="X259" s="98">
        <f t="shared" si="78"/>
        <v>0.45</v>
      </c>
      <c r="AB259" s="42" t="s">
        <v>187</v>
      </c>
      <c r="AE259" s="42" t="s">
        <v>24</v>
      </c>
      <c r="BG259"/>
      <c r="BH259"/>
      <c r="BI259"/>
      <c r="BJ259"/>
      <c r="BK259"/>
      <c r="BL259"/>
      <c r="BM259"/>
      <c r="BN259"/>
      <c r="BO259"/>
      <c r="BP259"/>
      <c r="BQ259"/>
      <c r="BR259"/>
      <c r="BS259"/>
    </row>
    <row r="260" spans="1:71" ht="16.5" x14ac:dyDescent="0.3">
      <c r="A260" s="38" t="s">
        <v>281</v>
      </c>
      <c r="B260" s="36">
        <v>258</v>
      </c>
      <c r="C260" s="71" t="str">
        <f t="shared" ca="1" si="79"/>
        <v>10년~5년 사이</v>
      </c>
      <c r="D260" s="79">
        <v>43451</v>
      </c>
      <c r="E260" s="72">
        <f t="shared" si="80"/>
        <v>1</v>
      </c>
      <c r="F260" s="8" t="s">
        <v>1</v>
      </c>
      <c r="G260" s="59" t="s">
        <v>297</v>
      </c>
      <c r="H260" s="59" t="s">
        <v>764</v>
      </c>
      <c r="I260" s="80" t="s">
        <v>765</v>
      </c>
      <c r="J260" s="81" t="s">
        <v>4</v>
      </c>
      <c r="K260" s="75" t="s">
        <v>187</v>
      </c>
      <c r="L260" s="76">
        <v>1</v>
      </c>
      <c r="M260" s="58">
        <v>169.6</v>
      </c>
      <c r="N260" s="58">
        <v>169.6</v>
      </c>
      <c r="O260" s="47">
        <f t="shared" si="63"/>
        <v>1</v>
      </c>
      <c r="P260" s="47" t="str">
        <f t="shared" si="64"/>
        <v/>
      </c>
      <c r="Q260" s="47">
        <f t="shared" si="65"/>
        <v>169.6</v>
      </c>
      <c r="R260" s="47" t="str">
        <f t="shared" si="66"/>
        <v/>
      </c>
      <c r="S260" s="47">
        <f t="shared" si="69"/>
        <v>1</v>
      </c>
      <c r="T260" s="47" t="str">
        <f t="shared" si="70"/>
        <v/>
      </c>
      <c r="U260" s="47">
        <f t="shared" si="67"/>
        <v>169.6</v>
      </c>
      <c r="V260" s="47" t="str">
        <f t="shared" si="68"/>
        <v/>
      </c>
      <c r="W260" s="98">
        <f t="shared" si="77"/>
        <v>169.6</v>
      </c>
      <c r="X260" s="98">
        <f t="shared" si="78"/>
        <v>1</v>
      </c>
      <c r="AB260" s="42" t="s">
        <v>187</v>
      </c>
      <c r="AE260" s="42" t="s">
        <v>24</v>
      </c>
      <c r="BG260"/>
      <c r="BH260"/>
      <c r="BI260"/>
      <c r="BJ260"/>
      <c r="BK260"/>
      <c r="BL260"/>
      <c r="BM260"/>
      <c r="BN260"/>
      <c r="BO260"/>
      <c r="BP260"/>
      <c r="BQ260"/>
      <c r="BR260"/>
      <c r="BS260"/>
    </row>
    <row r="261" spans="1:71" ht="16.5" x14ac:dyDescent="0.3">
      <c r="A261" s="38" t="s">
        <v>281</v>
      </c>
      <c r="B261" s="36">
        <v>259</v>
      </c>
      <c r="C261" s="71" t="str">
        <f t="shared" ca="1" si="79"/>
        <v>10년~5년 사이</v>
      </c>
      <c r="D261" s="79">
        <v>43455</v>
      </c>
      <c r="E261" s="72">
        <f t="shared" si="80"/>
        <v>2</v>
      </c>
      <c r="F261" s="8" t="s">
        <v>1</v>
      </c>
      <c r="G261" s="59" t="s">
        <v>68</v>
      </c>
      <c r="H261" s="59" t="s">
        <v>473</v>
      </c>
      <c r="I261" s="80" t="s">
        <v>574</v>
      </c>
      <c r="J261" s="81" t="s">
        <v>4</v>
      </c>
      <c r="K261" s="75" t="s">
        <v>187</v>
      </c>
      <c r="L261" s="76">
        <v>1</v>
      </c>
      <c r="M261" s="58">
        <v>228.7</v>
      </c>
      <c r="N261" s="58">
        <v>228.7</v>
      </c>
      <c r="O261" s="47">
        <f t="shared" ref="O261:O324" si="81">IF(M261&gt;100,L261,"")</f>
        <v>1</v>
      </c>
      <c r="P261" s="47">
        <f t="shared" ref="P261:P324" si="82">IF(M261&gt;200,L261,"")</f>
        <v>1</v>
      </c>
      <c r="Q261" s="47">
        <f t="shared" ref="Q261:Q324" si="83">IF(M261&gt;100,M261,"")</f>
        <v>228.7</v>
      </c>
      <c r="R261" s="47">
        <f t="shared" ref="R261:R324" si="84">IF(M261&gt;200,M261,"")</f>
        <v>228.7</v>
      </c>
      <c r="S261" s="47">
        <f t="shared" si="69"/>
        <v>1</v>
      </c>
      <c r="T261" s="47">
        <f t="shared" si="70"/>
        <v>1</v>
      </c>
      <c r="U261" s="47">
        <f t="shared" ref="U261:U324" si="85">IF(N261&gt;100,N261,"")</f>
        <v>228.7</v>
      </c>
      <c r="V261" s="47">
        <f t="shared" ref="V261:V324" si="86">IF(N261&gt;200,N261,"")</f>
        <v>228.7</v>
      </c>
      <c r="W261" s="98">
        <f t="shared" si="77"/>
        <v>228.7</v>
      </c>
      <c r="X261" s="98">
        <f t="shared" si="78"/>
        <v>1</v>
      </c>
      <c r="AB261" s="42" t="s">
        <v>187</v>
      </c>
      <c r="BG261"/>
      <c r="BH261"/>
      <c r="BI261"/>
      <c r="BJ261"/>
      <c r="BK261"/>
      <c r="BL261"/>
      <c r="BM261"/>
      <c r="BN261"/>
      <c r="BO261"/>
      <c r="BP261"/>
      <c r="BQ261"/>
      <c r="BR261"/>
      <c r="BS261"/>
    </row>
    <row r="262" spans="1:71" ht="16.5" x14ac:dyDescent="0.3">
      <c r="A262" s="38" t="s">
        <v>281</v>
      </c>
      <c r="B262" s="36">
        <v>260</v>
      </c>
      <c r="C262" s="71" t="str">
        <f t="shared" ca="1" si="79"/>
        <v>10년~5년 사이</v>
      </c>
      <c r="D262" s="79">
        <v>43455</v>
      </c>
      <c r="E262" s="72">
        <f t="shared" si="80"/>
        <v>2</v>
      </c>
      <c r="F262" s="8" t="s">
        <v>1</v>
      </c>
      <c r="G262" s="59" t="s">
        <v>309</v>
      </c>
      <c r="H262" s="59" t="s">
        <v>363</v>
      </c>
      <c r="I262" s="80" t="s">
        <v>720</v>
      </c>
      <c r="J262" s="81" t="s">
        <v>4</v>
      </c>
      <c r="K262" s="75" t="s">
        <v>187</v>
      </c>
      <c r="L262" s="76">
        <v>0.76800000000000002</v>
      </c>
      <c r="M262" s="58">
        <v>968</v>
      </c>
      <c r="N262" s="58">
        <v>678.5</v>
      </c>
      <c r="O262" s="47">
        <f t="shared" si="81"/>
        <v>0.76800000000000002</v>
      </c>
      <c r="P262" s="47">
        <f t="shared" si="82"/>
        <v>0.76800000000000002</v>
      </c>
      <c r="Q262" s="47">
        <f t="shared" si="83"/>
        <v>968</v>
      </c>
      <c r="R262" s="47">
        <f t="shared" si="84"/>
        <v>968</v>
      </c>
      <c r="S262" s="47">
        <f t="shared" si="69"/>
        <v>0.76800000000000002</v>
      </c>
      <c r="T262" s="47">
        <f t="shared" si="70"/>
        <v>0.76800000000000002</v>
      </c>
      <c r="U262" s="47">
        <f t="shared" si="85"/>
        <v>678.5</v>
      </c>
      <c r="V262" s="47">
        <f t="shared" si="86"/>
        <v>678.5</v>
      </c>
      <c r="W262" s="98">
        <f t="shared" si="77"/>
        <v>678.5</v>
      </c>
      <c r="X262" s="98">
        <f t="shared" si="78"/>
        <v>0.76800000000000002</v>
      </c>
      <c r="AB262" s="42" t="s">
        <v>187</v>
      </c>
      <c r="AE262" s="42" t="s">
        <v>24</v>
      </c>
      <c r="BG262"/>
      <c r="BH262"/>
      <c r="BI262"/>
      <c r="BJ262"/>
      <c r="BK262"/>
      <c r="BL262"/>
      <c r="BM262"/>
      <c r="BN262"/>
      <c r="BO262"/>
      <c r="BP262"/>
      <c r="BQ262"/>
      <c r="BR262"/>
      <c r="BS262"/>
    </row>
    <row r="263" spans="1:71" ht="16.5" x14ac:dyDescent="0.3">
      <c r="A263" s="38" t="s">
        <v>281</v>
      </c>
      <c r="B263" s="36">
        <v>261</v>
      </c>
      <c r="C263" s="71" t="str">
        <f t="shared" ca="1" si="79"/>
        <v>10년~5년 사이</v>
      </c>
      <c r="D263" s="79">
        <v>43455</v>
      </c>
      <c r="E263" s="72">
        <f t="shared" si="80"/>
        <v>1</v>
      </c>
      <c r="F263" s="8" t="s">
        <v>1</v>
      </c>
      <c r="G263" s="59" t="s">
        <v>68</v>
      </c>
      <c r="H263" s="59" t="s">
        <v>468</v>
      </c>
      <c r="I263" s="80" t="s">
        <v>772</v>
      </c>
      <c r="J263" s="81" t="s">
        <v>4</v>
      </c>
      <c r="K263" s="75" t="s">
        <v>187</v>
      </c>
      <c r="L263" s="76">
        <v>0.6</v>
      </c>
      <c r="M263" s="58">
        <v>328.3</v>
      </c>
      <c r="N263" s="58">
        <v>196.9</v>
      </c>
      <c r="O263" s="47">
        <f t="shared" si="81"/>
        <v>0.6</v>
      </c>
      <c r="P263" s="47">
        <f t="shared" si="82"/>
        <v>0.6</v>
      </c>
      <c r="Q263" s="47">
        <f t="shared" si="83"/>
        <v>328.3</v>
      </c>
      <c r="R263" s="47">
        <f t="shared" si="84"/>
        <v>328.3</v>
      </c>
      <c r="S263" s="47">
        <f t="shared" si="69"/>
        <v>0.6</v>
      </c>
      <c r="T263" s="47" t="str">
        <f t="shared" si="70"/>
        <v/>
      </c>
      <c r="U263" s="47">
        <f t="shared" si="85"/>
        <v>196.9</v>
      </c>
      <c r="V263" s="47" t="str">
        <f t="shared" si="86"/>
        <v/>
      </c>
      <c r="W263" s="98">
        <f t="shared" si="77"/>
        <v>196.9</v>
      </c>
      <c r="X263" s="98">
        <f t="shared" si="78"/>
        <v>0.6</v>
      </c>
      <c r="AB263" s="42" t="s">
        <v>187</v>
      </c>
      <c r="AE263" s="42" t="s">
        <v>24</v>
      </c>
      <c r="BG263"/>
      <c r="BH263"/>
      <c r="BI263"/>
      <c r="BJ263"/>
      <c r="BK263"/>
      <c r="BL263"/>
      <c r="BM263"/>
      <c r="BN263"/>
      <c r="BO263"/>
      <c r="BP263"/>
      <c r="BQ263"/>
      <c r="BR263"/>
      <c r="BS263"/>
    </row>
    <row r="264" spans="1:71" ht="16.5" x14ac:dyDescent="0.3">
      <c r="A264" s="38" t="s">
        <v>281</v>
      </c>
      <c r="B264" s="36">
        <v>262</v>
      </c>
      <c r="C264" s="71" t="str">
        <f t="shared" ca="1" si="79"/>
        <v>10년~5년 사이</v>
      </c>
      <c r="D264" s="79">
        <v>43455</v>
      </c>
      <c r="E264" s="72" t="str">
        <f t="shared" si="80"/>
        <v/>
      </c>
      <c r="F264" s="8" t="s">
        <v>1</v>
      </c>
      <c r="G264" s="59" t="s">
        <v>568</v>
      </c>
      <c r="H264" s="59" t="s">
        <v>824</v>
      </c>
      <c r="I264" s="80" t="s">
        <v>825</v>
      </c>
      <c r="J264" s="81" t="s">
        <v>4</v>
      </c>
      <c r="K264" s="75" t="s">
        <v>187</v>
      </c>
      <c r="L264" s="76">
        <v>1</v>
      </c>
      <c r="M264" s="58">
        <v>90</v>
      </c>
      <c r="N264" s="58">
        <v>90</v>
      </c>
      <c r="O264" s="47" t="str">
        <f t="shared" si="81"/>
        <v/>
      </c>
      <c r="P264" s="47" t="str">
        <f t="shared" si="82"/>
        <v/>
      </c>
      <c r="Q264" s="47" t="str">
        <f t="shared" si="83"/>
        <v/>
      </c>
      <c r="R264" s="47" t="str">
        <f t="shared" si="84"/>
        <v/>
      </c>
      <c r="S264" s="47" t="str">
        <f t="shared" ref="S264:S327" si="87">IF(N264&gt;100,L264,"")</f>
        <v/>
      </c>
      <c r="T264" s="47" t="str">
        <f t="shared" ref="T264:T327" si="88">IF(N264&gt;200,L264,"")</f>
        <v/>
      </c>
      <c r="U264" s="47" t="str">
        <f t="shared" si="85"/>
        <v/>
      </c>
      <c r="V264" s="47" t="str">
        <f t="shared" si="86"/>
        <v/>
      </c>
      <c r="W264" s="98">
        <f t="shared" si="77"/>
        <v>90</v>
      </c>
      <c r="X264" s="98">
        <f t="shared" si="78"/>
        <v>1</v>
      </c>
      <c r="AB264" s="42" t="s">
        <v>187</v>
      </c>
      <c r="BG264"/>
      <c r="BH264"/>
      <c r="BI264"/>
      <c r="BJ264"/>
      <c r="BK264"/>
      <c r="BL264"/>
      <c r="BM264"/>
      <c r="BN264"/>
      <c r="BO264"/>
      <c r="BP264"/>
      <c r="BQ264"/>
      <c r="BR264"/>
      <c r="BS264"/>
    </row>
    <row r="265" spans="1:71" ht="16.5" x14ac:dyDescent="0.3">
      <c r="A265" s="38" t="s">
        <v>281</v>
      </c>
      <c r="B265" s="36">
        <v>263</v>
      </c>
      <c r="C265" s="71" t="str">
        <f t="shared" ca="1" si="79"/>
        <v>10년~5년 사이</v>
      </c>
      <c r="D265" s="79">
        <v>43456</v>
      </c>
      <c r="E265" s="72">
        <f t="shared" si="80"/>
        <v>1</v>
      </c>
      <c r="F265" s="8" t="s">
        <v>1</v>
      </c>
      <c r="G265" s="59" t="s">
        <v>241</v>
      </c>
      <c r="H265" s="59" t="s">
        <v>767</v>
      </c>
      <c r="I265" s="80" t="s">
        <v>768</v>
      </c>
      <c r="J265" s="81" t="s">
        <v>4</v>
      </c>
      <c r="K265" s="75" t="s">
        <v>187</v>
      </c>
      <c r="L265" s="76">
        <v>0.9</v>
      </c>
      <c r="M265" s="58">
        <v>212.1</v>
      </c>
      <c r="N265" s="58">
        <v>190.9</v>
      </c>
      <c r="O265" s="47">
        <f t="shared" si="81"/>
        <v>0.9</v>
      </c>
      <c r="P265" s="47">
        <f t="shared" si="82"/>
        <v>0.9</v>
      </c>
      <c r="Q265" s="47">
        <f t="shared" si="83"/>
        <v>212.1</v>
      </c>
      <c r="R265" s="47">
        <f t="shared" si="84"/>
        <v>212.1</v>
      </c>
      <c r="S265" s="47">
        <f t="shared" si="87"/>
        <v>0.9</v>
      </c>
      <c r="T265" s="47" t="str">
        <f t="shared" si="88"/>
        <v/>
      </c>
      <c r="U265" s="47">
        <f t="shared" si="85"/>
        <v>190.9</v>
      </c>
      <c r="V265" s="47" t="str">
        <f t="shared" si="86"/>
        <v/>
      </c>
      <c r="W265" s="98">
        <f t="shared" si="77"/>
        <v>190.9</v>
      </c>
      <c r="X265" s="98">
        <f t="shared" si="78"/>
        <v>0.9</v>
      </c>
      <c r="AB265" s="42" t="s">
        <v>187</v>
      </c>
      <c r="BG265"/>
      <c r="BH265"/>
      <c r="BI265"/>
      <c r="BJ265"/>
      <c r="BK265"/>
      <c r="BL265"/>
      <c r="BM265"/>
      <c r="BN265"/>
      <c r="BO265"/>
      <c r="BP265"/>
      <c r="BQ265"/>
      <c r="BR265"/>
      <c r="BS265"/>
    </row>
    <row r="266" spans="1:71" ht="16.5" x14ac:dyDescent="0.3">
      <c r="A266" s="38" t="s">
        <v>281</v>
      </c>
      <c r="B266" s="36">
        <v>264</v>
      </c>
      <c r="C266" s="71" t="str">
        <f t="shared" ca="1" si="79"/>
        <v>10년~5년 사이</v>
      </c>
      <c r="D266" s="79">
        <v>43456</v>
      </c>
      <c r="E266" s="72" t="str">
        <f t="shared" si="80"/>
        <v/>
      </c>
      <c r="F266" s="8" t="s">
        <v>1</v>
      </c>
      <c r="G266" s="59" t="s">
        <v>471</v>
      </c>
      <c r="H266" s="59" t="s">
        <v>770</v>
      </c>
      <c r="I266" s="80" t="s">
        <v>795</v>
      </c>
      <c r="J266" s="81" t="s">
        <v>4</v>
      </c>
      <c r="K266" s="75" t="s">
        <v>187</v>
      </c>
      <c r="L266" s="76">
        <v>0.4</v>
      </c>
      <c r="M266" s="58">
        <v>46</v>
      </c>
      <c r="N266" s="58">
        <v>18.399999999999999</v>
      </c>
      <c r="O266" s="47" t="str">
        <f t="shared" si="81"/>
        <v/>
      </c>
      <c r="P266" s="47" t="str">
        <f t="shared" si="82"/>
        <v/>
      </c>
      <c r="Q266" s="47" t="str">
        <f t="shared" si="83"/>
        <v/>
      </c>
      <c r="R266" s="47" t="str">
        <f t="shared" si="84"/>
        <v/>
      </c>
      <c r="S266" s="47" t="str">
        <f t="shared" si="87"/>
        <v/>
      </c>
      <c r="T266" s="47" t="str">
        <f t="shared" si="88"/>
        <v/>
      </c>
      <c r="U266" s="47" t="str">
        <f t="shared" si="85"/>
        <v/>
      </c>
      <c r="V266" s="47" t="str">
        <f t="shared" si="86"/>
        <v/>
      </c>
      <c r="W266" s="98">
        <f t="shared" si="77"/>
        <v>18.399999999999999</v>
      </c>
      <c r="X266" s="98">
        <f t="shared" si="78"/>
        <v>0.4</v>
      </c>
      <c r="AB266" s="42" t="s">
        <v>187</v>
      </c>
      <c r="BG266"/>
      <c r="BH266"/>
      <c r="BI266"/>
      <c r="BJ266"/>
      <c r="BK266"/>
      <c r="BL266"/>
      <c r="BM266"/>
      <c r="BN266"/>
      <c r="BO266"/>
      <c r="BP266"/>
      <c r="BQ266"/>
      <c r="BR266"/>
      <c r="BS266"/>
    </row>
    <row r="267" spans="1:71" ht="16.5" x14ac:dyDescent="0.3">
      <c r="A267" s="38" t="s">
        <v>281</v>
      </c>
      <c r="B267" s="36">
        <v>265</v>
      </c>
      <c r="C267" s="71" t="str">
        <f t="shared" ca="1" si="79"/>
        <v>10년~5년 사이</v>
      </c>
      <c r="D267" s="79">
        <v>43456</v>
      </c>
      <c r="E267" s="72" t="str">
        <f t="shared" si="80"/>
        <v/>
      </c>
      <c r="F267" s="8" t="s">
        <v>1</v>
      </c>
      <c r="G267" s="59" t="s">
        <v>68</v>
      </c>
      <c r="H267" s="59" t="s">
        <v>756</v>
      </c>
      <c r="I267" s="80" t="s">
        <v>795</v>
      </c>
      <c r="J267" s="81" t="s">
        <v>4</v>
      </c>
      <c r="K267" s="75" t="s">
        <v>187</v>
      </c>
      <c r="L267" s="76">
        <v>0.4</v>
      </c>
      <c r="M267" s="58">
        <v>46</v>
      </c>
      <c r="N267" s="58">
        <v>18.399999999999999</v>
      </c>
      <c r="O267" s="47" t="str">
        <f t="shared" si="81"/>
        <v/>
      </c>
      <c r="P267" s="47" t="str">
        <f t="shared" si="82"/>
        <v/>
      </c>
      <c r="Q267" s="47" t="str">
        <f t="shared" si="83"/>
        <v/>
      </c>
      <c r="R267" s="47" t="str">
        <f t="shared" si="84"/>
        <v/>
      </c>
      <c r="S267" s="47" t="str">
        <f t="shared" si="87"/>
        <v/>
      </c>
      <c r="T267" s="47" t="str">
        <f t="shared" si="88"/>
        <v/>
      </c>
      <c r="U267" s="47" t="str">
        <f t="shared" si="85"/>
        <v/>
      </c>
      <c r="V267" s="47" t="str">
        <f t="shared" si="86"/>
        <v/>
      </c>
      <c r="W267" s="98"/>
      <c r="X267" s="98"/>
      <c r="AB267" s="42" t="s">
        <v>187</v>
      </c>
      <c r="BG267"/>
      <c r="BH267"/>
      <c r="BI267"/>
      <c r="BJ267"/>
      <c r="BK267"/>
      <c r="BL267"/>
      <c r="BM267"/>
      <c r="BN267"/>
      <c r="BO267"/>
      <c r="BP267"/>
      <c r="BQ267"/>
      <c r="BR267"/>
      <c r="BS267"/>
    </row>
    <row r="268" spans="1:71" ht="16.5" x14ac:dyDescent="0.3">
      <c r="A268" s="38" t="s">
        <v>281</v>
      </c>
      <c r="B268" s="36">
        <v>266</v>
      </c>
      <c r="C268" s="71" t="str">
        <f t="shared" ca="1" si="79"/>
        <v>10년~5년 사이</v>
      </c>
      <c r="D268" s="79">
        <v>43457</v>
      </c>
      <c r="E268" s="72" t="str">
        <f t="shared" si="80"/>
        <v/>
      </c>
      <c r="F268" s="8" t="s">
        <v>1</v>
      </c>
      <c r="G268" s="59" t="s">
        <v>17</v>
      </c>
      <c r="H268" s="66" t="s">
        <v>139</v>
      </c>
      <c r="I268" s="80" t="s">
        <v>582</v>
      </c>
      <c r="J268" s="81" t="s">
        <v>4</v>
      </c>
      <c r="K268" s="75" t="s">
        <v>187</v>
      </c>
      <c r="L268" s="76">
        <v>1</v>
      </c>
      <c r="M268" s="58">
        <v>20</v>
      </c>
      <c r="N268" s="58">
        <v>20</v>
      </c>
      <c r="O268" s="47" t="str">
        <f t="shared" si="81"/>
        <v/>
      </c>
      <c r="P268" s="47" t="str">
        <f t="shared" si="82"/>
        <v/>
      </c>
      <c r="Q268" s="47" t="str">
        <f t="shared" si="83"/>
        <v/>
      </c>
      <c r="R268" s="47" t="str">
        <f t="shared" si="84"/>
        <v/>
      </c>
      <c r="S268" s="47" t="str">
        <f t="shared" si="87"/>
        <v/>
      </c>
      <c r="T268" s="47" t="str">
        <f t="shared" si="88"/>
        <v/>
      </c>
      <c r="U268" s="47" t="str">
        <f t="shared" si="85"/>
        <v/>
      </c>
      <c r="V268" s="47" t="str">
        <f t="shared" si="86"/>
        <v/>
      </c>
      <c r="W268" s="98">
        <f>N268</f>
        <v>20</v>
      </c>
      <c r="X268" s="98">
        <f>IF(W268&gt;0,L268,"")</f>
        <v>1</v>
      </c>
      <c r="AB268" s="42" t="s">
        <v>187</v>
      </c>
      <c r="BG268"/>
      <c r="BH268"/>
      <c r="BI268"/>
      <c r="BJ268"/>
      <c r="BK268"/>
      <c r="BL268"/>
      <c r="BM268"/>
      <c r="BN268"/>
      <c r="BO268"/>
      <c r="BP268"/>
      <c r="BQ268"/>
      <c r="BR268"/>
      <c r="BS268"/>
    </row>
    <row r="269" spans="1:71" ht="16.5" x14ac:dyDescent="0.3">
      <c r="A269" s="38" t="s">
        <v>281</v>
      </c>
      <c r="B269" s="36">
        <v>267</v>
      </c>
      <c r="C269" s="71" t="str">
        <f t="shared" ca="1" si="79"/>
        <v>10년~5년 사이</v>
      </c>
      <c r="D269" s="79">
        <v>43457</v>
      </c>
      <c r="E269" s="72" t="str">
        <f t="shared" si="80"/>
        <v/>
      </c>
      <c r="F269" s="8" t="s">
        <v>1</v>
      </c>
      <c r="G269" s="59" t="s">
        <v>17</v>
      </c>
      <c r="H269" s="66" t="s">
        <v>441</v>
      </c>
      <c r="I269" s="80" t="s">
        <v>582</v>
      </c>
      <c r="J269" s="81" t="s">
        <v>4</v>
      </c>
      <c r="K269" s="75" t="s">
        <v>187</v>
      </c>
      <c r="L269" s="76">
        <v>1</v>
      </c>
      <c r="M269" s="58">
        <v>20</v>
      </c>
      <c r="N269" s="58">
        <v>20</v>
      </c>
      <c r="O269" s="47" t="str">
        <f t="shared" si="81"/>
        <v/>
      </c>
      <c r="P269" s="47" t="str">
        <f t="shared" si="82"/>
        <v/>
      </c>
      <c r="Q269" s="47" t="str">
        <f t="shared" si="83"/>
        <v/>
      </c>
      <c r="R269" s="47" t="str">
        <f t="shared" si="84"/>
        <v/>
      </c>
      <c r="S269" s="47" t="str">
        <f t="shared" si="87"/>
        <v/>
      </c>
      <c r="T269" s="47" t="str">
        <f t="shared" si="88"/>
        <v/>
      </c>
      <c r="U269" s="47" t="str">
        <f t="shared" si="85"/>
        <v/>
      </c>
      <c r="V269" s="47" t="str">
        <f t="shared" si="86"/>
        <v/>
      </c>
      <c r="W269" s="98"/>
      <c r="X269" s="98"/>
      <c r="AB269" s="42" t="s">
        <v>187</v>
      </c>
      <c r="BG269"/>
      <c r="BH269"/>
      <c r="BI269"/>
      <c r="BJ269"/>
      <c r="BK269"/>
      <c r="BL269"/>
      <c r="BM269"/>
      <c r="BN269"/>
      <c r="BO269"/>
      <c r="BP269"/>
      <c r="BQ269"/>
      <c r="BR269"/>
      <c r="BS269"/>
    </row>
    <row r="270" spans="1:71" ht="16.5" x14ac:dyDescent="0.3">
      <c r="A270" s="38" t="s">
        <v>281</v>
      </c>
      <c r="B270" s="36">
        <v>268</v>
      </c>
      <c r="C270" s="71" t="str">
        <f t="shared" ca="1" si="79"/>
        <v>10년~5년 사이</v>
      </c>
      <c r="D270" s="79">
        <v>43457</v>
      </c>
      <c r="E270" s="72" t="str">
        <f t="shared" si="80"/>
        <v/>
      </c>
      <c r="F270" s="8" t="s">
        <v>1</v>
      </c>
      <c r="G270" s="59" t="s">
        <v>17</v>
      </c>
      <c r="H270" s="59" t="s">
        <v>442</v>
      </c>
      <c r="I270" s="80" t="s">
        <v>582</v>
      </c>
      <c r="J270" s="81" t="s">
        <v>4</v>
      </c>
      <c r="K270" s="75" t="s">
        <v>187</v>
      </c>
      <c r="L270" s="76">
        <v>1</v>
      </c>
      <c r="M270" s="58">
        <v>20</v>
      </c>
      <c r="N270" s="58">
        <v>20</v>
      </c>
      <c r="O270" s="47" t="str">
        <f t="shared" si="81"/>
        <v/>
      </c>
      <c r="P270" s="47" t="str">
        <f t="shared" si="82"/>
        <v/>
      </c>
      <c r="Q270" s="47" t="str">
        <f t="shared" si="83"/>
        <v/>
      </c>
      <c r="R270" s="47" t="str">
        <f t="shared" si="84"/>
        <v/>
      </c>
      <c r="S270" s="47" t="str">
        <f t="shared" si="87"/>
        <v/>
      </c>
      <c r="T270" s="47" t="str">
        <f t="shared" si="88"/>
        <v/>
      </c>
      <c r="U270" s="47" t="str">
        <f t="shared" si="85"/>
        <v/>
      </c>
      <c r="V270" s="47" t="str">
        <f t="shared" si="86"/>
        <v/>
      </c>
      <c r="W270" s="98"/>
      <c r="X270" s="98"/>
      <c r="AB270" s="42" t="s">
        <v>187</v>
      </c>
      <c r="BG270"/>
      <c r="BH270"/>
      <c r="BI270"/>
      <c r="BJ270"/>
      <c r="BK270"/>
      <c r="BL270"/>
      <c r="BM270"/>
      <c r="BN270"/>
      <c r="BO270"/>
      <c r="BP270"/>
      <c r="BQ270"/>
      <c r="BR270"/>
      <c r="BS270"/>
    </row>
    <row r="271" spans="1:71" ht="16.5" x14ac:dyDescent="0.3">
      <c r="A271" s="38" t="s">
        <v>281</v>
      </c>
      <c r="B271" s="36">
        <v>269</v>
      </c>
      <c r="C271" s="71" t="str">
        <f t="shared" ca="1" si="79"/>
        <v>10년~5년 사이</v>
      </c>
      <c r="D271" s="79">
        <v>43461</v>
      </c>
      <c r="E271" s="72">
        <f t="shared" si="80"/>
        <v>2</v>
      </c>
      <c r="F271" s="8" t="s">
        <v>1</v>
      </c>
      <c r="G271" s="59" t="s">
        <v>68</v>
      </c>
      <c r="H271" s="59" t="s">
        <v>468</v>
      </c>
      <c r="I271" s="80" t="s">
        <v>787</v>
      </c>
      <c r="J271" s="81" t="s">
        <v>4</v>
      </c>
      <c r="K271" s="75" t="s">
        <v>187</v>
      </c>
      <c r="L271" s="76">
        <v>0.55000000000000004</v>
      </c>
      <c r="M271" s="58">
        <v>1133.5999999999999</v>
      </c>
      <c r="N271" s="58">
        <v>623.5</v>
      </c>
      <c r="O271" s="47">
        <f t="shared" si="81"/>
        <v>0.55000000000000004</v>
      </c>
      <c r="P271" s="47">
        <f t="shared" si="82"/>
        <v>0.55000000000000004</v>
      </c>
      <c r="Q271" s="47">
        <f t="shared" si="83"/>
        <v>1133.5999999999999</v>
      </c>
      <c r="R271" s="47">
        <f t="shared" si="84"/>
        <v>1133.5999999999999</v>
      </c>
      <c r="S271" s="47">
        <f t="shared" si="87"/>
        <v>0.55000000000000004</v>
      </c>
      <c r="T271" s="47">
        <f t="shared" si="88"/>
        <v>0.55000000000000004</v>
      </c>
      <c r="U271" s="47">
        <f t="shared" si="85"/>
        <v>623.5</v>
      </c>
      <c r="V271" s="47">
        <f t="shared" si="86"/>
        <v>623.5</v>
      </c>
      <c r="W271" s="98">
        <f t="shared" ref="W271:W334" si="89">N271</f>
        <v>623.5</v>
      </c>
      <c r="X271" s="98">
        <f t="shared" ref="X271:X334" si="90">IF(W271&gt;0,L271,"")</f>
        <v>0.55000000000000004</v>
      </c>
      <c r="AB271" s="42" t="s">
        <v>187</v>
      </c>
      <c r="BG271"/>
      <c r="BH271"/>
      <c r="BI271"/>
      <c r="BJ271"/>
      <c r="BK271"/>
      <c r="BL271"/>
      <c r="BM271"/>
      <c r="BN271"/>
      <c r="BO271"/>
      <c r="BP271"/>
      <c r="BQ271"/>
      <c r="BR271"/>
      <c r="BS271"/>
    </row>
    <row r="272" spans="1:71" ht="16.5" x14ac:dyDescent="0.3">
      <c r="A272" s="38" t="s">
        <v>281</v>
      </c>
      <c r="B272" s="36">
        <v>270</v>
      </c>
      <c r="C272" s="71" t="str">
        <f t="shared" ca="1" si="79"/>
        <v>10년~5년 사이</v>
      </c>
      <c r="D272" s="79">
        <v>43461</v>
      </c>
      <c r="E272" s="72">
        <f t="shared" si="80"/>
        <v>2</v>
      </c>
      <c r="F272" s="8" t="s">
        <v>1</v>
      </c>
      <c r="G272" s="59" t="s">
        <v>253</v>
      </c>
      <c r="H272" s="59" t="s">
        <v>791</v>
      </c>
      <c r="I272" s="80" t="s">
        <v>792</v>
      </c>
      <c r="J272" s="81" t="s">
        <v>4</v>
      </c>
      <c r="K272" s="75" t="s">
        <v>187</v>
      </c>
      <c r="L272" s="76">
        <v>0.45</v>
      </c>
      <c r="M272" s="58">
        <v>1054</v>
      </c>
      <c r="N272" s="58">
        <v>457.9</v>
      </c>
      <c r="O272" s="47">
        <f t="shared" si="81"/>
        <v>0.45</v>
      </c>
      <c r="P272" s="47">
        <f t="shared" si="82"/>
        <v>0.45</v>
      </c>
      <c r="Q272" s="47">
        <f t="shared" si="83"/>
        <v>1054</v>
      </c>
      <c r="R272" s="47">
        <f t="shared" si="84"/>
        <v>1054</v>
      </c>
      <c r="S272" s="47">
        <f t="shared" si="87"/>
        <v>0.45</v>
      </c>
      <c r="T272" s="47">
        <f t="shared" si="88"/>
        <v>0.45</v>
      </c>
      <c r="U272" s="47">
        <f t="shared" si="85"/>
        <v>457.9</v>
      </c>
      <c r="V272" s="47">
        <f t="shared" si="86"/>
        <v>457.9</v>
      </c>
      <c r="W272" s="98">
        <f t="shared" si="89"/>
        <v>457.9</v>
      </c>
      <c r="X272" s="98">
        <f t="shared" si="90"/>
        <v>0.45</v>
      </c>
      <c r="AB272" s="42" t="s">
        <v>187</v>
      </c>
      <c r="AE272" s="42" t="s">
        <v>24</v>
      </c>
      <c r="BG272"/>
      <c r="BH272"/>
      <c r="BI272"/>
      <c r="BJ272"/>
      <c r="BK272"/>
      <c r="BL272"/>
      <c r="BM272"/>
      <c r="BN272"/>
      <c r="BO272"/>
      <c r="BP272"/>
      <c r="BQ272"/>
      <c r="BR272"/>
      <c r="BS272"/>
    </row>
    <row r="273" spans="1:71" ht="16.5" x14ac:dyDescent="0.3">
      <c r="A273" s="38" t="s">
        <v>281</v>
      </c>
      <c r="B273" s="36">
        <v>271</v>
      </c>
      <c r="C273" s="71" t="str">
        <f t="shared" ca="1" si="79"/>
        <v>10년~5년 사이</v>
      </c>
      <c r="D273" s="79">
        <v>43461</v>
      </c>
      <c r="E273" s="72" t="str">
        <f t="shared" si="80"/>
        <v/>
      </c>
      <c r="F273" s="8" t="s">
        <v>1</v>
      </c>
      <c r="G273" s="59" t="s">
        <v>568</v>
      </c>
      <c r="H273" s="59" t="s">
        <v>649</v>
      </c>
      <c r="I273" s="80" t="s">
        <v>794</v>
      </c>
      <c r="J273" s="81" t="s">
        <v>4</v>
      </c>
      <c r="K273" s="75" t="s">
        <v>187</v>
      </c>
      <c r="L273" s="76">
        <v>1</v>
      </c>
      <c r="M273" s="58">
        <v>20</v>
      </c>
      <c r="N273" s="58">
        <v>20</v>
      </c>
      <c r="O273" s="47" t="str">
        <f t="shared" si="81"/>
        <v/>
      </c>
      <c r="P273" s="47" t="str">
        <f t="shared" si="82"/>
        <v/>
      </c>
      <c r="Q273" s="47" t="str">
        <f t="shared" si="83"/>
        <v/>
      </c>
      <c r="R273" s="47" t="str">
        <f t="shared" si="84"/>
        <v/>
      </c>
      <c r="S273" s="47" t="str">
        <f t="shared" si="87"/>
        <v/>
      </c>
      <c r="T273" s="47" t="str">
        <f t="shared" si="88"/>
        <v/>
      </c>
      <c r="U273" s="47" t="str">
        <f t="shared" si="85"/>
        <v/>
      </c>
      <c r="V273" s="47" t="str">
        <f t="shared" si="86"/>
        <v/>
      </c>
      <c r="W273" s="98">
        <f t="shared" si="89"/>
        <v>20</v>
      </c>
      <c r="X273" s="98">
        <f t="shared" si="90"/>
        <v>1</v>
      </c>
      <c r="AB273" s="42" t="s">
        <v>187</v>
      </c>
      <c r="BG273"/>
      <c r="BH273"/>
      <c r="BI273"/>
      <c r="BJ273"/>
      <c r="BK273"/>
      <c r="BL273"/>
      <c r="BM273"/>
      <c r="BN273"/>
      <c r="BO273"/>
      <c r="BP273"/>
      <c r="BQ273"/>
      <c r="BR273"/>
      <c r="BS273"/>
    </row>
    <row r="274" spans="1:71" ht="16.5" x14ac:dyDescent="0.3">
      <c r="A274" s="38" t="s">
        <v>281</v>
      </c>
      <c r="B274" s="36">
        <v>272</v>
      </c>
      <c r="C274" s="71" t="str">
        <f t="shared" ca="1" si="79"/>
        <v>10년~5년 사이</v>
      </c>
      <c r="D274" s="79">
        <v>43462</v>
      </c>
      <c r="E274" s="72">
        <f t="shared" si="80"/>
        <v>2</v>
      </c>
      <c r="F274" s="8" t="s">
        <v>1</v>
      </c>
      <c r="G274" s="59" t="s">
        <v>68</v>
      </c>
      <c r="H274" s="59" t="s">
        <v>473</v>
      </c>
      <c r="I274" s="80" t="s">
        <v>804</v>
      </c>
      <c r="J274" s="81" t="s">
        <v>4</v>
      </c>
      <c r="K274" s="75" t="s">
        <v>187</v>
      </c>
      <c r="L274" s="76">
        <v>0.9</v>
      </c>
      <c r="M274" s="58">
        <v>304.8</v>
      </c>
      <c r="N274" s="58">
        <v>274.3</v>
      </c>
      <c r="O274" s="47">
        <f t="shared" si="81"/>
        <v>0.9</v>
      </c>
      <c r="P274" s="47">
        <f t="shared" si="82"/>
        <v>0.9</v>
      </c>
      <c r="Q274" s="47">
        <f t="shared" si="83"/>
        <v>304.8</v>
      </c>
      <c r="R274" s="47">
        <f t="shared" si="84"/>
        <v>304.8</v>
      </c>
      <c r="S274" s="47">
        <f t="shared" si="87"/>
        <v>0.9</v>
      </c>
      <c r="T274" s="47">
        <f t="shared" si="88"/>
        <v>0.9</v>
      </c>
      <c r="U274" s="47">
        <f t="shared" si="85"/>
        <v>274.3</v>
      </c>
      <c r="V274" s="47">
        <f t="shared" si="86"/>
        <v>274.3</v>
      </c>
      <c r="W274" s="98">
        <f t="shared" si="89"/>
        <v>274.3</v>
      </c>
      <c r="X274" s="98">
        <f t="shared" si="90"/>
        <v>0.9</v>
      </c>
      <c r="AB274" s="42" t="s">
        <v>187</v>
      </c>
      <c r="AE274" s="42" t="s">
        <v>24</v>
      </c>
      <c r="BG274"/>
      <c r="BH274"/>
      <c r="BI274"/>
      <c r="BJ274"/>
      <c r="BK274"/>
      <c r="BL274"/>
      <c r="BM274"/>
      <c r="BN274"/>
      <c r="BO274"/>
      <c r="BP274"/>
      <c r="BQ274"/>
      <c r="BR274"/>
      <c r="BS274"/>
    </row>
    <row r="275" spans="1:71" ht="16.5" x14ac:dyDescent="0.3">
      <c r="A275" s="38" t="s">
        <v>281</v>
      </c>
      <c r="B275" s="36">
        <v>273</v>
      </c>
      <c r="C275" s="71" t="str">
        <f t="shared" ca="1" si="79"/>
        <v>10년~5년 사이</v>
      </c>
      <c r="D275" s="79">
        <v>43465</v>
      </c>
      <c r="E275" s="72">
        <f t="shared" si="80"/>
        <v>1</v>
      </c>
      <c r="F275" s="8" t="s">
        <v>1</v>
      </c>
      <c r="G275" s="59" t="s">
        <v>17</v>
      </c>
      <c r="H275" s="66" t="s">
        <v>441</v>
      </c>
      <c r="I275" s="41" t="s">
        <v>571</v>
      </c>
      <c r="J275" s="81" t="s">
        <v>4</v>
      </c>
      <c r="K275" s="75" t="s">
        <v>187</v>
      </c>
      <c r="L275" s="76">
        <v>1</v>
      </c>
      <c r="M275" s="58">
        <v>119.7</v>
      </c>
      <c r="N275" s="58">
        <v>119.7</v>
      </c>
      <c r="O275" s="47">
        <f t="shared" si="81"/>
        <v>1</v>
      </c>
      <c r="P275" s="47" t="str">
        <f t="shared" si="82"/>
        <v/>
      </c>
      <c r="Q275" s="47">
        <f t="shared" si="83"/>
        <v>119.7</v>
      </c>
      <c r="R275" s="47" t="str">
        <f t="shared" si="84"/>
        <v/>
      </c>
      <c r="S275" s="47">
        <f t="shared" si="87"/>
        <v>1</v>
      </c>
      <c r="T275" s="47" t="str">
        <f t="shared" si="88"/>
        <v/>
      </c>
      <c r="U275" s="47">
        <f t="shared" si="85"/>
        <v>119.7</v>
      </c>
      <c r="V275" s="47" t="str">
        <f t="shared" si="86"/>
        <v/>
      </c>
      <c r="W275" s="98">
        <f t="shared" si="89"/>
        <v>119.7</v>
      </c>
      <c r="X275" s="98">
        <f t="shared" si="90"/>
        <v>1</v>
      </c>
      <c r="AB275" s="42" t="s">
        <v>187</v>
      </c>
      <c r="BG275"/>
      <c r="BH275"/>
      <c r="BI275"/>
      <c r="BJ275"/>
      <c r="BK275"/>
      <c r="BL275"/>
      <c r="BM275"/>
      <c r="BN275"/>
      <c r="BO275"/>
      <c r="BP275"/>
      <c r="BQ275"/>
      <c r="BR275"/>
      <c r="BS275"/>
    </row>
    <row r="276" spans="1:71" ht="16.5" x14ac:dyDescent="0.3">
      <c r="A276" s="38" t="s">
        <v>281</v>
      </c>
      <c r="B276" s="36">
        <v>274</v>
      </c>
      <c r="C276" s="71" t="str">
        <f t="shared" ca="1" si="79"/>
        <v>10년~5년 사이</v>
      </c>
      <c r="D276" s="79">
        <v>43483</v>
      </c>
      <c r="E276" s="72" t="str">
        <f t="shared" si="80"/>
        <v/>
      </c>
      <c r="F276" s="8" t="s">
        <v>1</v>
      </c>
      <c r="G276" s="59" t="s">
        <v>253</v>
      </c>
      <c r="H276" s="59" t="s">
        <v>779</v>
      </c>
      <c r="I276" s="80" t="s">
        <v>780</v>
      </c>
      <c r="J276" s="81" t="s">
        <v>4</v>
      </c>
      <c r="K276" s="75" t="s">
        <v>187</v>
      </c>
      <c r="L276" s="76">
        <v>1</v>
      </c>
      <c r="M276" s="58">
        <v>41.6</v>
      </c>
      <c r="N276" s="58">
        <v>41.6</v>
      </c>
      <c r="O276" s="47" t="str">
        <f t="shared" si="81"/>
        <v/>
      </c>
      <c r="P276" s="47" t="str">
        <f t="shared" si="82"/>
        <v/>
      </c>
      <c r="Q276" s="47" t="str">
        <f t="shared" si="83"/>
        <v/>
      </c>
      <c r="R276" s="47" t="str">
        <f t="shared" si="84"/>
        <v/>
      </c>
      <c r="S276" s="47" t="str">
        <f t="shared" si="87"/>
        <v/>
      </c>
      <c r="T276" s="47" t="str">
        <f t="shared" si="88"/>
        <v/>
      </c>
      <c r="U276" s="47" t="str">
        <f t="shared" si="85"/>
        <v/>
      </c>
      <c r="V276" s="47" t="str">
        <f t="shared" si="86"/>
        <v/>
      </c>
      <c r="W276" s="98">
        <f t="shared" si="89"/>
        <v>41.6</v>
      </c>
      <c r="X276" s="98">
        <f t="shared" si="90"/>
        <v>1</v>
      </c>
      <c r="AB276" s="42" t="s">
        <v>187</v>
      </c>
      <c r="AE276" s="42" t="s">
        <v>24</v>
      </c>
      <c r="BG276"/>
      <c r="BH276"/>
      <c r="BI276"/>
      <c r="BJ276"/>
      <c r="BK276"/>
      <c r="BL276"/>
      <c r="BM276"/>
      <c r="BN276"/>
      <c r="BO276"/>
      <c r="BP276"/>
      <c r="BQ276"/>
      <c r="BR276"/>
      <c r="BS276"/>
    </row>
    <row r="277" spans="1:71" ht="16.5" x14ac:dyDescent="0.3">
      <c r="A277" s="38" t="s">
        <v>281</v>
      </c>
      <c r="B277" s="36">
        <v>275</v>
      </c>
      <c r="C277" s="71" t="str">
        <f t="shared" ca="1" si="79"/>
        <v>10년~5년 사이</v>
      </c>
      <c r="D277" s="79">
        <v>43496</v>
      </c>
      <c r="E277" s="72">
        <f t="shared" si="80"/>
        <v>1</v>
      </c>
      <c r="F277" s="8" t="s">
        <v>1</v>
      </c>
      <c r="G277" s="59" t="s">
        <v>253</v>
      </c>
      <c r="H277" s="59" t="s">
        <v>576</v>
      </c>
      <c r="I277" s="80" t="s">
        <v>577</v>
      </c>
      <c r="J277" s="81" t="s">
        <v>4</v>
      </c>
      <c r="K277" s="75" t="s">
        <v>187</v>
      </c>
      <c r="L277" s="76">
        <v>1</v>
      </c>
      <c r="M277" s="58">
        <v>118.4</v>
      </c>
      <c r="N277" s="58">
        <v>118.4</v>
      </c>
      <c r="O277" s="47">
        <f t="shared" si="81"/>
        <v>1</v>
      </c>
      <c r="P277" s="47" t="str">
        <f t="shared" si="82"/>
        <v/>
      </c>
      <c r="Q277" s="47">
        <f t="shared" si="83"/>
        <v>118.4</v>
      </c>
      <c r="R277" s="47" t="str">
        <f t="shared" si="84"/>
        <v/>
      </c>
      <c r="S277" s="47">
        <f t="shared" si="87"/>
        <v>1</v>
      </c>
      <c r="T277" s="47" t="str">
        <f t="shared" si="88"/>
        <v/>
      </c>
      <c r="U277" s="47">
        <f t="shared" si="85"/>
        <v>118.4</v>
      </c>
      <c r="V277" s="47" t="str">
        <f t="shared" si="86"/>
        <v/>
      </c>
      <c r="W277" s="98">
        <f t="shared" si="89"/>
        <v>118.4</v>
      </c>
      <c r="X277" s="98">
        <f t="shared" si="90"/>
        <v>1</v>
      </c>
      <c r="AB277" s="42" t="s">
        <v>187</v>
      </c>
      <c r="BG277"/>
      <c r="BH277"/>
      <c r="BI277"/>
      <c r="BJ277"/>
      <c r="BK277"/>
      <c r="BL277"/>
      <c r="BM277"/>
      <c r="BN277"/>
      <c r="BO277"/>
      <c r="BP277"/>
      <c r="BQ277"/>
      <c r="BR277"/>
      <c r="BS277"/>
    </row>
    <row r="278" spans="1:71" ht="16.5" x14ac:dyDescent="0.3">
      <c r="A278" s="38" t="s">
        <v>281</v>
      </c>
      <c r="B278" s="36">
        <v>276</v>
      </c>
      <c r="C278" s="71" t="str">
        <f t="shared" ca="1" si="79"/>
        <v>10년~5년 사이</v>
      </c>
      <c r="D278" s="79">
        <v>43504</v>
      </c>
      <c r="E278" s="72">
        <f t="shared" si="80"/>
        <v>2</v>
      </c>
      <c r="F278" s="8" t="s">
        <v>1</v>
      </c>
      <c r="G278" s="59" t="s">
        <v>309</v>
      </c>
      <c r="H278" s="59" t="s">
        <v>363</v>
      </c>
      <c r="I278" s="41" t="s">
        <v>565</v>
      </c>
      <c r="J278" s="81" t="s">
        <v>4</v>
      </c>
      <c r="K278" s="75" t="s">
        <v>187</v>
      </c>
      <c r="L278" s="76">
        <v>0.7</v>
      </c>
      <c r="M278" s="58">
        <v>886.2</v>
      </c>
      <c r="N278" s="58">
        <v>620.29999999999995</v>
      </c>
      <c r="O278" s="47">
        <f t="shared" si="81"/>
        <v>0.7</v>
      </c>
      <c r="P278" s="47">
        <f t="shared" si="82"/>
        <v>0.7</v>
      </c>
      <c r="Q278" s="47">
        <f t="shared" si="83"/>
        <v>886.2</v>
      </c>
      <c r="R278" s="47">
        <f t="shared" si="84"/>
        <v>886.2</v>
      </c>
      <c r="S278" s="47">
        <f t="shared" si="87"/>
        <v>0.7</v>
      </c>
      <c r="T278" s="47">
        <f t="shared" si="88"/>
        <v>0.7</v>
      </c>
      <c r="U278" s="47">
        <f t="shared" si="85"/>
        <v>620.29999999999995</v>
      </c>
      <c r="V278" s="47">
        <f t="shared" si="86"/>
        <v>620.29999999999995</v>
      </c>
      <c r="W278" s="98">
        <f t="shared" si="89"/>
        <v>620.29999999999995</v>
      </c>
      <c r="X278" s="98">
        <f t="shared" si="90"/>
        <v>0.7</v>
      </c>
      <c r="AB278" s="42" t="s">
        <v>187</v>
      </c>
      <c r="BG278"/>
      <c r="BH278"/>
      <c r="BI278"/>
      <c r="BJ278"/>
      <c r="BK278"/>
      <c r="BL278"/>
      <c r="BM278"/>
      <c r="BN278"/>
      <c r="BO278"/>
      <c r="BP278"/>
      <c r="BQ278"/>
      <c r="BR278"/>
      <c r="BS278"/>
    </row>
    <row r="279" spans="1:71" ht="16.5" x14ac:dyDescent="0.3">
      <c r="A279" s="38" t="s">
        <v>281</v>
      </c>
      <c r="B279" s="36">
        <v>277</v>
      </c>
      <c r="C279" s="71" t="str">
        <f t="shared" ca="1" si="79"/>
        <v>10년~5년 사이</v>
      </c>
      <c r="D279" s="79">
        <v>43523</v>
      </c>
      <c r="E279" s="72">
        <f t="shared" si="80"/>
        <v>1</v>
      </c>
      <c r="F279" s="8" t="s">
        <v>1</v>
      </c>
      <c r="G279" s="59" t="s">
        <v>253</v>
      </c>
      <c r="H279" s="59" t="s">
        <v>537</v>
      </c>
      <c r="I279" s="80" t="s">
        <v>580</v>
      </c>
      <c r="J279" s="81" t="s">
        <v>4</v>
      </c>
      <c r="K279" s="75" t="s">
        <v>187</v>
      </c>
      <c r="L279" s="76">
        <v>1</v>
      </c>
      <c r="M279" s="58">
        <v>107.8</v>
      </c>
      <c r="N279" s="58">
        <v>107.8</v>
      </c>
      <c r="O279" s="47">
        <f t="shared" si="81"/>
        <v>1</v>
      </c>
      <c r="P279" s="47" t="str">
        <f t="shared" si="82"/>
        <v/>
      </c>
      <c r="Q279" s="47">
        <f t="shared" si="83"/>
        <v>107.8</v>
      </c>
      <c r="R279" s="47" t="str">
        <f t="shared" si="84"/>
        <v/>
      </c>
      <c r="S279" s="47">
        <f t="shared" si="87"/>
        <v>1</v>
      </c>
      <c r="T279" s="47" t="str">
        <f t="shared" si="88"/>
        <v/>
      </c>
      <c r="U279" s="47">
        <f t="shared" si="85"/>
        <v>107.8</v>
      </c>
      <c r="V279" s="47" t="str">
        <f t="shared" si="86"/>
        <v/>
      </c>
      <c r="W279" s="98">
        <f t="shared" si="89"/>
        <v>107.8</v>
      </c>
      <c r="X279" s="98">
        <f t="shared" si="90"/>
        <v>1</v>
      </c>
      <c r="AB279" s="42" t="s">
        <v>187</v>
      </c>
      <c r="BG279"/>
      <c r="BH279"/>
      <c r="BI279"/>
      <c r="BJ279"/>
      <c r="BK279"/>
      <c r="BL279"/>
      <c r="BM279"/>
      <c r="BN279"/>
      <c r="BO279"/>
      <c r="BP279"/>
      <c r="BQ279"/>
      <c r="BR279"/>
      <c r="BS279"/>
    </row>
    <row r="280" spans="1:71" ht="16.5" x14ac:dyDescent="0.3">
      <c r="A280" s="38" t="s">
        <v>281</v>
      </c>
      <c r="B280" s="36">
        <v>278</v>
      </c>
      <c r="C280" s="71" t="str">
        <f t="shared" ca="1" si="79"/>
        <v>10년~5년 사이</v>
      </c>
      <c r="D280" s="79">
        <v>43548</v>
      </c>
      <c r="E280" s="72">
        <f t="shared" si="80"/>
        <v>2</v>
      </c>
      <c r="F280" s="8" t="s">
        <v>1</v>
      </c>
      <c r="G280" s="59" t="s">
        <v>68</v>
      </c>
      <c r="H280" s="59" t="s">
        <v>74</v>
      </c>
      <c r="I280" s="80" t="s">
        <v>826</v>
      </c>
      <c r="J280" s="81" t="s">
        <v>4</v>
      </c>
      <c r="K280" s="75" t="s">
        <v>187</v>
      </c>
      <c r="L280" s="76">
        <v>0.7</v>
      </c>
      <c r="M280" s="58">
        <v>430.9</v>
      </c>
      <c r="N280" s="58">
        <v>248.2</v>
      </c>
      <c r="O280" s="47">
        <f t="shared" si="81"/>
        <v>0.7</v>
      </c>
      <c r="P280" s="47">
        <f t="shared" si="82"/>
        <v>0.7</v>
      </c>
      <c r="Q280" s="47">
        <f t="shared" si="83"/>
        <v>430.9</v>
      </c>
      <c r="R280" s="47">
        <f t="shared" si="84"/>
        <v>430.9</v>
      </c>
      <c r="S280" s="47">
        <f t="shared" si="87"/>
        <v>0.7</v>
      </c>
      <c r="T280" s="47">
        <f t="shared" si="88"/>
        <v>0.7</v>
      </c>
      <c r="U280" s="47">
        <f t="shared" si="85"/>
        <v>248.2</v>
      </c>
      <c r="V280" s="47">
        <f t="shared" si="86"/>
        <v>248.2</v>
      </c>
      <c r="W280" s="98">
        <f t="shared" si="89"/>
        <v>248.2</v>
      </c>
      <c r="X280" s="98">
        <f t="shared" si="90"/>
        <v>0.7</v>
      </c>
      <c r="AB280" s="42" t="s">
        <v>187</v>
      </c>
      <c r="BG280"/>
      <c r="BH280"/>
      <c r="BI280"/>
      <c r="BJ280"/>
      <c r="BK280"/>
      <c r="BL280"/>
      <c r="BM280"/>
      <c r="BN280"/>
      <c r="BO280"/>
      <c r="BP280"/>
      <c r="BQ280"/>
      <c r="BR280"/>
      <c r="BS280"/>
    </row>
    <row r="281" spans="1:71" ht="16.5" x14ac:dyDescent="0.3">
      <c r="A281" s="38" t="s">
        <v>281</v>
      </c>
      <c r="B281" s="36">
        <v>279</v>
      </c>
      <c r="C281" s="71" t="str">
        <f t="shared" ca="1" si="79"/>
        <v>10년~5년 사이</v>
      </c>
      <c r="D281" s="79">
        <v>43594</v>
      </c>
      <c r="E281" s="72">
        <f t="shared" si="80"/>
        <v>2</v>
      </c>
      <c r="F281" s="8" t="s">
        <v>1</v>
      </c>
      <c r="G281" s="59" t="s">
        <v>17</v>
      </c>
      <c r="H281" s="63" t="s">
        <v>137</v>
      </c>
      <c r="I281" s="80" t="s">
        <v>723</v>
      </c>
      <c r="J281" s="81" t="s">
        <v>4</v>
      </c>
      <c r="K281" s="75" t="s">
        <v>187</v>
      </c>
      <c r="L281" s="76">
        <v>0.6</v>
      </c>
      <c r="M281" s="58">
        <v>579.79999999999995</v>
      </c>
      <c r="N281" s="58">
        <v>347.8</v>
      </c>
      <c r="O281" s="47">
        <f t="shared" si="81"/>
        <v>0.6</v>
      </c>
      <c r="P281" s="47">
        <f t="shared" si="82"/>
        <v>0.6</v>
      </c>
      <c r="Q281" s="47">
        <f t="shared" si="83"/>
        <v>579.79999999999995</v>
      </c>
      <c r="R281" s="47">
        <f t="shared" si="84"/>
        <v>579.79999999999995</v>
      </c>
      <c r="S281" s="47">
        <f t="shared" si="87"/>
        <v>0.6</v>
      </c>
      <c r="T281" s="47">
        <f t="shared" si="88"/>
        <v>0.6</v>
      </c>
      <c r="U281" s="47">
        <f t="shared" si="85"/>
        <v>347.8</v>
      </c>
      <c r="V281" s="47">
        <f t="shared" si="86"/>
        <v>347.8</v>
      </c>
      <c r="W281" s="98">
        <f t="shared" si="89"/>
        <v>347.8</v>
      </c>
      <c r="X281" s="98">
        <f t="shared" si="90"/>
        <v>0.6</v>
      </c>
      <c r="AB281" s="42" t="s">
        <v>187</v>
      </c>
      <c r="AE281" s="42" t="s">
        <v>24</v>
      </c>
      <c r="BG281"/>
      <c r="BH281"/>
      <c r="BI281"/>
      <c r="BJ281"/>
      <c r="BK281"/>
      <c r="BL281"/>
      <c r="BM281"/>
      <c r="BN281"/>
      <c r="BO281"/>
      <c r="BP281"/>
      <c r="BQ281"/>
      <c r="BR281"/>
      <c r="BS281"/>
    </row>
    <row r="282" spans="1:71" ht="16.5" x14ac:dyDescent="0.3">
      <c r="A282" s="38" t="s">
        <v>281</v>
      </c>
      <c r="B282" s="36">
        <v>280</v>
      </c>
      <c r="C282" s="71" t="str">
        <f t="shared" ca="1" si="79"/>
        <v>10년~5년 사이</v>
      </c>
      <c r="D282" s="79">
        <v>43600</v>
      </c>
      <c r="E282" s="72" t="str">
        <f t="shared" si="80"/>
        <v/>
      </c>
      <c r="F282" s="8" t="s">
        <v>1</v>
      </c>
      <c r="G282" s="59" t="s">
        <v>17</v>
      </c>
      <c r="H282" s="80" t="s">
        <v>835</v>
      </c>
      <c r="I282" s="80" t="s">
        <v>640</v>
      </c>
      <c r="J282" s="81" t="s">
        <v>4</v>
      </c>
      <c r="K282" s="75" t="s">
        <v>187</v>
      </c>
      <c r="L282" s="76">
        <v>1</v>
      </c>
      <c r="M282" s="58">
        <v>18.899999999999999</v>
      </c>
      <c r="N282" s="58">
        <v>18.899999999999999</v>
      </c>
      <c r="O282" s="47" t="str">
        <f t="shared" si="81"/>
        <v/>
      </c>
      <c r="P282" s="47" t="str">
        <f t="shared" si="82"/>
        <v/>
      </c>
      <c r="Q282" s="47" t="str">
        <f t="shared" si="83"/>
        <v/>
      </c>
      <c r="R282" s="47" t="str">
        <f t="shared" si="84"/>
        <v/>
      </c>
      <c r="S282" s="47" t="str">
        <f t="shared" si="87"/>
        <v/>
      </c>
      <c r="T282" s="47" t="str">
        <f t="shared" si="88"/>
        <v/>
      </c>
      <c r="U282" s="47" t="str">
        <f t="shared" si="85"/>
        <v/>
      </c>
      <c r="V282" s="47" t="str">
        <f t="shared" si="86"/>
        <v/>
      </c>
      <c r="W282" s="98">
        <f t="shared" si="89"/>
        <v>18.899999999999999</v>
      </c>
      <c r="X282" s="98">
        <f t="shared" si="90"/>
        <v>1</v>
      </c>
      <c r="AB282" s="42" t="s">
        <v>187</v>
      </c>
      <c r="BG282"/>
      <c r="BH282"/>
      <c r="BI282"/>
      <c r="BJ282"/>
      <c r="BK282"/>
      <c r="BL282"/>
      <c r="BM282"/>
      <c r="BN282"/>
      <c r="BO282"/>
      <c r="BP282"/>
      <c r="BQ282"/>
      <c r="BR282"/>
      <c r="BS282"/>
    </row>
    <row r="283" spans="1:71" ht="16.5" x14ac:dyDescent="0.3">
      <c r="A283" s="38" t="s">
        <v>281</v>
      </c>
      <c r="B283" s="36">
        <v>281</v>
      </c>
      <c r="C283" s="71" t="str">
        <f t="shared" ca="1" si="79"/>
        <v>10년~5년 사이</v>
      </c>
      <c r="D283" s="79">
        <v>43632</v>
      </c>
      <c r="E283" s="72">
        <f t="shared" si="80"/>
        <v>2</v>
      </c>
      <c r="F283" s="8" t="s">
        <v>1</v>
      </c>
      <c r="G283" s="59" t="s">
        <v>483</v>
      </c>
      <c r="H283" s="59" t="s">
        <v>789</v>
      </c>
      <c r="I283" s="80" t="s">
        <v>790</v>
      </c>
      <c r="J283" s="81" t="s">
        <v>4</v>
      </c>
      <c r="K283" s="75" t="s">
        <v>187</v>
      </c>
      <c r="L283" s="76">
        <v>0.3</v>
      </c>
      <c r="M283" s="58">
        <v>1117</v>
      </c>
      <c r="N283" s="58">
        <v>335.1</v>
      </c>
      <c r="O283" s="47">
        <f t="shared" si="81"/>
        <v>0.3</v>
      </c>
      <c r="P283" s="47">
        <f t="shared" si="82"/>
        <v>0.3</v>
      </c>
      <c r="Q283" s="47">
        <f t="shared" si="83"/>
        <v>1117</v>
      </c>
      <c r="R283" s="47">
        <f t="shared" si="84"/>
        <v>1117</v>
      </c>
      <c r="S283" s="47">
        <f t="shared" si="87"/>
        <v>0.3</v>
      </c>
      <c r="T283" s="47">
        <f t="shared" si="88"/>
        <v>0.3</v>
      </c>
      <c r="U283" s="47">
        <f t="shared" si="85"/>
        <v>335.1</v>
      </c>
      <c r="V283" s="47">
        <f t="shared" si="86"/>
        <v>335.1</v>
      </c>
      <c r="W283" s="98">
        <f t="shared" si="89"/>
        <v>335.1</v>
      </c>
      <c r="X283" s="98">
        <f t="shared" si="90"/>
        <v>0.3</v>
      </c>
      <c r="AB283" s="42" t="s">
        <v>187</v>
      </c>
      <c r="BG283"/>
      <c r="BH283"/>
      <c r="BI283"/>
      <c r="BJ283"/>
      <c r="BK283"/>
      <c r="BL283"/>
      <c r="BM283"/>
      <c r="BN283"/>
      <c r="BO283"/>
      <c r="BP283"/>
      <c r="BQ283"/>
      <c r="BR283"/>
      <c r="BS283"/>
    </row>
    <row r="284" spans="1:71" ht="16.5" x14ac:dyDescent="0.3">
      <c r="A284" s="38" t="s">
        <v>281</v>
      </c>
      <c r="B284" s="36">
        <v>282</v>
      </c>
      <c r="C284" s="71" t="str">
        <f t="shared" ca="1" si="79"/>
        <v>10년~5년 사이</v>
      </c>
      <c r="D284" s="79">
        <v>43637</v>
      </c>
      <c r="E284" s="72">
        <f t="shared" si="80"/>
        <v>1</v>
      </c>
      <c r="F284" s="8" t="s">
        <v>1</v>
      </c>
      <c r="G284" s="59" t="s">
        <v>97</v>
      </c>
      <c r="H284" s="59" t="s">
        <v>98</v>
      </c>
      <c r="I284" s="80" t="s">
        <v>718</v>
      </c>
      <c r="J284" s="81" t="s">
        <v>4</v>
      </c>
      <c r="K284" s="75" t="s">
        <v>187</v>
      </c>
      <c r="L284" s="76">
        <v>1</v>
      </c>
      <c r="M284" s="58">
        <v>142.19999999999999</v>
      </c>
      <c r="N284" s="58">
        <v>142.19999999999999</v>
      </c>
      <c r="O284" s="47">
        <f t="shared" si="81"/>
        <v>1</v>
      </c>
      <c r="P284" s="47" t="str">
        <f t="shared" si="82"/>
        <v/>
      </c>
      <c r="Q284" s="47">
        <f t="shared" si="83"/>
        <v>142.19999999999999</v>
      </c>
      <c r="R284" s="47" t="str">
        <f t="shared" si="84"/>
        <v/>
      </c>
      <c r="S284" s="47">
        <f t="shared" si="87"/>
        <v>1</v>
      </c>
      <c r="T284" s="47" t="str">
        <f t="shared" si="88"/>
        <v/>
      </c>
      <c r="U284" s="47">
        <f t="shared" si="85"/>
        <v>142.19999999999999</v>
      </c>
      <c r="V284" s="47" t="str">
        <f t="shared" si="86"/>
        <v/>
      </c>
      <c r="W284" s="98">
        <f t="shared" si="89"/>
        <v>142.19999999999999</v>
      </c>
      <c r="X284" s="98">
        <f t="shared" si="90"/>
        <v>1</v>
      </c>
      <c r="AB284" s="42" t="s">
        <v>187</v>
      </c>
      <c r="BG284"/>
      <c r="BH284"/>
      <c r="BI284"/>
      <c r="BJ284"/>
      <c r="BK284"/>
      <c r="BL284"/>
      <c r="BM284"/>
      <c r="BN284"/>
      <c r="BO284"/>
      <c r="BP284"/>
      <c r="BQ284"/>
      <c r="BR284"/>
      <c r="BS284"/>
    </row>
    <row r="285" spans="1:71" ht="16.5" x14ac:dyDescent="0.3">
      <c r="A285" s="38" t="s">
        <v>281</v>
      </c>
      <c r="B285" s="36">
        <v>283</v>
      </c>
      <c r="C285" s="71" t="str">
        <f t="shared" ca="1" si="79"/>
        <v>10년~5년 사이</v>
      </c>
      <c r="D285" s="79">
        <v>43637</v>
      </c>
      <c r="E285" s="72">
        <f t="shared" si="80"/>
        <v>1</v>
      </c>
      <c r="F285" s="8" t="s">
        <v>1</v>
      </c>
      <c r="G285" s="59" t="s">
        <v>68</v>
      </c>
      <c r="H285" s="59" t="s">
        <v>77</v>
      </c>
      <c r="I285" s="80" t="s">
        <v>797</v>
      </c>
      <c r="J285" s="81" t="s">
        <v>4</v>
      </c>
      <c r="K285" s="75" t="s">
        <v>187</v>
      </c>
      <c r="L285" s="76">
        <v>0.4</v>
      </c>
      <c r="M285" s="58">
        <v>329</v>
      </c>
      <c r="N285" s="58">
        <v>131.6</v>
      </c>
      <c r="O285" s="47">
        <f t="shared" si="81"/>
        <v>0.4</v>
      </c>
      <c r="P285" s="47">
        <f t="shared" si="82"/>
        <v>0.4</v>
      </c>
      <c r="Q285" s="47">
        <f t="shared" si="83"/>
        <v>329</v>
      </c>
      <c r="R285" s="47">
        <f t="shared" si="84"/>
        <v>329</v>
      </c>
      <c r="S285" s="47">
        <f t="shared" si="87"/>
        <v>0.4</v>
      </c>
      <c r="T285" s="47" t="str">
        <f t="shared" si="88"/>
        <v/>
      </c>
      <c r="U285" s="47">
        <f t="shared" si="85"/>
        <v>131.6</v>
      </c>
      <c r="V285" s="47" t="str">
        <f t="shared" si="86"/>
        <v/>
      </c>
      <c r="W285" s="98">
        <f t="shared" si="89"/>
        <v>131.6</v>
      </c>
      <c r="X285" s="98">
        <f t="shared" si="90"/>
        <v>0.4</v>
      </c>
      <c r="AB285" s="42" t="s">
        <v>187</v>
      </c>
      <c r="BG285"/>
      <c r="BH285"/>
      <c r="BI285"/>
      <c r="BJ285"/>
      <c r="BK285"/>
      <c r="BL285"/>
      <c r="BM285"/>
      <c r="BN285"/>
      <c r="BO285"/>
      <c r="BP285"/>
      <c r="BQ285"/>
      <c r="BR285"/>
      <c r="BS285"/>
    </row>
    <row r="286" spans="1:71" ht="16.5" x14ac:dyDescent="0.3">
      <c r="A286" s="38" t="s">
        <v>281</v>
      </c>
      <c r="B286" s="36">
        <v>284</v>
      </c>
      <c r="C286" s="71" t="str">
        <f t="shared" ca="1" si="79"/>
        <v>10년~5년 사이</v>
      </c>
      <c r="D286" s="79">
        <v>43637</v>
      </c>
      <c r="E286" s="72">
        <f t="shared" si="80"/>
        <v>1</v>
      </c>
      <c r="F286" s="8" t="s">
        <v>1</v>
      </c>
      <c r="G286" s="59" t="s">
        <v>17</v>
      </c>
      <c r="H286" s="66" t="s">
        <v>138</v>
      </c>
      <c r="I286" s="80" t="s">
        <v>797</v>
      </c>
      <c r="J286" s="81" t="s">
        <v>4</v>
      </c>
      <c r="K286" s="75" t="s">
        <v>187</v>
      </c>
      <c r="L286" s="76">
        <v>0.4</v>
      </c>
      <c r="M286" s="58">
        <v>329</v>
      </c>
      <c r="N286" s="58">
        <v>131.6</v>
      </c>
      <c r="O286" s="47">
        <f t="shared" si="81"/>
        <v>0.4</v>
      </c>
      <c r="P286" s="47">
        <f t="shared" si="82"/>
        <v>0.4</v>
      </c>
      <c r="Q286" s="47">
        <f t="shared" si="83"/>
        <v>329</v>
      </c>
      <c r="R286" s="47">
        <f t="shared" si="84"/>
        <v>329</v>
      </c>
      <c r="S286" s="47">
        <f t="shared" si="87"/>
        <v>0.4</v>
      </c>
      <c r="T286" s="47" t="str">
        <f t="shared" si="88"/>
        <v/>
      </c>
      <c r="U286" s="47">
        <f t="shared" si="85"/>
        <v>131.6</v>
      </c>
      <c r="V286" s="47" t="str">
        <f t="shared" si="86"/>
        <v/>
      </c>
      <c r="W286" s="98">
        <f t="shared" si="89"/>
        <v>131.6</v>
      </c>
      <c r="X286" s="98">
        <f t="shared" si="90"/>
        <v>0.4</v>
      </c>
      <c r="AB286" s="42" t="s">
        <v>187</v>
      </c>
      <c r="BG286"/>
      <c r="BH286"/>
      <c r="BI286"/>
      <c r="BJ286"/>
      <c r="BK286"/>
      <c r="BL286"/>
      <c r="BM286"/>
      <c r="BN286"/>
      <c r="BO286"/>
      <c r="BP286"/>
      <c r="BQ286"/>
      <c r="BR286"/>
      <c r="BS286"/>
    </row>
    <row r="287" spans="1:71" ht="16.5" x14ac:dyDescent="0.3">
      <c r="A287" s="38" t="s">
        <v>281</v>
      </c>
      <c r="B287" s="36">
        <v>285</v>
      </c>
      <c r="C287" s="71" t="str">
        <f t="shared" ca="1" si="79"/>
        <v>10년~5년 사이</v>
      </c>
      <c r="D287" s="79">
        <v>43640</v>
      </c>
      <c r="E287" s="72">
        <f t="shared" si="80"/>
        <v>1</v>
      </c>
      <c r="F287" s="8" t="s">
        <v>1</v>
      </c>
      <c r="G287" s="59" t="s">
        <v>68</v>
      </c>
      <c r="H287" s="59" t="s">
        <v>74</v>
      </c>
      <c r="I287" s="80" t="s">
        <v>645</v>
      </c>
      <c r="J287" s="81" t="s">
        <v>4</v>
      </c>
      <c r="K287" s="75" t="s">
        <v>187</v>
      </c>
      <c r="L287" s="76">
        <v>0.51</v>
      </c>
      <c r="M287" s="58">
        <v>397.4</v>
      </c>
      <c r="N287" s="58">
        <v>176.8</v>
      </c>
      <c r="O287" s="47">
        <f t="shared" si="81"/>
        <v>0.51</v>
      </c>
      <c r="P287" s="47">
        <f t="shared" si="82"/>
        <v>0.51</v>
      </c>
      <c r="Q287" s="47">
        <f t="shared" si="83"/>
        <v>397.4</v>
      </c>
      <c r="R287" s="47">
        <f t="shared" si="84"/>
        <v>397.4</v>
      </c>
      <c r="S287" s="47">
        <f t="shared" si="87"/>
        <v>0.51</v>
      </c>
      <c r="T287" s="47" t="str">
        <f t="shared" si="88"/>
        <v/>
      </c>
      <c r="U287" s="47">
        <f t="shared" si="85"/>
        <v>176.8</v>
      </c>
      <c r="V287" s="47" t="str">
        <f t="shared" si="86"/>
        <v/>
      </c>
      <c r="W287" s="98">
        <f t="shared" si="89"/>
        <v>176.8</v>
      </c>
      <c r="X287" s="98">
        <f t="shared" si="90"/>
        <v>0.51</v>
      </c>
      <c r="AB287" s="42" t="s">
        <v>187</v>
      </c>
      <c r="BG287"/>
      <c r="BH287"/>
      <c r="BI287"/>
      <c r="BJ287"/>
      <c r="BK287"/>
      <c r="BL287"/>
      <c r="BM287"/>
      <c r="BN287"/>
      <c r="BO287"/>
      <c r="BP287"/>
      <c r="BQ287"/>
      <c r="BR287"/>
      <c r="BS287"/>
    </row>
    <row r="288" spans="1:71" ht="16.5" x14ac:dyDescent="0.3">
      <c r="A288" s="38" t="s">
        <v>281</v>
      </c>
      <c r="B288" s="36">
        <v>286</v>
      </c>
      <c r="C288" s="71" t="str">
        <f t="shared" ca="1" si="79"/>
        <v>10년~5년 사이</v>
      </c>
      <c r="D288" s="79">
        <v>43643</v>
      </c>
      <c r="E288" s="72">
        <f t="shared" si="80"/>
        <v>2</v>
      </c>
      <c r="F288" s="8" t="s">
        <v>1</v>
      </c>
      <c r="G288" s="59" t="s">
        <v>177</v>
      </c>
      <c r="H288" s="59" t="s">
        <v>541</v>
      </c>
      <c r="I288" s="80" t="s">
        <v>583</v>
      </c>
      <c r="J288" s="81" t="s">
        <v>4</v>
      </c>
      <c r="K288" s="75" t="s">
        <v>187</v>
      </c>
      <c r="L288" s="76">
        <v>0.6</v>
      </c>
      <c r="M288" s="58">
        <v>523.70000000000005</v>
      </c>
      <c r="N288" s="58">
        <v>314.2</v>
      </c>
      <c r="O288" s="47">
        <f t="shared" si="81"/>
        <v>0.6</v>
      </c>
      <c r="P288" s="47">
        <f t="shared" si="82"/>
        <v>0.6</v>
      </c>
      <c r="Q288" s="47">
        <f t="shared" si="83"/>
        <v>523.70000000000005</v>
      </c>
      <c r="R288" s="47">
        <f t="shared" si="84"/>
        <v>523.70000000000005</v>
      </c>
      <c r="S288" s="47">
        <f t="shared" si="87"/>
        <v>0.6</v>
      </c>
      <c r="T288" s="47">
        <f t="shared" si="88"/>
        <v>0.6</v>
      </c>
      <c r="U288" s="47">
        <f t="shared" si="85"/>
        <v>314.2</v>
      </c>
      <c r="V288" s="47">
        <f t="shared" si="86"/>
        <v>314.2</v>
      </c>
      <c r="W288" s="98">
        <f t="shared" si="89"/>
        <v>314.2</v>
      </c>
      <c r="X288" s="98">
        <f t="shared" si="90"/>
        <v>0.6</v>
      </c>
      <c r="AB288" s="42" t="s">
        <v>187</v>
      </c>
      <c r="BG288"/>
      <c r="BH288"/>
      <c r="BI288"/>
      <c r="BJ288"/>
      <c r="BK288"/>
      <c r="BL288"/>
      <c r="BM288"/>
      <c r="BN288"/>
      <c r="BO288"/>
      <c r="BP288"/>
      <c r="BQ288"/>
      <c r="BR288"/>
      <c r="BS288"/>
    </row>
    <row r="289" spans="1:71" ht="16.5" x14ac:dyDescent="0.3">
      <c r="A289" s="38" t="s">
        <v>281</v>
      </c>
      <c r="B289" s="36">
        <v>287</v>
      </c>
      <c r="C289" s="71" t="str">
        <f t="shared" ca="1" si="79"/>
        <v>10년~5년 사이</v>
      </c>
      <c r="D289" s="79">
        <v>43644</v>
      </c>
      <c r="E289" s="72">
        <f t="shared" si="80"/>
        <v>1</v>
      </c>
      <c r="F289" s="8" t="s">
        <v>1</v>
      </c>
      <c r="G289" s="59" t="s">
        <v>297</v>
      </c>
      <c r="H289" s="59" t="s">
        <v>629</v>
      </c>
      <c r="I289" s="80" t="s">
        <v>630</v>
      </c>
      <c r="J289" s="81" t="s">
        <v>4</v>
      </c>
      <c r="K289" s="75" t="s">
        <v>187</v>
      </c>
      <c r="L289" s="76">
        <v>1</v>
      </c>
      <c r="M289" s="58">
        <v>114.2</v>
      </c>
      <c r="N289" s="58">
        <v>114.2</v>
      </c>
      <c r="O289" s="47">
        <f t="shared" si="81"/>
        <v>1</v>
      </c>
      <c r="P289" s="47" t="str">
        <f t="shared" si="82"/>
        <v/>
      </c>
      <c r="Q289" s="47">
        <f t="shared" si="83"/>
        <v>114.2</v>
      </c>
      <c r="R289" s="47" t="str">
        <f t="shared" si="84"/>
        <v/>
      </c>
      <c r="S289" s="47">
        <f t="shared" si="87"/>
        <v>1</v>
      </c>
      <c r="T289" s="47" t="str">
        <f t="shared" si="88"/>
        <v/>
      </c>
      <c r="U289" s="47">
        <f t="shared" si="85"/>
        <v>114.2</v>
      </c>
      <c r="V289" s="47" t="str">
        <f t="shared" si="86"/>
        <v/>
      </c>
      <c r="W289" s="98">
        <f t="shared" si="89"/>
        <v>114.2</v>
      </c>
      <c r="X289" s="98">
        <f t="shared" si="90"/>
        <v>1</v>
      </c>
      <c r="AB289" s="42" t="s">
        <v>187</v>
      </c>
      <c r="BG289"/>
      <c r="BH289"/>
      <c r="BI289"/>
      <c r="BJ289"/>
      <c r="BK289"/>
      <c r="BL289"/>
      <c r="BM289"/>
      <c r="BN289"/>
      <c r="BO289"/>
      <c r="BP289"/>
      <c r="BQ289"/>
      <c r="BR289"/>
      <c r="BS289"/>
    </row>
    <row r="290" spans="1:71" ht="16.5" x14ac:dyDescent="0.3">
      <c r="A290" s="38" t="s">
        <v>281</v>
      </c>
      <c r="B290" s="36">
        <v>288</v>
      </c>
      <c r="C290" s="71" t="str">
        <f t="shared" ca="1" si="79"/>
        <v>10년~5년 사이</v>
      </c>
      <c r="D290" s="79">
        <v>43665</v>
      </c>
      <c r="E290" s="72">
        <f t="shared" si="80"/>
        <v>2</v>
      </c>
      <c r="F290" s="8" t="s">
        <v>1</v>
      </c>
      <c r="G290" s="59" t="s">
        <v>10</v>
      </c>
      <c r="H290" s="67" t="s">
        <v>48</v>
      </c>
      <c r="I290" s="41" t="s">
        <v>560</v>
      </c>
      <c r="J290" s="81" t="s">
        <v>4</v>
      </c>
      <c r="K290" s="75" t="s">
        <v>187</v>
      </c>
      <c r="L290" s="76">
        <v>0.7</v>
      </c>
      <c r="M290" s="58">
        <v>397.1</v>
      </c>
      <c r="N290" s="58">
        <v>278</v>
      </c>
      <c r="O290" s="47">
        <f t="shared" si="81"/>
        <v>0.7</v>
      </c>
      <c r="P290" s="47">
        <f t="shared" si="82"/>
        <v>0.7</v>
      </c>
      <c r="Q290" s="47">
        <f t="shared" si="83"/>
        <v>397.1</v>
      </c>
      <c r="R290" s="47">
        <f t="shared" si="84"/>
        <v>397.1</v>
      </c>
      <c r="S290" s="47">
        <f t="shared" si="87"/>
        <v>0.7</v>
      </c>
      <c r="T290" s="47">
        <f t="shared" si="88"/>
        <v>0.7</v>
      </c>
      <c r="U290" s="47">
        <f t="shared" si="85"/>
        <v>278</v>
      </c>
      <c r="V290" s="47">
        <f t="shared" si="86"/>
        <v>278</v>
      </c>
      <c r="W290" s="98">
        <f t="shared" si="89"/>
        <v>278</v>
      </c>
      <c r="X290" s="98">
        <f t="shared" si="90"/>
        <v>0.7</v>
      </c>
      <c r="AB290" s="42" t="s">
        <v>187</v>
      </c>
      <c r="BG290"/>
      <c r="BH290"/>
      <c r="BI290"/>
      <c r="BJ290"/>
      <c r="BK290"/>
      <c r="BL290"/>
      <c r="BM290"/>
      <c r="BN290"/>
      <c r="BO290"/>
      <c r="BP290"/>
      <c r="BQ290"/>
      <c r="BR290"/>
      <c r="BS290"/>
    </row>
    <row r="291" spans="1:71" ht="16.5" x14ac:dyDescent="0.3">
      <c r="A291" s="38" t="s">
        <v>281</v>
      </c>
      <c r="B291" s="36">
        <v>289</v>
      </c>
      <c r="C291" s="71" t="str">
        <f t="shared" ca="1" si="79"/>
        <v>10년~5년 사이</v>
      </c>
      <c r="D291" s="79">
        <v>43672</v>
      </c>
      <c r="E291" s="72">
        <f t="shared" si="80"/>
        <v>2</v>
      </c>
      <c r="F291" s="8" t="s">
        <v>1</v>
      </c>
      <c r="G291" s="59" t="s">
        <v>253</v>
      </c>
      <c r="H291" s="59" t="s">
        <v>578</v>
      </c>
      <c r="I291" s="80" t="s">
        <v>579</v>
      </c>
      <c r="J291" s="81" t="s">
        <v>4</v>
      </c>
      <c r="K291" s="75" t="s">
        <v>187</v>
      </c>
      <c r="L291" s="76">
        <v>1</v>
      </c>
      <c r="M291" s="58">
        <v>716.5</v>
      </c>
      <c r="N291" s="58">
        <v>716.5</v>
      </c>
      <c r="O291" s="47">
        <f t="shared" si="81"/>
        <v>1</v>
      </c>
      <c r="P291" s="47">
        <f t="shared" si="82"/>
        <v>1</v>
      </c>
      <c r="Q291" s="47">
        <f t="shared" si="83"/>
        <v>716.5</v>
      </c>
      <c r="R291" s="47">
        <f t="shared" si="84"/>
        <v>716.5</v>
      </c>
      <c r="S291" s="47">
        <f t="shared" si="87"/>
        <v>1</v>
      </c>
      <c r="T291" s="47">
        <f t="shared" si="88"/>
        <v>1</v>
      </c>
      <c r="U291" s="47">
        <f t="shared" si="85"/>
        <v>716.5</v>
      </c>
      <c r="V291" s="47">
        <f t="shared" si="86"/>
        <v>716.5</v>
      </c>
      <c r="W291" s="98">
        <f t="shared" si="89"/>
        <v>716.5</v>
      </c>
      <c r="X291" s="98">
        <f t="shared" si="90"/>
        <v>1</v>
      </c>
      <c r="AB291" s="42" t="s">
        <v>187</v>
      </c>
      <c r="BG291"/>
      <c r="BH291"/>
      <c r="BI291"/>
      <c r="BJ291"/>
      <c r="BK291"/>
      <c r="BL291"/>
      <c r="BM291"/>
      <c r="BN291"/>
      <c r="BO291"/>
      <c r="BP291"/>
      <c r="BQ291"/>
      <c r="BR291"/>
      <c r="BS291"/>
    </row>
    <row r="292" spans="1:71" ht="16.5" x14ac:dyDescent="0.3">
      <c r="A292" s="38" t="s">
        <v>281</v>
      </c>
      <c r="B292" s="36">
        <v>290</v>
      </c>
      <c r="C292" s="71" t="str">
        <f t="shared" ca="1" si="79"/>
        <v>10년~5년 사이</v>
      </c>
      <c r="D292" s="79">
        <v>43684</v>
      </c>
      <c r="E292" s="72">
        <f t="shared" si="80"/>
        <v>2</v>
      </c>
      <c r="F292" s="8" t="s">
        <v>1</v>
      </c>
      <c r="G292" s="59" t="s">
        <v>491</v>
      </c>
      <c r="H292" s="59" t="s">
        <v>492</v>
      </c>
      <c r="I292" s="80" t="s">
        <v>584</v>
      </c>
      <c r="J292" s="81" t="s">
        <v>4</v>
      </c>
      <c r="K292" s="75" t="s">
        <v>187</v>
      </c>
      <c r="L292" s="76">
        <v>0.37</v>
      </c>
      <c r="M292" s="58">
        <v>734</v>
      </c>
      <c r="N292" s="58">
        <v>253.6</v>
      </c>
      <c r="O292" s="47">
        <f t="shared" si="81"/>
        <v>0.37</v>
      </c>
      <c r="P292" s="47">
        <f t="shared" si="82"/>
        <v>0.37</v>
      </c>
      <c r="Q292" s="47">
        <f t="shared" si="83"/>
        <v>734</v>
      </c>
      <c r="R292" s="47">
        <f t="shared" si="84"/>
        <v>734</v>
      </c>
      <c r="S292" s="47">
        <f t="shared" si="87"/>
        <v>0.37</v>
      </c>
      <c r="T292" s="47">
        <f t="shared" si="88"/>
        <v>0.37</v>
      </c>
      <c r="U292" s="47">
        <f t="shared" si="85"/>
        <v>253.6</v>
      </c>
      <c r="V292" s="47">
        <f t="shared" si="86"/>
        <v>253.6</v>
      </c>
      <c r="W292" s="98">
        <f t="shared" si="89"/>
        <v>253.6</v>
      </c>
      <c r="X292" s="98">
        <f t="shared" si="90"/>
        <v>0.37</v>
      </c>
      <c r="AB292" s="42" t="s">
        <v>187</v>
      </c>
      <c r="BG292"/>
      <c r="BH292"/>
      <c r="BI292"/>
      <c r="BJ292"/>
      <c r="BK292"/>
      <c r="BL292"/>
      <c r="BM292"/>
      <c r="BN292"/>
      <c r="BO292"/>
      <c r="BP292"/>
      <c r="BQ292"/>
      <c r="BR292"/>
      <c r="BS292"/>
    </row>
    <row r="293" spans="1:71" ht="16.5" x14ac:dyDescent="0.3">
      <c r="A293" s="38" t="s">
        <v>281</v>
      </c>
      <c r="B293" s="36">
        <v>291</v>
      </c>
      <c r="C293" s="71" t="str">
        <f t="shared" ca="1" si="79"/>
        <v>10년~5년 사이</v>
      </c>
      <c r="D293" s="79">
        <v>43690</v>
      </c>
      <c r="E293" s="72" t="str">
        <f t="shared" si="80"/>
        <v/>
      </c>
      <c r="F293" s="8" t="s">
        <v>1</v>
      </c>
      <c r="G293" s="59" t="s">
        <v>97</v>
      </c>
      <c r="H293" s="59" t="s">
        <v>98</v>
      </c>
      <c r="I293" s="80" t="s">
        <v>633</v>
      </c>
      <c r="J293" s="81" t="s">
        <v>4</v>
      </c>
      <c r="K293" s="75" t="s">
        <v>187</v>
      </c>
      <c r="L293" s="76">
        <v>1</v>
      </c>
      <c r="M293" s="58">
        <v>183</v>
      </c>
      <c r="N293" s="58">
        <v>93.3</v>
      </c>
      <c r="O293" s="47">
        <f t="shared" si="81"/>
        <v>1</v>
      </c>
      <c r="P293" s="47" t="str">
        <f t="shared" si="82"/>
        <v/>
      </c>
      <c r="Q293" s="47">
        <f t="shared" si="83"/>
        <v>183</v>
      </c>
      <c r="R293" s="47" t="str">
        <f t="shared" si="84"/>
        <v/>
      </c>
      <c r="S293" s="47" t="str">
        <f t="shared" si="87"/>
        <v/>
      </c>
      <c r="T293" s="47" t="str">
        <f t="shared" si="88"/>
        <v/>
      </c>
      <c r="U293" s="47" t="str">
        <f t="shared" si="85"/>
        <v/>
      </c>
      <c r="V293" s="47" t="str">
        <f t="shared" si="86"/>
        <v/>
      </c>
      <c r="W293" s="98">
        <f t="shared" si="89"/>
        <v>93.3</v>
      </c>
      <c r="X293" s="98">
        <f t="shared" si="90"/>
        <v>1</v>
      </c>
      <c r="AB293" s="42" t="s">
        <v>187</v>
      </c>
      <c r="BG293"/>
      <c r="BH293"/>
      <c r="BI293"/>
      <c r="BJ293"/>
      <c r="BK293"/>
      <c r="BL293"/>
      <c r="BM293"/>
      <c r="BN293"/>
      <c r="BO293"/>
      <c r="BP293"/>
      <c r="BQ293"/>
      <c r="BR293"/>
      <c r="BS293"/>
    </row>
    <row r="294" spans="1:71" ht="16.5" x14ac:dyDescent="0.3">
      <c r="A294" s="38" t="s">
        <v>281</v>
      </c>
      <c r="B294" s="36">
        <v>292</v>
      </c>
      <c r="C294" s="71" t="str">
        <f t="shared" ca="1" si="79"/>
        <v>10년~5년 사이</v>
      </c>
      <c r="D294" s="79">
        <v>43705</v>
      </c>
      <c r="E294" s="72">
        <f t="shared" si="80"/>
        <v>2</v>
      </c>
      <c r="F294" s="8" t="s">
        <v>1</v>
      </c>
      <c r="G294" s="59" t="s">
        <v>68</v>
      </c>
      <c r="H294" s="59" t="s">
        <v>588</v>
      </c>
      <c r="I294" s="80" t="s">
        <v>820</v>
      </c>
      <c r="J294" s="81" t="s">
        <v>4</v>
      </c>
      <c r="K294" s="75" t="s">
        <v>187</v>
      </c>
      <c r="L294" s="76">
        <v>0.38</v>
      </c>
      <c r="M294" s="58">
        <v>695.7</v>
      </c>
      <c r="N294" s="58">
        <v>230.9</v>
      </c>
      <c r="O294" s="47">
        <f t="shared" si="81"/>
        <v>0.38</v>
      </c>
      <c r="P294" s="47">
        <f t="shared" si="82"/>
        <v>0.38</v>
      </c>
      <c r="Q294" s="47">
        <f t="shared" si="83"/>
        <v>695.7</v>
      </c>
      <c r="R294" s="47">
        <f t="shared" si="84"/>
        <v>695.7</v>
      </c>
      <c r="S294" s="47">
        <f t="shared" si="87"/>
        <v>0.38</v>
      </c>
      <c r="T294" s="47">
        <f t="shared" si="88"/>
        <v>0.38</v>
      </c>
      <c r="U294" s="47">
        <f t="shared" si="85"/>
        <v>230.9</v>
      </c>
      <c r="V294" s="47">
        <f t="shared" si="86"/>
        <v>230.9</v>
      </c>
      <c r="W294" s="98">
        <f t="shared" si="89"/>
        <v>230.9</v>
      </c>
      <c r="X294" s="98">
        <f t="shared" si="90"/>
        <v>0.38</v>
      </c>
      <c r="AB294" s="42" t="s">
        <v>187</v>
      </c>
      <c r="BG294"/>
      <c r="BH294"/>
      <c r="BI294"/>
      <c r="BJ294"/>
      <c r="BK294"/>
      <c r="BL294"/>
      <c r="BM294"/>
      <c r="BN294"/>
      <c r="BO294"/>
      <c r="BP294"/>
      <c r="BQ294"/>
      <c r="BR294"/>
      <c r="BS294"/>
    </row>
    <row r="295" spans="1:71" ht="16.5" x14ac:dyDescent="0.3">
      <c r="A295" s="38" t="s">
        <v>281</v>
      </c>
      <c r="B295" s="36">
        <v>293</v>
      </c>
      <c r="C295" s="71" t="str">
        <f t="shared" ca="1" si="79"/>
        <v>10년~5년 사이</v>
      </c>
      <c r="D295" s="79">
        <v>43728</v>
      </c>
      <c r="E295" s="72">
        <f t="shared" si="80"/>
        <v>2</v>
      </c>
      <c r="F295" s="8" t="s">
        <v>1</v>
      </c>
      <c r="G295" s="59" t="s">
        <v>68</v>
      </c>
      <c r="H295" s="59" t="s">
        <v>588</v>
      </c>
      <c r="I295" s="80" t="s">
        <v>641</v>
      </c>
      <c r="J295" s="81" t="s">
        <v>4</v>
      </c>
      <c r="K295" s="75" t="s">
        <v>187</v>
      </c>
      <c r="L295" s="76">
        <v>0.63</v>
      </c>
      <c r="M295" s="58">
        <v>539</v>
      </c>
      <c r="N295" s="58">
        <v>287.7</v>
      </c>
      <c r="O295" s="47">
        <f t="shared" si="81"/>
        <v>0.63</v>
      </c>
      <c r="P295" s="47">
        <f t="shared" si="82"/>
        <v>0.63</v>
      </c>
      <c r="Q295" s="47">
        <f t="shared" si="83"/>
        <v>539</v>
      </c>
      <c r="R295" s="47">
        <f t="shared" si="84"/>
        <v>539</v>
      </c>
      <c r="S295" s="47">
        <f t="shared" si="87"/>
        <v>0.63</v>
      </c>
      <c r="T295" s="47">
        <f t="shared" si="88"/>
        <v>0.63</v>
      </c>
      <c r="U295" s="47">
        <f t="shared" si="85"/>
        <v>287.7</v>
      </c>
      <c r="V295" s="47">
        <f t="shared" si="86"/>
        <v>287.7</v>
      </c>
      <c r="W295" s="98">
        <f t="shared" si="89"/>
        <v>287.7</v>
      </c>
      <c r="X295" s="98">
        <f t="shared" si="90"/>
        <v>0.63</v>
      </c>
      <c r="AB295" s="42" t="s">
        <v>187</v>
      </c>
      <c r="BG295"/>
      <c r="BH295"/>
      <c r="BI295"/>
      <c r="BJ295"/>
      <c r="BK295"/>
      <c r="BL295"/>
      <c r="BM295"/>
      <c r="BN295"/>
      <c r="BO295"/>
      <c r="BP295"/>
      <c r="BQ295"/>
      <c r="BR295"/>
      <c r="BS295"/>
    </row>
    <row r="296" spans="1:71" ht="16.5" x14ac:dyDescent="0.3">
      <c r="A296" s="38" t="s">
        <v>281</v>
      </c>
      <c r="B296" s="36">
        <v>294</v>
      </c>
      <c r="C296" s="71" t="str">
        <f t="shared" ca="1" si="79"/>
        <v>10년~5년 사이</v>
      </c>
      <c r="D296" s="79">
        <v>43761</v>
      </c>
      <c r="E296" s="72">
        <f t="shared" si="80"/>
        <v>2</v>
      </c>
      <c r="F296" s="8" t="s">
        <v>1</v>
      </c>
      <c r="G296" s="59" t="s">
        <v>68</v>
      </c>
      <c r="H296" s="59" t="s">
        <v>805</v>
      </c>
      <c r="I296" s="80" t="s">
        <v>806</v>
      </c>
      <c r="J296" s="81" t="s">
        <v>4</v>
      </c>
      <c r="K296" s="75" t="s">
        <v>187</v>
      </c>
      <c r="L296" s="76">
        <v>0.7</v>
      </c>
      <c r="M296" s="58">
        <v>433.7</v>
      </c>
      <c r="N296" s="58">
        <v>207.3</v>
      </c>
      <c r="O296" s="47">
        <f t="shared" si="81"/>
        <v>0.7</v>
      </c>
      <c r="P296" s="47">
        <f t="shared" si="82"/>
        <v>0.7</v>
      </c>
      <c r="Q296" s="47">
        <f t="shared" si="83"/>
        <v>433.7</v>
      </c>
      <c r="R296" s="47">
        <f t="shared" si="84"/>
        <v>433.7</v>
      </c>
      <c r="S296" s="47">
        <f t="shared" si="87"/>
        <v>0.7</v>
      </c>
      <c r="T296" s="47">
        <f t="shared" si="88"/>
        <v>0.7</v>
      </c>
      <c r="U296" s="47">
        <f t="shared" si="85"/>
        <v>207.3</v>
      </c>
      <c r="V296" s="47">
        <f t="shared" si="86"/>
        <v>207.3</v>
      </c>
      <c r="W296" s="98">
        <f t="shared" si="89"/>
        <v>207.3</v>
      </c>
      <c r="X296" s="98">
        <f t="shared" si="90"/>
        <v>0.7</v>
      </c>
      <c r="AB296" s="42" t="s">
        <v>187</v>
      </c>
      <c r="BG296"/>
      <c r="BH296"/>
      <c r="BI296"/>
      <c r="BJ296"/>
      <c r="BK296"/>
      <c r="BL296"/>
      <c r="BM296"/>
      <c r="BN296"/>
      <c r="BO296"/>
      <c r="BP296"/>
      <c r="BQ296"/>
      <c r="BR296"/>
      <c r="BS296"/>
    </row>
    <row r="297" spans="1:71" ht="16.5" x14ac:dyDescent="0.3">
      <c r="A297" s="38" t="s">
        <v>281</v>
      </c>
      <c r="B297" s="36">
        <v>295</v>
      </c>
      <c r="C297" s="71" t="str">
        <f t="shared" ca="1" si="79"/>
        <v>10년~5년 사이</v>
      </c>
      <c r="D297" s="79">
        <v>43783</v>
      </c>
      <c r="E297" s="72">
        <f t="shared" si="80"/>
        <v>2</v>
      </c>
      <c r="F297" s="8" t="s">
        <v>1</v>
      </c>
      <c r="G297" s="59" t="s">
        <v>253</v>
      </c>
      <c r="H297" s="59" t="s">
        <v>638</v>
      </c>
      <c r="I297" s="80" t="s">
        <v>639</v>
      </c>
      <c r="J297" s="81" t="s">
        <v>4</v>
      </c>
      <c r="K297" s="75" t="s">
        <v>187</v>
      </c>
      <c r="L297" s="76">
        <v>0.7</v>
      </c>
      <c r="M297" s="58">
        <v>332.1</v>
      </c>
      <c r="N297" s="58">
        <v>226.1</v>
      </c>
      <c r="O297" s="47">
        <f t="shared" si="81"/>
        <v>0.7</v>
      </c>
      <c r="P297" s="47">
        <f t="shared" si="82"/>
        <v>0.7</v>
      </c>
      <c r="Q297" s="47">
        <f t="shared" si="83"/>
        <v>332.1</v>
      </c>
      <c r="R297" s="47">
        <f t="shared" si="84"/>
        <v>332.1</v>
      </c>
      <c r="S297" s="47">
        <f t="shared" si="87"/>
        <v>0.7</v>
      </c>
      <c r="T297" s="47">
        <f t="shared" si="88"/>
        <v>0.7</v>
      </c>
      <c r="U297" s="47">
        <f t="shared" si="85"/>
        <v>226.1</v>
      </c>
      <c r="V297" s="47">
        <f t="shared" si="86"/>
        <v>226.1</v>
      </c>
      <c r="W297" s="98">
        <f t="shared" si="89"/>
        <v>226.1</v>
      </c>
      <c r="X297" s="98">
        <f t="shared" si="90"/>
        <v>0.7</v>
      </c>
      <c r="AB297" s="42" t="s">
        <v>187</v>
      </c>
      <c r="BG297"/>
      <c r="BH297"/>
      <c r="BI297"/>
      <c r="BJ297"/>
      <c r="BK297"/>
      <c r="BL297"/>
      <c r="BM297"/>
      <c r="BN297"/>
      <c r="BO297"/>
      <c r="BP297"/>
      <c r="BQ297"/>
      <c r="BR297"/>
      <c r="BS297"/>
    </row>
    <row r="298" spans="1:71" ht="16.5" x14ac:dyDescent="0.3">
      <c r="A298" s="38" t="s">
        <v>281</v>
      </c>
      <c r="B298" s="36">
        <v>296</v>
      </c>
      <c r="C298" s="71" t="str">
        <f t="shared" ca="1" si="79"/>
        <v>10년~5년 사이</v>
      </c>
      <c r="D298" s="79">
        <v>43809</v>
      </c>
      <c r="E298" s="72">
        <f t="shared" si="80"/>
        <v>1</v>
      </c>
      <c r="F298" s="8" t="s">
        <v>1</v>
      </c>
      <c r="G298" s="59" t="s">
        <v>17</v>
      </c>
      <c r="H298" s="66" t="s">
        <v>138</v>
      </c>
      <c r="I298" s="80" t="s">
        <v>809</v>
      </c>
      <c r="J298" s="81" t="s">
        <v>4</v>
      </c>
      <c r="K298" s="75" t="s">
        <v>187</v>
      </c>
      <c r="L298" s="76">
        <v>0.4</v>
      </c>
      <c r="M298" s="58">
        <v>355.9</v>
      </c>
      <c r="N298" s="58">
        <v>125.9</v>
      </c>
      <c r="O298" s="47">
        <f t="shared" si="81"/>
        <v>0.4</v>
      </c>
      <c r="P298" s="47">
        <f t="shared" si="82"/>
        <v>0.4</v>
      </c>
      <c r="Q298" s="47">
        <f t="shared" si="83"/>
        <v>355.9</v>
      </c>
      <c r="R298" s="47">
        <f t="shared" si="84"/>
        <v>355.9</v>
      </c>
      <c r="S298" s="47">
        <f t="shared" si="87"/>
        <v>0.4</v>
      </c>
      <c r="T298" s="47" t="str">
        <f t="shared" si="88"/>
        <v/>
      </c>
      <c r="U298" s="47">
        <f t="shared" si="85"/>
        <v>125.9</v>
      </c>
      <c r="V298" s="47" t="str">
        <f t="shared" si="86"/>
        <v/>
      </c>
      <c r="W298" s="98">
        <f t="shared" si="89"/>
        <v>125.9</v>
      </c>
      <c r="X298" s="98">
        <f t="shared" si="90"/>
        <v>0.4</v>
      </c>
      <c r="AB298" s="42" t="s">
        <v>187</v>
      </c>
      <c r="AE298" s="42" t="s">
        <v>24</v>
      </c>
      <c r="BG298"/>
      <c r="BH298"/>
      <c r="BI298"/>
      <c r="BJ298"/>
      <c r="BK298"/>
      <c r="BL298"/>
      <c r="BM298"/>
      <c r="BN298"/>
      <c r="BO298"/>
      <c r="BP298"/>
      <c r="BQ298"/>
      <c r="BR298"/>
      <c r="BS298"/>
    </row>
    <row r="299" spans="1:71" ht="16.5" x14ac:dyDescent="0.3">
      <c r="A299" s="38" t="s">
        <v>281</v>
      </c>
      <c r="B299" s="36">
        <v>297</v>
      </c>
      <c r="C299" s="71" t="str">
        <f t="shared" ca="1" si="79"/>
        <v>10년~5년 사이</v>
      </c>
      <c r="D299" s="79">
        <v>43809</v>
      </c>
      <c r="E299" s="72">
        <f t="shared" si="80"/>
        <v>2</v>
      </c>
      <c r="F299" s="8" t="s">
        <v>1</v>
      </c>
      <c r="G299" s="59" t="s">
        <v>309</v>
      </c>
      <c r="H299" s="59" t="s">
        <v>363</v>
      </c>
      <c r="I299" s="80" t="s">
        <v>811</v>
      </c>
      <c r="J299" s="81" t="s">
        <v>4</v>
      </c>
      <c r="K299" s="75" t="s">
        <v>187</v>
      </c>
      <c r="L299" s="76">
        <v>0.85</v>
      </c>
      <c r="M299" s="58">
        <v>236.5</v>
      </c>
      <c r="N299" s="58">
        <v>201</v>
      </c>
      <c r="O299" s="47">
        <f t="shared" si="81"/>
        <v>0.85</v>
      </c>
      <c r="P299" s="47">
        <f t="shared" si="82"/>
        <v>0.85</v>
      </c>
      <c r="Q299" s="47">
        <f t="shared" si="83"/>
        <v>236.5</v>
      </c>
      <c r="R299" s="47">
        <f t="shared" si="84"/>
        <v>236.5</v>
      </c>
      <c r="S299" s="47">
        <f t="shared" si="87"/>
        <v>0.85</v>
      </c>
      <c r="T299" s="47">
        <f t="shared" si="88"/>
        <v>0.85</v>
      </c>
      <c r="U299" s="47">
        <f t="shared" si="85"/>
        <v>201</v>
      </c>
      <c r="V299" s="47">
        <f t="shared" si="86"/>
        <v>201</v>
      </c>
      <c r="W299" s="98">
        <f t="shared" si="89"/>
        <v>201</v>
      </c>
      <c r="X299" s="98">
        <f t="shared" si="90"/>
        <v>0.85</v>
      </c>
      <c r="AB299" s="42" t="s">
        <v>187</v>
      </c>
      <c r="AE299" s="42" t="s">
        <v>24</v>
      </c>
      <c r="BG299"/>
      <c r="BH299"/>
      <c r="BI299"/>
      <c r="BJ299"/>
      <c r="BK299"/>
      <c r="BL299"/>
      <c r="BM299"/>
      <c r="BN299"/>
      <c r="BO299"/>
      <c r="BP299"/>
      <c r="BQ299"/>
      <c r="BR299"/>
      <c r="BS299"/>
    </row>
    <row r="300" spans="1:71" ht="16.5" x14ac:dyDescent="0.3">
      <c r="A300" s="38" t="s">
        <v>281</v>
      </c>
      <c r="B300" s="36">
        <v>298</v>
      </c>
      <c r="C300" s="71" t="str">
        <f t="shared" ca="1" si="79"/>
        <v>10년~5년 사이</v>
      </c>
      <c r="D300" s="79">
        <v>43814</v>
      </c>
      <c r="E300" s="72" t="str">
        <f t="shared" si="80"/>
        <v/>
      </c>
      <c r="F300" s="8" t="s">
        <v>1</v>
      </c>
      <c r="G300" s="59" t="s">
        <v>491</v>
      </c>
      <c r="H300" s="59" t="s">
        <v>625</v>
      </c>
      <c r="I300" s="80" t="s">
        <v>626</v>
      </c>
      <c r="J300" s="81" t="s">
        <v>4</v>
      </c>
      <c r="K300" s="75" t="s">
        <v>187</v>
      </c>
      <c r="L300" s="76">
        <v>1</v>
      </c>
      <c r="M300" s="58">
        <v>69.599999999999994</v>
      </c>
      <c r="N300" s="58">
        <v>69.599999999999994</v>
      </c>
      <c r="O300" s="47" t="str">
        <f t="shared" si="81"/>
        <v/>
      </c>
      <c r="P300" s="47" t="str">
        <f t="shared" si="82"/>
        <v/>
      </c>
      <c r="Q300" s="47" t="str">
        <f t="shared" si="83"/>
        <v/>
      </c>
      <c r="R300" s="47" t="str">
        <f t="shared" si="84"/>
        <v/>
      </c>
      <c r="S300" s="47" t="str">
        <f t="shared" si="87"/>
        <v/>
      </c>
      <c r="T300" s="47" t="str">
        <f t="shared" si="88"/>
        <v/>
      </c>
      <c r="U300" s="47" t="str">
        <f t="shared" si="85"/>
        <v/>
      </c>
      <c r="V300" s="47" t="str">
        <f t="shared" si="86"/>
        <v/>
      </c>
      <c r="W300" s="98">
        <f t="shared" si="89"/>
        <v>69.599999999999994</v>
      </c>
      <c r="X300" s="98">
        <f t="shared" si="90"/>
        <v>1</v>
      </c>
      <c r="AB300" s="42" t="s">
        <v>187</v>
      </c>
      <c r="BG300"/>
      <c r="BH300"/>
      <c r="BI300"/>
      <c r="BJ300"/>
      <c r="BK300"/>
      <c r="BL300"/>
      <c r="BM300"/>
      <c r="BN300"/>
      <c r="BO300"/>
      <c r="BP300"/>
      <c r="BQ300"/>
      <c r="BR300"/>
      <c r="BS300"/>
    </row>
    <row r="301" spans="1:71" ht="16.5" x14ac:dyDescent="0.3">
      <c r="A301" s="38" t="s">
        <v>281</v>
      </c>
      <c r="B301" s="36">
        <v>299</v>
      </c>
      <c r="C301" s="71" t="str">
        <f t="shared" ca="1" si="79"/>
        <v>10년~5년 사이</v>
      </c>
      <c r="D301" s="79">
        <v>43815</v>
      </c>
      <c r="E301" s="72">
        <f t="shared" si="80"/>
        <v>2</v>
      </c>
      <c r="F301" s="8" t="s">
        <v>1</v>
      </c>
      <c r="G301" s="59" t="s">
        <v>68</v>
      </c>
      <c r="H301" s="59" t="s">
        <v>475</v>
      </c>
      <c r="I301" s="80" t="s">
        <v>581</v>
      </c>
      <c r="J301" s="81" t="s">
        <v>4</v>
      </c>
      <c r="K301" s="75" t="s">
        <v>187</v>
      </c>
      <c r="L301" s="76">
        <v>0.7</v>
      </c>
      <c r="M301" s="58">
        <v>306.60000000000002</v>
      </c>
      <c r="N301" s="58">
        <v>214.6</v>
      </c>
      <c r="O301" s="47">
        <f t="shared" si="81"/>
        <v>0.7</v>
      </c>
      <c r="P301" s="47">
        <f t="shared" si="82"/>
        <v>0.7</v>
      </c>
      <c r="Q301" s="47">
        <f t="shared" si="83"/>
        <v>306.60000000000002</v>
      </c>
      <c r="R301" s="47">
        <f t="shared" si="84"/>
        <v>306.60000000000002</v>
      </c>
      <c r="S301" s="47">
        <f t="shared" si="87"/>
        <v>0.7</v>
      </c>
      <c r="T301" s="47">
        <f t="shared" si="88"/>
        <v>0.7</v>
      </c>
      <c r="U301" s="47">
        <f t="shared" si="85"/>
        <v>214.6</v>
      </c>
      <c r="V301" s="47">
        <f t="shared" si="86"/>
        <v>214.6</v>
      </c>
      <c r="W301" s="98">
        <f t="shared" si="89"/>
        <v>214.6</v>
      </c>
      <c r="X301" s="98">
        <f t="shared" si="90"/>
        <v>0.7</v>
      </c>
      <c r="AB301" s="42" t="s">
        <v>187</v>
      </c>
      <c r="BG301"/>
      <c r="BH301"/>
      <c r="BI301"/>
      <c r="BJ301"/>
      <c r="BK301"/>
      <c r="BL301"/>
      <c r="BM301"/>
      <c r="BN301"/>
      <c r="BO301"/>
      <c r="BP301"/>
      <c r="BQ301"/>
      <c r="BR301"/>
      <c r="BS301"/>
    </row>
    <row r="302" spans="1:71" ht="16.5" x14ac:dyDescent="0.3">
      <c r="A302" s="38" t="s">
        <v>281</v>
      </c>
      <c r="B302" s="36">
        <v>300</v>
      </c>
      <c r="C302" s="71" t="str">
        <f t="shared" ca="1" si="79"/>
        <v>10년~5년 사이</v>
      </c>
      <c r="D302" s="79">
        <v>43815</v>
      </c>
      <c r="E302" s="72">
        <f t="shared" si="80"/>
        <v>2</v>
      </c>
      <c r="F302" s="8" t="s">
        <v>1</v>
      </c>
      <c r="G302" s="59" t="s">
        <v>68</v>
      </c>
      <c r="H302" s="59" t="s">
        <v>473</v>
      </c>
      <c r="I302" s="80" t="s">
        <v>587</v>
      </c>
      <c r="J302" s="81" t="s">
        <v>4</v>
      </c>
      <c r="K302" s="75" t="s">
        <v>187</v>
      </c>
      <c r="L302" s="76">
        <v>0.7</v>
      </c>
      <c r="M302" s="58">
        <v>391.1</v>
      </c>
      <c r="N302" s="58">
        <v>273.8</v>
      </c>
      <c r="O302" s="47">
        <f t="shared" si="81"/>
        <v>0.7</v>
      </c>
      <c r="P302" s="47">
        <f t="shared" si="82"/>
        <v>0.7</v>
      </c>
      <c r="Q302" s="47">
        <f t="shared" si="83"/>
        <v>391.1</v>
      </c>
      <c r="R302" s="47">
        <f t="shared" si="84"/>
        <v>391.1</v>
      </c>
      <c r="S302" s="47">
        <f t="shared" si="87"/>
        <v>0.7</v>
      </c>
      <c r="T302" s="47">
        <f t="shared" si="88"/>
        <v>0.7</v>
      </c>
      <c r="U302" s="47">
        <f t="shared" si="85"/>
        <v>273.8</v>
      </c>
      <c r="V302" s="47">
        <f t="shared" si="86"/>
        <v>273.8</v>
      </c>
      <c r="W302" s="98">
        <f t="shared" si="89"/>
        <v>273.8</v>
      </c>
      <c r="X302" s="98">
        <f t="shared" si="90"/>
        <v>0.7</v>
      </c>
      <c r="AB302" s="42" t="s">
        <v>187</v>
      </c>
      <c r="BG302"/>
      <c r="BH302"/>
      <c r="BI302"/>
      <c r="BJ302"/>
      <c r="BK302"/>
      <c r="BL302"/>
      <c r="BM302"/>
      <c r="BN302"/>
      <c r="BO302"/>
      <c r="BP302"/>
      <c r="BQ302"/>
      <c r="BR302"/>
      <c r="BS302"/>
    </row>
    <row r="303" spans="1:71" ht="16.5" x14ac:dyDescent="0.3">
      <c r="A303" s="38" t="s">
        <v>281</v>
      </c>
      <c r="B303" s="36">
        <v>301</v>
      </c>
      <c r="C303" s="71" t="str">
        <f t="shared" ca="1" si="79"/>
        <v>10년~5년 사이</v>
      </c>
      <c r="D303" s="79">
        <v>43815</v>
      </c>
      <c r="E303" s="72">
        <f t="shared" si="80"/>
        <v>1</v>
      </c>
      <c r="F303" s="8" t="s">
        <v>1</v>
      </c>
      <c r="G303" s="59" t="s">
        <v>471</v>
      </c>
      <c r="H303" s="59" t="s">
        <v>770</v>
      </c>
      <c r="I303" s="80" t="s">
        <v>771</v>
      </c>
      <c r="J303" s="81" t="s">
        <v>4</v>
      </c>
      <c r="K303" s="75" t="s">
        <v>187</v>
      </c>
      <c r="L303" s="76">
        <v>1</v>
      </c>
      <c r="M303" s="58">
        <v>137.5</v>
      </c>
      <c r="N303" s="58">
        <v>137.5</v>
      </c>
      <c r="O303" s="47">
        <f t="shared" si="81"/>
        <v>1</v>
      </c>
      <c r="P303" s="47" t="str">
        <f t="shared" si="82"/>
        <v/>
      </c>
      <c r="Q303" s="47">
        <f t="shared" si="83"/>
        <v>137.5</v>
      </c>
      <c r="R303" s="47" t="str">
        <f t="shared" si="84"/>
        <v/>
      </c>
      <c r="S303" s="47">
        <f t="shared" si="87"/>
        <v>1</v>
      </c>
      <c r="T303" s="47" t="str">
        <f t="shared" si="88"/>
        <v/>
      </c>
      <c r="U303" s="47">
        <f t="shared" si="85"/>
        <v>137.5</v>
      </c>
      <c r="V303" s="47" t="str">
        <f t="shared" si="86"/>
        <v/>
      </c>
      <c r="W303" s="98">
        <f t="shared" si="89"/>
        <v>137.5</v>
      </c>
      <c r="X303" s="98">
        <f t="shared" si="90"/>
        <v>1</v>
      </c>
      <c r="AB303" s="42" t="s">
        <v>187</v>
      </c>
      <c r="BG303"/>
      <c r="BH303"/>
      <c r="BI303"/>
      <c r="BJ303"/>
      <c r="BK303"/>
      <c r="BL303"/>
      <c r="BM303"/>
      <c r="BN303"/>
      <c r="BO303"/>
      <c r="BP303"/>
      <c r="BQ303"/>
      <c r="BR303"/>
      <c r="BS303"/>
    </row>
    <row r="304" spans="1:71" ht="16.5" x14ac:dyDescent="0.3">
      <c r="A304" s="38" t="s">
        <v>281</v>
      </c>
      <c r="B304" s="36">
        <v>302</v>
      </c>
      <c r="C304" s="71" t="str">
        <f t="shared" ca="1" si="79"/>
        <v>10년~5년 사이</v>
      </c>
      <c r="D304" s="79">
        <v>43816</v>
      </c>
      <c r="E304" s="72">
        <f t="shared" si="80"/>
        <v>1</v>
      </c>
      <c r="F304" s="8" t="s">
        <v>1</v>
      </c>
      <c r="G304" s="59" t="s">
        <v>309</v>
      </c>
      <c r="H304" s="59" t="s">
        <v>363</v>
      </c>
      <c r="I304" s="80" t="s">
        <v>593</v>
      </c>
      <c r="J304" s="81" t="s">
        <v>4</v>
      </c>
      <c r="K304" s="75" t="s">
        <v>187</v>
      </c>
      <c r="L304" s="76">
        <v>1</v>
      </c>
      <c r="M304" s="58">
        <v>157.69999999999999</v>
      </c>
      <c r="N304" s="58">
        <v>157.69999999999999</v>
      </c>
      <c r="O304" s="47">
        <f t="shared" si="81"/>
        <v>1</v>
      </c>
      <c r="P304" s="47" t="str">
        <f t="shared" si="82"/>
        <v/>
      </c>
      <c r="Q304" s="47">
        <f t="shared" si="83"/>
        <v>157.69999999999999</v>
      </c>
      <c r="R304" s="47" t="str">
        <f t="shared" si="84"/>
        <v/>
      </c>
      <c r="S304" s="47">
        <f t="shared" si="87"/>
        <v>1</v>
      </c>
      <c r="T304" s="47" t="str">
        <f t="shared" si="88"/>
        <v/>
      </c>
      <c r="U304" s="47">
        <f t="shared" si="85"/>
        <v>157.69999999999999</v>
      </c>
      <c r="V304" s="47" t="str">
        <f t="shared" si="86"/>
        <v/>
      </c>
      <c r="W304" s="98">
        <f t="shared" si="89"/>
        <v>157.69999999999999</v>
      </c>
      <c r="X304" s="98">
        <f t="shared" si="90"/>
        <v>1</v>
      </c>
      <c r="AB304" s="42" t="s">
        <v>187</v>
      </c>
      <c r="BG304"/>
      <c r="BH304"/>
      <c r="BI304"/>
      <c r="BJ304"/>
      <c r="BK304"/>
      <c r="BL304"/>
      <c r="BM304"/>
      <c r="BN304"/>
      <c r="BO304"/>
      <c r="BP304"/>
      <c r="BQ304"/>
      <c r="BR304"/>
      <c r="BS304"/>
    </row>
    <row r="305" spans="1:71" ht="16.5" x14ac:dyDescent="0.3">
      <c r="A305" s="38" t="s">
        <v>281</v>
      </c>
      <c r="B305" s="36">
        <v>303</v>
      </c>
      <c r="C305" s="71" t="str">
        <f t="shared" ca="1" si="79"/>
        <v>10년~5년 사이</v>
      </c>
      <c r="D305" s="79">
        <v>43817</v>
      </c>
      <c r="E305" s="72">
        <f t="shared" si="80"/>
        <v>2</v>
      </c>
      <c r="F305" s="8" t="s">
        <v>1</v>
      </c>
      <c r="G305" s="59" t="s">
        <v>17</v>
      </c>
      <c r="H305" s="59" t="s">
        <v>82</v>
      </c>
      <c r="I305" s="80" t="s">
        <v>813</v>
      </c>
      <c r="J305" s="81" t="s">
        <v>4</v>
      </c>
      <c r="K305" s="75" t="s">
        <v>187</v>
      </c>
      <c r="L305" s="76">
        <v>0.6</v>
      </c>
      <c r="M305" s="58">
        <v>482.8</v>
      </c>
      <c r="N305" s="58">
        <v>289.7</v>
      </c>
      <c r="O305" s="47">
        <f t="shared" si="81"/>
        <v>0.6</v>
      </c>
      <c r="P305" s="47">
        <f t="shared" si="82"/>
        <v>0.6</v>
      </c>
      <c r="Q305" s="47">
        <f t="shared" si="83"/>
        <v>482.8</v>
      </c>
      <c r="R305" s="47">
        <f t="shared" si="84"/>
        <v>482.8</v>
      </c>
      <c r="S305" s="47">
        <f t="shared" si="87"/>
        <v>0.6</v>
      </c>
      <c r="T305" s="47">
        <f t="shared" si="88"/>
        <v>0.6</v>
      </c>
      <c r="U305" s="47">
        <f t="shared" si="85"/>
        <v>289.7</v>
      </c>
      <c r="V305" s="47">
        <f t="shared" si="86"/>
        <v>289.7</v>
      </c>
      <c r="W305" s="98">
        <f t="shared" si="89"/>
        <v>289.7</v>
      </c>
      <c r="X305" s="98">
        <f t="shared" si="90"/>
        <v>0.6</v>
      </c>
      <c r="AB305" s="42" t="s">
        <v>187</v>
      </c>
      <c r="BG305"/>
      <c r="BH305"/>
      <c r="BI305"/>
      <c r="BJ305"/>
      <c r="BK305"/>
      <c r="BL305"/>
      <c r="BM305"/>
      <c r="BN305"/>
      <c r="BO305"/>
      <c r="BP305"/>
      <c r="BQ305"/>
      <c r="BR305"/>
      <c r="BS305"/>
    </row>
    <row r="306" spans="1:71" ht="16.5" x14ac:dyDescent="0.3">
      <c r="A306" s="38" t="s">
        <v>281</v>
      </c>
      <c r="B306" s="36">
        <v>304</v>
      </c>
      <c r="C306" s="71" t="str">
        <f t="shared" ca="1" si="79"/>
        <v>10년~5년 사이</v>
      </c>
      <c r="D306" s="79">
        <v>43818</v>
      </c>
      <c r="E306" s="72">
        <f t="shared" si="80"/>
        <v>2</v>
      </c>
      <c r="F306" s="8" t="s">
        <v>1</v>
      </c>
      <c r="G306" s="59" t="s">
        <v>177</v>
      </c>
      <c r="H306" s="59" t="s">
        <v>541</v>
      </c>
      <c r="I306" s="80" t="s">
        <v>807</v>
      </c>
      <c r="J306" s="81" t="s">
        <v>4</v>
      </c>
      <c r="K306" s="75" t="s">
        <v>187</v>
      </c>
      <c r="L306" s="76">
        <v>0.7</v>
      </c>
      <c r="M306" s="58">
        <v>956.8</v>
      </c>
      <c r="N306" s="58">
        <v>669.8</v>
      </c>
      <c r="O306" s="47">
        <f t="shared" si="81"/>
        <v>0.7</v>
      </c>
      <c r="P306" s="47">
        <f t="shared" si="82"/>
        <v>0.7</v>
      </c>
      <c r="Q306" s="47">
        <f t="shared" si="83"/>
        <v>956.8</v>
      </c>
      <c r="R306" s="47">
        <f t="shared" si="84"/>
        <v>956.8</v>
      </c>
      <c r="S306" s="47">
        <f t="shared" si="87"/>
        <v>0.7</v>
      </c>
      <c r="T306" s="47">
        <f t="shared" si="88"/>
        <v>0.7</v>
      </c>
      <c r="U306" s="47">
        <f t="shared" si="85"/>
        <v>669.8</v>
      </c>
      <c r="V306" s="47">
        <f t="shared" si="86"/>
        <v>669.8</v>
      </c>
      <c r="W306" s="98">
        <f t="shared" si="89"/>
        <v>669.8</v>
      </c>
      <c r="X306" s="98">
        <f t="shared" si="90"/>
        <v>0.7</v>
      </c>
      <c r="AB306" s="42" t="s">
        <v>187</v>
      </c>
      <c r="AE306" s="42" t="s">
        <v>24</v>
      </c>
      <c r="BG306"/>
      <c r="BH306"/>
      <c r="BI306"/>
      <c r="BJ306"/>
      <c r="BK306"/>
      <c r="BL306"/>
      <c r="BM306"/>
      <c r="BN306"/>
      <c r="BO306"/>
      <c r="BP306"/>
      <c r="BQ306"/>
      <c r="BR306"/>
      <c r="BS306"/>
    </row>
    <row r="307" spans="1:71" ht="16.5" x14ac:dyDescent="0.3">
      <c r="A307" s="38" t="s">
        <v>281</v>
      </c>
      <c r="B307" s="36">
        <v>305</v>
      </c>
      <c r="C307" s="71" t="str">
        <f t="shared" ca="1" si="79"/>
        <v>10년~5년 사이</v>
      </c>
      <c r="D307" s="79">
        <v>43818</v>
      </c>
      <c r="E307" s="72">
        <f t="shared" si="80"/>
        <v>2</v>
      </c>
      <c r="F307" s="8" t="s">
        <v>1</v>
      </c>
      <c r="G307" s="59" t="s">
        <v>39</v>
      </c>
      <c r="H307" s="59" t="s">
        <v>160</v>
      </c>
      <c r="I307" s="80" t="s">
        <v>810</v>
      </c>
      <c r="J307" s="81" t="s">
        <v>4</v>
      </c>
      <c r="K307" s="75" t="s">
        <v>187</v>
      </c>
      <c r="L307" s="76">
        <v>0.82</v>
      </c>
      <c r="M307" s="58">
        <v>464.5</v>
      </c>
      <c r="N307" s="58">
        <v>380.9</v>
      </c>
      <c r="O307" s="47">
        <f t="shared" si="81"/>
        <v>0.82</v>
      </c>
      <c r="P307" s="47">
        <f t="shared" si="82"/>
        <v>0.82</v>
      </c>
      <c r="Q307" s="47">
        <f t="shared" si="83"/>
        <v>464.5</v>
      </c>
      <c r="R307" s="47">
        <f t="shared" si="84"/>
        <v>464.5</v>
      </c>
      <c r="S307" s="47">
        <f t="shared" si="87"/>
        <v>0.82</v>
      </c>
      <c r="T307" s="47">
        <f t="shared" si="88"/>
        <v>0.82</v>
      </c>
      <c r="U307" s="47">
        <f t="shared" si="85"/>
        <v>380.9</v>
      </c>
      <c r="V307" s="47">
        <f t="shared" si="86"/>
        <v>380.9</v>
      </c>
      <c r="W307" s="98">
        <f t="shared" si="89"/>
        <v>380.9</v>
      </c>
      <c r="X307" s="98">
        <f t="shared" si="90"/>
        <v>0.82</v>
      </c>
      <c r="AB307" s="42" t="s">
        <v>187</v>
      </c>
      <c r="BG307"/>
      <c r="BH307"/>
      <c r="BI307"/>
      <c r="BJ307"/>
      <c r="BK307"/>
      <c r="BL307"/>
      <c r="BM307"/>
      <c r="BN307"/>
      <c r="BO307"/>
      <c r="BP307"/>
      <c r="BQ307"/>
      <c r="BR307"/>
      <c r="BS307"/>
    </row>
    <row r="308" spans="1:71" ht="16.5" x14ac:dyDescent="0.3">
      <c r="A308" s="38" t="s">
        <v>281</v>
      </c>
      <c r="B308" s="36">
        <v>306</v>
      </c>
      <c r="C308" s="71" t="str">
        <f t="shared" ca="1" si="79"/>
        <v>10년~5년 사이</v>
      </c>
      <c r="D308" s="79">
        <v>43819</v>
      </c>
      <c r="E308" s="72">
        <f t="shared" si="80"/>
        <v>1</v>
      </c>
      <c r="F308" s="8" t="s">
        <v>1</v>
      </c>
      <c r="G308" s="59" t="s">
        <v>68</v>
      </c>
      <c r="H308" s="59" t="s">
        <v>473</v>
      </c>
      <c r="I308" s="80" t="s">
        <v>643</v>
      </c>
      <c r="J308" s="81" t="s">
        <v>4</v>
      </c>
      <c r="K308" s="75" t="s">
        <v>187</v>
      </c>
      <c r="L308" s="76">
        <v>0.6</v>
      </c>
      <c r="M308" s="58">
        <v>263.5</v>
      </c>
      <c r="N308" s="58">
        <v>158.1</v>
      </c>
      <c r="O308" s="47">
        <f t="shared" si="81"/>
        <v>0.6</v>
      </c>
      <c r="P308" s="47">
        <f t="shared" si="82"/>
        <v>0.6</v>
      </c>
      <c r="Q308" s="47">
        <f t="shared" si="83"/>
        <v>263.5</v>
      </c>
      <c r="R308" s="47">
        <f t="shared" si="84"/>
        <v>263.5</v>
      </c>
      <c r="S308" s="47">
        <f t="shared" si="87"/>
        <v>0.6</v>
      </c>
      <c r="T308" s="47" t="str">
        <f t="shared" si="88"/>
        <v/>
      </c>
      <c r="U308" s="47">
        <f t="shared" si="85"/>
        <v>158.1</v>
      </c>
      <c r="V308" s="47" t="str">
        <f t="shared" si="86"/>
        <v/>
      </c>
      <c r="W308" s="98">
        <f t="shared" si="89"/>
        <v>158.1</v>
      </c>
      <c r="X308" s="98">
        <f t="shared" si="90"/>
        <v>0.6</v>
      </c>
      <c r="AB308" s="42" t="s">
        <v>187</v>
      </c>
      <c r="BG308"/>
      <c r="BH308"/>
      <c r="BI308"/>
      <c r="BJ308"/>
      <c r="BK308"/>
      <c r="BL308"/>
      <c r="BM308"/>
      <c r="BN308"/>
      <c r="BO308"/>
      <c r="BP308"/>
      <c r="BQ308"/>
      <c r="BR308"/>
      <c r="BS308"/>
    </row>
    <row r="309" spans="1:71" ht="16.5" x14ac:dyDescent="0.3">
      <c r="A309" s="38" t="s">
        <v>281</v>
      </c>
      <c r="B309" s="36">
        <v>307</v>
      </c>
      <c r="C309" s="71" t="str">
        <f t="shared" ca="1" si="79"/>
        <v>10년~5년 사이</v>
      </c>
      <c r="D309" s="79">
        <v>43820</v>
      </c>
      <c r="E309" s="72">
        <f t="shared" si="80"/>
        <v>1</v>
      </c>
      <c r="F309" s="8" t="s">
        <v>1</v>
      </c>
      <c r="G309" s="59" t="s">
        <v>297</v>
      </c>
      <c r="H309" s="59" t="s">
        <v>594</v>
      </c>
      <c r="I309" s="80" t="s">
        <v>595</v>
      </c>
      <c r="J309" s="81" t="s">
        <v>4</v>
      </c>
      <c r="K309" s="75" t="s">
        <v>187</v>
      </c>
      <c r="L309" s="76">
        <v>0.8</v>
      </c>
      <c r="M309" s="58">
        <v>213.5</v>
      </c>
      <c r="N309" s="58">
        <v>170.8</v>
      </c>
      <c r="O309" s="47">
        <f t="shared" si="81"/>
        <v>0.8</v>
      </c>
      <c r="P309" s="47">
        <f t="shared" si="82"/>
        <v>0.8</v>
      </c>
      <c r="Q309" s="47">
        <f t="shared" si="83"/>
        <v>213.5</v>
      </c>
      <c r="R309" s="47">
        <f t="shared" si="84"/>
        <v>213.5</v>
      </c>
      <c r="S309" s="47">
        <f t="shared" si="87"/>
        <v>0.8</v>
      </c>
      <c r="T309" s="47" t="str">
        <f t="shared" si="88"/>
        <v/>
      </c>
      <c r="U309" s="47">
        <f t="shared" si="85"/>
        <v>170.8</v>
      </c>
      <c r="V309" s="47" t="str">
        <f t="shared" si="86"/>
        <v/>
      </c>
      <c r="W309" s="98">
        <f t="shared" si="89"/>
        <v>170.8</v>
      </c>
      <c r="X309" s="98">
        <f t="shared" si="90"/>
        <v>0.8</v>
      </c>
      <c r="AB309" s="42" t="s">
        <v>187</v>
      </c>
      <c r="BG309"/>
      <c r="BH309"/>
      <c r="BI309"/>
      <c r="BJ309"/>
      <c r="BK309"/>
      <c r="BL309"/>
      <c r="BM309"/>
      <c r="BN309"/>
      <c r="BO309"/>
      <c r="BP309"/>
      <c r="BQ309"/>
      <c r="BR309"/>
      <c r="BS309"/>
    </row>
    <row r="310" spans="1:71" ht="16.5" x14ac:dyDescent="0.3">
      <c r="A310" s="38" t="s">
        <v>281</v>
      </c>
      <c r="B310" s="36">
        <v>308</v>
      </c>
      <c r="C310" s="71" t="str">
        <f t="shared" ca="1" si="79"/>
        <v>10년~5년 사이</v>
      </c>
      <c r="D310" s="79">
        <v>43820</v>
      </c>
      <c r="E310" s="72">
        <f t="shared" si="80"/>
        <v>1</v>
      </c>
      <c r="F310" s="8" t="s">
        <v>1</v>
      </c>
      <c r="G310" s="59" t="s">
        <v>116</v>
      </c>
      <c r="H310" s="59" t="s">
        <v>61</v>
      </c>
      <c r="I310" s="80" t="s">
        <v>648</v>
      </c>
      <c r="J310" s="81" t="s">
        <v>4</v>
      </c>
      <c r="K310" s="75" t="s">
        <v>187</v>
      </c>
      <c r="L310" s="76">
        <v>0.8</v>
      </c>
      <c r="M310" s="58">
        <v>216.5</v>
      </c>
      <c r="N310" s="58">
        <v>194.8</v>
      </c>
      <c r="O310" s="47">
        <f t="shared" si="81"/>
        <v>0.8</v>
      </c>
      <c r="P310" s="47">
        <f t="shared" si="82"/>
        <v>0.8</v>
      </c>
      <c r="Q310" s="47">
        <f t="shared" si="83"/>
        <v>216.5</v>
      </c>
      <c r="R310" s="47">
        <f t="shared" si="84"/>
        <v>216.5</v>
      </c>
      <c r="S310" s="47">
        <f t="shared" si="87"/>
        <v>0.8</v>
      </c>
      <c r="T310" s="47" t="str">
        <f t="shared" si="88"/>
        <v/>
      </c>
      <c r="U310" s="47">
        <f t="shared" si="85"/>
        <v>194.8</v>
      </c>
      <c r="V310" s="47" t="str">
        <f t="shared" si="86"/>
        <v/>
      </c>
      <c r="W310" s="98">
        <f t="shared" si="89"/>
        <v>194.8</v>
      </c>
      <c r="X310" s="98">
        <f t="shared" si="90"/>
        <v>0.8</v>
      </c>
      <c r="AB310" s="42" t="s">
        <v>187</v>
      </c>
      <c r="BG310"/>
      <c r="BH310"/>
      <c r="BI310"/>
      <c r="BJ310"/>
      <c r="BK310"/>
      <c r="BL310"/>
      <c r="BM310"/>
      <c r="BN310"/>
      <c r="BO310"/>
      <c r="BP310"/>
      <c r="BQ310"/>
      <c r="BR310"/>
      <c r="BS310"/>
    </row>
    <row r="311" spans="1:71" ht="16.5" x14ac:dyDescent="0.3">
      <c r="A311" s="38" t="s">
        <v>281</v>
      </c>
      <c r="B311" s="36">
        <v>309</v>
      </c>
      <c r="C311" s="71" t="str">
        <f t="shared" ca="1" si="79"/>
        <v>10년~5년 사이</v>
      </c>
      <c r="D311" s="79">
        <v>43822</v>
      </c>
      <c r="E311" s="72">
        <f t="shared" si="80"/>
        <v>2</v>
      </c>
      <c r="F311" s="8" t="s">
        <v>1</v>
      </c>
      <c r="G311" s="59" t="s">
        <v>68</v>
      </c>
      <c r="H311" s="59" t="s">
        <v>77</v>
      </c>
      <c r="I311" s="80" t="s">
        <v>758</v>
      </c>
      <c r="J311" s="81" t="s">
        <v>4</v>
      </c>
      <c r="K311" s="75" t="s">
        <v>187</v>
      </c>
      <c r="L311" s="76">
        <v>0.6</v>
      </c>
      <c r="M311" s="58">
        <v>707.3</v>
      </c>
      <c r="N311" s="58">
        <v>424.4</v>
      </c>
      <c r="O311" s="47">
        <f t="shared" si="81"/>
        <v>0.6</v>
      </c>
      <c r="P311" s="47">
        <f t="shared" si="82"/>
        <v>0.6</v>
      </c>
      <c r="Q311" s="47">
        <f t="shared" si="83"/>
        <v>707.3</v>
      </c>
      <c r="R311" s="47">
        <f t="shared" si="84"/>
        <v>707.3</v>
      </c>
      <c r="S311" s="47">
        <f t="shared" si="87"/>
        <v>0.6</v>
      </c>
      <c r="T311" s="47">
        <f t="shared" si="88"/>
        <v>0.6</v>
      </c>
      <c r="U311" s="47">
        <f t="shared" si="85"/>
        <v>424.4</v>
      </c>
      <c r="V311" s="47">
        <f t="shared" si="86"/>
        <v>424.4</v>
      </c>
      <c r="W311" s="98">
        <f t="shared" si="89"/>
        <v>424.4</v>
      </c>
      <c r="X311" s="98">
        <f t="shared" si="90"/>
        <v>0.6</v>
      </c>
      <c r="AB311" s="42" t="s">
        <v>187</v>
      </c>
      <c r="AE311" s="42" t="s">
        <v>24</v>
      </c>
      <c r="BG311"/>
      <c r="BH311"/>
      <c r="BI311"/>
      <c r="BJ311"/>
      <c r="BK311"/>
      <c r="BL311"/>
      <c r="BM311"/>
      <c r="BN311"/>
      <c r="BO311"/>
      <c r="BP311"/>
      <c r="BQ311"/>
      <c r="BR311"/>
      <c r="BS311"/>
    </row>
    <row r="312" spans="1:71" ht="16.5" x14ac:dyDescent="0.3">
      <c r="A312" s="38" t="s">
        <v>281</v>
      </c>
      <c r="B312" s="36">
        <v>310</v>
      </c>
      <c r="C312" s="71" t="str">
        <f t="shared" ca="1" si="79"/>
        <v>10년~5년 사이</v>
      </c>
      <c r="D312" s="79">
        <v>43823</v>
      </c>
      <c r="E312" s="72">
        <f t="shared" si="80"/>
        <v>1</v>
      </c>
      <c r="F312" s="8" t="s">
        <v>1</v>
      </c>
      <c r="G312" s="59" t="s">
        <v>68</v>
      </c>
      <c r="H312" s="59" t="s">
        <v>75</v>
      </c>
      <c r="I312" s="80" t="s">
        <v>631</v>
      </c>
      <c r="J312" s="81" t="s">
        <v>4</v>
      </c>
      <c r="K312" s="75" t="s">
        <v>187</v>
      </c>
      <c r="L312" s="76">
        <v>1</v>
      </c>
      <c r="M312" s="58">
        <v>167.6</v>
      </c>
      <c r="N312" s="58">
        <v>167.6</v>
      </c>
      <c r="O312" s="47">
        <f t="shared" si="81"/>
        <v>1</v>
      </c>
      <c r="P312" s="47" t="str">
        <f t="shared" si="82"/>
        <v/>
      </c>
      <c r="Q312" s="47">
        <f t="shared" si="83"/>
        <v>167.6</v>
      </c>
      <c r="R312" s="47" t="str">
        <f t="shared" si="84"/>
        <v/>
      </c>
      <c r="S312" s="47">
        <f t="shared" si="87"/>
        <v>1</v>
      </c>
      <c r="T312" s="47" t="str">
        <f t="shared" si="88"/>
        <v/>
      </c>
      <c r="U312" s="47">
        <f t="shared" si="85"/>
        <v>167.6</v>
      </c>
      <c r="V312" s="47" t="str">
        <f t="shared" si="86"/>
        <v/>
      </c>
      <c r="W312" s="98">
        <f t="shared" si="89"/>
        <v>167.6</v>
      </c>
      <c r="X312" s="98">
        <f t="shared" si="90"/>
        <v>1</v>
      </c>
      <c r="AB312" s="42" t="s">
        <v>187</v>
      </c>
      <c r="BG312"/>
      <c r="BH312"/>
      <c r="BI312"/>
      <c r="BJ312"/>
      <c r="BK312"/>
      <c r="BL312"/>
      <c r="BM312"/>
      <c r="BN312"/>
      <c r="BO312"/>
      <c r="BP312"/>
      <c r="BQ312"/>
      <c r="BR312"/>
      <c r="BS312"/>
    </row>
    <row r="313" spans="1:71" ht="16.5" x14ac:dyDescent="0.3">
      <c r="A313" s="38" t="s">
        <v>281</v>
      </c>
      <c r="B313" s="36">
        <v>311</v>
      </c>
      <c r="C313" s="71" t="str">
        <f t="shared" ca="1" si="79"/>
        <v>10년~5년 사이</v>
      </c>
      <c r="D313" s="79">
        <v>43823</v>
      </c>
      <c r="E313" s="72">
        <f t="shared" si="80"/>
        <v>1</v>
      </c>
      <c r="F313" s="8" t="s">
        <v>1</v>
      </c>
      <c r="G313" s="59" t="s">
        <v>231</v>
      </c>
      <c r="H313" s="59" t="s">
        <v>632</v>
      </c>
      <c r="I313" s="80" t="s">
        <v>631</v>
      </c>
      <c r="J313" s="81" t="s">
        <v>4</v>
      </c>
      <c r="K313" s="75" t="s">
        <v>187</v>
      </c>
      <c r="L313" s="76">
        <v>1</v>
      </c>
      <c r="M313" s="58">
        <v>167.6</v>
      </c>
      <c r="N313" s="58">
        <v>167.6</v>
      </c>
      <c r="O313" s="47">
        <f t="shared" si="81"/>
        <v>1</v>
      </c>
      <c r="P313" s="47" t="str">
        <f t="shared" si="82"/>
        <v/>
      </c>
      <c r="Q313" s="47">
        <f t="shared" si="83"/>
        <v>167.6</v>
      </c>
      <c r="R313" s="47" t="str">
        <f t="shared" si="84"/>
        <v/>
      </c>
      <c r="S313" s="47">
        <f t="shared" si="87"/>
        <v>1</v>
      </c>
      <c r="T313" s="47" t="str">
        <f t="shared" si="88"/>
        <v/>
      </c>
      <c r="U313" s="47">
        <f t="shared" si="85"/>
        <v>167.6</v>
      </c>
      <c r="V313" s="47" t="str">
        <f t="shared" si="86"/>
        <v/>
      </c>
      <c r="W313" s="98">
        <f t="shared" si="89"/>
        <v>167.6</v>
      </c>
      <c r="X313" s="98">
        <f t="shared" si="90"/>
        <v>1</v>
      </c>
      <c r="AB313" s="42" t="s">
        <v>187</v>
      </c>
      <c r="BG313"/>
      <c r="BH313"/>
      <c r="BI313"/>
      <c r="BJ313"/>
      <c r="BK313"/>
      <c r="BL313"/>
      <c r="BM313"/>
      <c r="BN313"/>
      <c r="BO313"/>
      <c r="BP313"/>
      <c r="BQ313"/>
      <c r="BR313"/>
      <c r="BS313"/>
    </row>
    <row r="314" spans="1:71" ht="16.5" x14ac:dyDescent="0.3">
      <c r="A314" s="38" t="s">
        <v>281</v>
      </c>
      <c r="B314" s="36">
        <v>312</v>
      </c>
      <c r="C314" s="71" t="str">
        <f t="shared" ca="1" si="79"/>
        <v>10년~5년 사이</v>
      </c>
      <c r="D314" s="79">
        <v>43825</v>
      </c>
      <c r="E314" s="72">
        <f t="shared" si="80"/>
        <v>1</v>
      </c>
      <c r="F314" s="8" t="s">
        <v>1</v>
      </c>
      <c r="G314" s="59" t="s">
        <v>562</v>
      </c>
      <c r="H314" s="59" t="s">
        <v>563</v>
      </c>
      <c r="I314" s="41" t="s">
        <v>564</v>
      </c>
      <c r="J314" s="81" t="s">
        <v>4</v>
      </c>
      <c r="K314" s="75" t="s">
        <v>187</v>
      </c>
      <c r="L314" s="76">
        <v>0.38</v>
      </c>
      <c r="M314" s="58">
        <v>481.3</v>
      </c>
      <c r="N314" s="58">
        <v>150.80000000000001</v>
      </c>
      <c r="O314" s="47">
        <f t="shared" si="81"/>
        <v>0.38</v>
      </c>
      <c r="P314" s="47">
        <f t="shared" si="82"/>
        <v>0.38</v>
      </c>
      <c r="Q314" s="47">
        <f t="shared" si="83"/>
        <v>481.3</v>
      </c>
      <c r="R314" s="47">
        <f t="shared" si="84"/>
        <v>481.3</v>
      </c>
      <c r="S314" s="47">
        <f t="shared" si="87"/>
        <v>0.38</v>
      </c>
      <c r="T314" s="47" t="str">
        <f t="shared" si="88"/>
        <v/>
      </c>
      <c r="U314" s="47">
        <f t="shared" si="85"/>
        <v>150.80000000000001</v>
      </c>
      <c r="V314" s="47" t="str">
        <f t="shared" si="86"/>
        <v/>
      </c>
      <c r="W314" s="98">
        <f t="shared" si="89"/>
        <v>150.80000000000001</v>
      </c>
      <c r="X314" s="98">
        <f t="shared" si="90"/>
        <v>0.38</v>
      </c>
      <c r="AB314" s="42" t="s">
        <v>187</v>
      </c>
      <c r="BG314"/>
      <c r="BH314"/>
      <c r="BI314"/>
      <c r="BJ314"/>
      <c r="BK314"/>
      <c r="BL314"/>
      <c r="BM314"/>
      <c r="BN314"/>
      <c r="BO314"/>
      <c r="BP314"/>
      <c r="BQ314"/>
      <c r="BR314"/>
      <c r="BS314"/>
    </row>
    <row r="315" spans="1:71" ht="16.5" x14ac:dyDescent="0.3">
      <c r="A315" s="38" t="s">
        <v>281</v>
      </c>
      <c r="B315" s="36">
        <v>313</v>
      </c>
      <c r="C315" s="71" t="str">
        <f t="shared" ca="1" si="79"/>
        <v>10년~5년 사이</v>
      </c>
      <c r="D315" s="79">
        <v>43826</v>
      </c>
      <c r="E315" s="72">
        <f t="shared" si="80"/>
        <v>1</v>
      </c>
      <c r="F315" s="8" t="s">
        <v>1</v>
      </c>
      <c r="G315" s="59" t="s">
        <v>466</v>
      </c>
      <c r="H315" s="59" t="s">
        <v>467</v>
      </c>
      <c r="I315" s="80" t="s">
        <v>627</v>
      </c>
      <c r="J315" s="81" t="s">
        <v>4</v>
      </c>
      <c r="K315" s="75" t="s">
        <v>187</v>
      </c>
      <c r="L315" s="76">
        <v>0.55000000000000004</v>
      </c>
      <c r="M315" s="58">
        <v>282.7</v>
      </c>
      <c r="N315" s="58">
        <v>155.4</v>
      </c>
      <c r="O315" s="47">
        <f t="shared" si="81"/>
        <v>0.55000000000000004</v>
      </c>
      <c r="P315" s="47">
        <f t="shared" si="82"/>
        <v>0.55000000000000004</v>
      </c>
      <c r="Q315" s="47">
        <f t="shared" si="83"/>
        <v>282.7</v>
      </c>
      <c r="R315" s="47">
        <f t="shared" si="84"/>
        <v>282.7</v>
      </c>
      <c r="S315" s="47">
        <f t="shared" si="87"/>
        <v>0.55000000000000004</v>
      </c>
      <c r="T315" s="47" t="str">
        <f t="shared" si="88"/>
        <v/>
      </c>
      <c r="U315" s="47">
        <f t="shared" si="85"/>
        <v>155.4</v>
      </c>
      <c r="V315" s="47" t="str">
        <f t="shared" si="86"/>
        <v/>
      </c>
      <c r="W315" s="98">
        <f t="shared" si="89"/>
        <v>155.4</v>
      </c>
      <c r="X315" s="98">
        <f t="shared" si="90"/>
        <v>0.55000000000000004</v>
      </c>
      <c r="AB315" s="42" t="s">
        <v>187</v>
      </c>
      <c r="BG315"/>
      <c r="BH315"/>
      <c r="BI315"/>
      <c r="BJ315"/>
      <c r="BK315"/>
      <c r="BL315"/>
      <c r="BM315"/>
      <c r="BN315"/>
      <c r="BO315"/>
      <c r="BP315"/>
      <c r="BQ315"/>
      <c r="BR315"/>
      <c r="BS315"/>
    </row>
    <row r="316" spans="1:71" ht="16.5" x14ac:dyDescent="0.3">
      <c r="A316" s="38" t="s">
        <v>281</v>
      </c>
      <c r="B316" s="36">
        <v>314</v>
      </c>
      <c r="C316" s="71" t="str">
        <f t="shared" ca="1" si="79"/>
        <v>10년~5년 사이</v>
      </c>
      <c r="D316" s="79">
        <v>43826</v>
      </c>
      <c r="E316" s="72" t="str">
        <f t="shared" si="80"/>
        <v/>
      </c>
      <c r="F316" s="8" t="s">
        <v>1</v>
      </c>
      <c r="H316" s="87" t="s">
        <v>829</v>
      </c>
      <c r="I316" s="80" t="s">
        <v>830</v>
      </c>
      <c r="J316" s="81" t="s">
        <v>4</v>
      </c>
      <c r="K316" s="75" t="s">
        <v>187</v>
      </c>
      <c r="L316" s="76"/>
      <c r="O316" s="47" t="str">
        <f t="shared" si="81"/>
        <v/>
      </c>
      <c r="P316" s="47" t="str">
        <f t="shared" si="82"/>
        <v/>
      </c>
      <c r="Q316" s="47" t="str">
        <f t="shared" si="83"/>
        <v/>
      </c>
      <c r="R316" s="47" t="str">
        <f t="shared" si="84"/>
        <v/>
      </c>
      <c r="S316" s="47" t="str">
        <f t="shared" si="87"/>
        <v/>
      </c>
      <c r="T316" s="47" t="str">
        <f t="shared" si="88"/>
        <v/>
      </c>
      <c r="U316" s="47" t="str">
        <f t="shared" si="85"/>
        <v/>
      </c>
      <c r="V316" s="47" t="str">
        <f t="shared" si="86"/>
        <v/>
      </c>
      <c r="W316" s="98">
        <f t="shared" si="89"/>
        <v>0</v>
      </c>
      <c r="X316" s="98" t="str">
        <f t="shared" si="90"/>
        <v/>
      </c>
      <c r="AB316" s="42" t="s">
        <v>187</v>
      </c>
      <c r="BG316"/>
      <c r="BH316"/>
      <c r="BI316"/>
      <c r="BJ316"/>
      <c r="BK316"/>
      <c r="BL316"/>
      <c r="BM316"/>
      <c r="BN316"/>
      <c r="BO316"/>
      <c r="BP316"/>
      <c r="BQ316"/>
      <c r="BR316"/>
      <c r="BS316"/>
    </row>
    <row r="317" spans="1:71" ht="16.5" x14ac:dyDescent="0.3">
      <c r="A317" s="38" t="s">
        <v>281</v>
      </c>
      <c r="B317" s="36">
        <v>315</v>
      </c>
      <c r="C317" s="71" t="str">
        <f t="shared" ca="1" si="79"/>
        <v>10년~5년 사이</v>
      </c>
      <c r="D317" s="79">
        <v>43827</v>
      </c>
      <c r="E317" s="72">
        <f t="shared" si="80"/>
        <v>1</v>
      </c>
      <c r="F317" s="8" t="s">
        <v>1</v>
      </c>
      <c r="G317" s="59" t="s">
        <v>17</v>
      </c>
      <c r="H317" s="66" t="s">
        <v>139</v>
      </c>
      <c r="I317" s="80" t="s">
        <v>635</v>
      </c>
      <c r="J317" s="81" t="s">
        <v>4</v>
      </c>
      <c r="K317" s="75" t="s">
        <v>187</v>
      </c>
      <c r="L317" s="76">
        <v>0.45</v>
      </c>
      <c r="M317" s="58">
        <v>225</v>
      </c>
      <c r="N317" s="58">
        <v>101.2</v>
      </c>
      <c r="O317" s="47">
        <f t="shared" si="81"/>
        <v>0.45</v>
      </c>
      <c r="P317" s="47">
        <f t="shared" si="82"/>
        <v>0.45</v>
      </c>
      <c r="Q317" s="47">
        <f t="shared" si="83"/>
        <v>225</v>
      </c>
      <c r="R317" s="47">
        <f t="shared" si="84"/>
        <v>225</v>
      </c>
      <c r="S317" s="47">
        <f t="shared" si="87"/>
        <v>0.45</v>
      </c>
      <c r="T317" s="47" t="str">
        <f t="shared" si="88"/>
        <v/>
      </c>
      <c r="U317" s="47">
        <f t="shared" si="85"/>
        <v>101.2</v>
      </c>
      <c r="V317" s="47" t="str">
        <f t="shared" si="86"/>
        <v/>
      </c>
      <c r="W317" s="98">
        <f t="shared" si="89"/>
        <v>101.2</v>
      </c>
      <c r="X317" s="98">
        <f t="shared" si="90"/>
        <v>0.45</v>
      </c>
      <c r="AB317" s="42" t="s">
        <v>187</v>
      </c>
      <c r="BG317"/>
      <c r="BH317"/>
      <c r="BI317"/>
      <c r="BJ317"/>
      <c r="BK317"/>
      <c r="BL317"/>
      <c r="BM317"/>
      <c r="BN317"/>
      <c r="BO317"/>
      <c r="BP317"/>
      <c r="BQ317"/>
      <c r="BR317"/>
      <c r="BS317"/>
    </row>
    <row r="318" spans="1:71" ht="16.5" x14ac:dyDescent="0.3">
      <c r="A318" s="38" t="s">
        <v>281</v>
      </c>
      <c r="B318" s="36">
        <v>316</v>
      </c>
      <c r="C318" s="71" t="str">
        <f t="shared" ca="1" si="79"/>
        <v>10년~5년 사이</v>
      </c>
      <c r="D318" s="79">
        <v>43827</v>
      </c>
      <c r="E318" s="72">
        <f t="shared" si="80"/>
        <v>2</v>
      </c>
      <c r="F318" s="8" t="s">
        <v>1</v>
      </c>
      <c r="G318" s="59" t="s">
        <v>39</v>
      </c>
      <c r="H318" s="59" t="s">
        <v>160</v>
      </c>
      <c r="I318" s="80" t="s">
        <v>788</v>
      </c>
      <c r="J318" s="81" t="s">
        <v>4</v>
      </c>
      <c r="K318" s="75" t="s">
        <v>187</v>
      </c>
      <c r="L318" s="76">
        <v>0.6</v>
      </c>
      <c r="M318" s="58">
        <v>683.8</v>
      </c>
      <c r="N318" s="58">
        <v>211.4</v>
      </c>
      <c r="O318" s="47">
        <f t="shared" si="81"/>
        <v>0.6</v>
      </c>
      <c r="P318" s="47">
        <f t="shared" si="82"/>
        <v>0.6</v>
      </c>
      <c r="Q318" s="47">
        <f t="shared" si="83"/>
        <v>683.8</v>
      </c>
      <c r="R318" s="47">
        <f t="shared" si="84"/>
        <v>683.8</v>
      </c>
      <c r="S318" s="47">
        <f t="shared" si="87"/>
        <v>0.6</v>
      </c>
      <c r="T318" s="47">
        <f t="shared" si="88"/>
        <v>0.6</v>
      </c>
      <c r="U318" s="47">
        <f t="shared" si="85"/>
        <v>211.4</v>
      </c>
      <c r="V318" s="47">
        <f t="shared" si="86"/>
        <v>211.4</v>
      </c>
      <c r="W318" s="98">
        <f t="shared" si="89"/>
        <v>211.4</v>
      </c>
      <c r="X318" s="98">
        <f t="shared" si="90"/>
        <v>0.6</v>
      </c>
      <c r="AB318" s="42" t="s">
        <v>187</v>
      </c>
      <c r="AE318" s="42" t="s">
        <v>24</v>
      </c>
      <c r="BG318"/>
      <c r="BH318"/>
      <c r="BI318"/>
      <c r="BJ318"/>
      <c r="BK318"/>
      <c r="BL318"/>
      <c r="BM318"/>
      <c r="BN318"/>
      <c r="BO318"/>
      <c r="BP318"/>
      <c r="BQ318"/>
      <c r="BR318"/>
      <c r="BS318"/>
    </row>
    <row r="319" spans="1:71" ht="16.5" x14ac:dyDescent="0.3">
      <c r="A319" s="38" t="s">
        <v>281</v>
      </c>
      <c r="B319" s="36">
        <v>317</v>
      </c>
      <c r="C319" s="71" t="str">
        <f t="shared" ref="C319:C382" ca="1" si="91">IF(TODAY()-10*365&gt;D319,"10년 초과",IF(TODAY()-5*365&gt;D319,"10년~5년 사이","5년 이내"))</f>
        <v>10년~5년 사이</v>
      </c>
      <c r="D319" s="79">
        <v>43847</v>
      </c>
      <c r="E319" s="72">
        <f t="shared" ref="E319:E382" si="92">IF((N319&gt;200),2,IF(N319&gt;100,1,IF((N319&lt;99.9),"")))</f>
        <v>2</v>
      </c>
      <c r="F319" s="8" t="s">
        <v>1</v>
      </c>
      <c r="G319" s="59" t="s">
        <v>17</v>
      </c>
      <c r="H319" s="66" t="s">
        <v>138</v>
      </c>
      <c r="I319" s="80" t="s">
        <v>575</v>
      </c>
      <c r="J319" s="81" t="s">
        <v>4</v>
      </c>
      <c r="K319" s="75" t="s">
        <v>187</v>
      </c>
      <c r="L319" s="76">
        <v>0.8</v>
      </c>
      <c r="M319" s="58">
        <v>400</v>
      </c>
      <c r="N319" s="58">
        <v>320</v>
      </c>
      <c r="O319" s="47">
        <f t="shared" si="81"/>
        <v>0.8</v>
      </c>
      <c r="P319" s="47">
        <f t="shared" si="82"/>
        <v>0.8</v>
      </c>
      <c r="Q319" s="47">
        <f t="shared" si="83"/>
        <v>400</v>
      </c>
      <c r="R319" s="47">
        <f t="shared" si="84"/>
        <v>400</v>
      </c>
      <c r="S319" s="47">
        <f t="shared" si="87"/>
        <v>0.8</v>
      </c>
      <c r="T319" s="47">
        <f t="shared" si="88"/>
        <v>0.8</v>
      </c>
      <c r="U319" s="47">
        <f t="shared" si="85"/>
        <v>320</v>
      </c>
      <c r="V319" s="47">
        <f t="shared" si="86"/>
        <v>320</v>
      </c>
      <c r="W319" s="98">
        <f t="shared" si="89"/>
        <v>320</v>
      </c>
      <c r="X319" s="98">
        <f t="shared" si="90"/>
        <v>0.8</v>
      </c>
      <c r="AB319" s="42" t="s">
        <v>187</v>
      </c>
      <c r="BG319"/>
      <c r="BH319"/>
      <c r="BI319"/>
      <c r="BJ319"/>
      <c r="BK319"/>
      <c r="BL319"/>
      <c r="BM319"/>
      <c r="BN319"/>
      <c r="BO319"/>
      <c r="BP319"/>
      <c r="BQ319"/>
      <c r="BR319"/>
      <c r="BS319"/>
    </row>
    <row r="320" spans="1:71" ht="16.5" x14ac:dyDescent="0.3">
      <c r="A320" s="38" t="s">
        <v>281</v>
      </c>
      <c r="B320" s="36">
        <v>318</v>
      </c>
      <c r="C320" s="71" t="str">
        <f t="shared" ca="1" si="91"/>
        <v>10년~5년 사이</v>
      </c>
      <c r="D320" s="79">
        <v>43861</v>
      </c>
      <c r="E320" s="72">
        <f t="shared" si="92"/>
        <v>2</v>
      </c>
      <c r="F320" s="8" t="s">
        <v>1</v>
      </c>
      <c r="G320" s="59" t="s">
        <v>68</v>
      </c>
      <c r="H320" s="59" t="s">
        <v>756</v>
      </c>
      <c r="I320" s="80" t="s">
        <v>777</v>
      </c>
      <c r="J320" s="81" t="s">
        <v>4</v>
      </c>
      <c r="K320" s="75" t="s">
        <v>187</v>
      </c>
      <c r="L320" s="76">
        <v>1</v>
      </c>
      <c r="M320" s="58">
        <v>278</v>
      </c>
      <c r="N320" s="58">
        <v>278</v>
      </c>
      <c r="O320" s="47">
        <f t="shared" si="81"/>
        <v>1</v>
      </c>
      <c r="P320" s="47">
        <f t="shared" si="82"/>
        <v>1</v>
      </c>
      <c r="Q320" s="47">
        <f t="shared" si="83"/>
        <v>278</v>
      </c>
      <c r="R320" s="47">
        <f t="shared" si="84"/>
        <v>278</v>
      </c>
      <c r="S320" s="47">
        <f t="shared" si="87"/>
        <v>1</v>
      </c>
      <c r="T320" s="47">
        <f t="shared" si="88"/>
        <v>1</v>
      </c>
      <c r="U320" s="47">
        <f t="shared" si="85"/>
        <v>278</v>
      </c>
      <c r="V320" s="47">
        <f t="shared" si="86"/>
        <v>278</v>
      </c>
      <c r="W320" s="98">
        <f t="shared" si="89"/>
        <v>278</v>
      </c>
      <c r="X320" s="98">
        <f t="shared" si="90"/>
        <v>1</v>
      </c>
      <c r="AB320" s="42" t="s">
        <v>187</v>
      </c>
      <c r="AE320" s="42" t="s">
        <v>24</v>
      </c>
      <c r="BG320"/>
      <c r="BH320"/>
      <c r="BI320"/>
      <c r="BJ320"/>
      <c r="BK320"/>
      <c r="BL320"/>
      <c r="BM320"/>
      <c r="BN320"/>
      <c r="BO320"/>
      <c r="BP320"/>
      <c r="BQ320"/>
      <c r="BR320"/>
      <c r="BS320"/>
    </row>
    <row r="321" spans="1:71" ht="16.5" x14ac:dyDescent="0.3">
      <c r="A321" s="38" t="s">
        <v>281</v>
      </c>
      <c r="B321" s="36">
        <v>319</v>
      </c>
      <c r="C321" s="71" t="str">
        <f t="shared" ca="1" si="91"/>
        <v>10년~5년 사이</v>
      </c>
      <c r="D321" s="79">
        <v>43873</v>
      </c>
      <c r="E321" s="72">
        <f t="shared" si="92"/>
        <v>2</v>
      </c>
      <c r="F321" s="8" t="s">
        <v>1</v>
      </c>
      <c r="G321" s="59" t="s">
        <v>253</v>
      </c>
      <c r="H321" s="59" t="s">
        <v>601</v>
      </c>
      <c r="I321" s="80" t="s">
        <v>602</v>
      </c>
      <c r="J321" s="81" t="s">
        <v>4</v>
      </c>
      <c r="K321" s="75" t="s">
        <v>187</v>
      </c>
      <c r="L321" s="76">
        <v>1</v>
      </c>
      <c r="M321" s="58">
        <v>610.4</v>
      </c>
      <c r="N321" s="58">
        <v>610.4</v>
      </c>
      <c r="O321" s="47">
        <f t="shared" si="81"/>
        <v>1</v>
      </c>
      <c r="P321" s="47">
        <f t="shared" si="82"/>
        <v>1</v>
      </c>
      <c r="Q321" s="47">
        <f t="shared" si="83"/>
        <v>610.4</v>
      </c>
      <c r="R321" s="47">
        <f t="shared" si="84"/>
        <v>610.4</v>
      </c>
      <c r="S321" s="47">
        <f t="shared" si="87"/>
        <v>1</v>
      </c>
      <c r="T321" s="47">
        <f t="shared" si="88"/>
        <v>1</v>
      </c>
      <c r="U321" s="47">
        <f t="shared" si="85"/>
        <v>610.4</v>
      </c>
      <c r="V321" s="47">
        <f t="shared" si="86"/>
        <v>610.4</v>
      </c>
      <c r="W321" s="98">
        <f t="shared" si="89"/>
        <v>610.4</v>
      </c>
      <c r="X321" s="98">
        <f t="shared" si="90"/>
        <v>1</v>
      </c>
      <c r="AB321" s="42" t="s">
        <v>187</v>
      </c>
      <c r="BG321"/>
      <c r="BH321"/>
      <c r="BI321"/>
      <c r="BJ321"/>
      <c r="BK321"/>
      <c r="BL321"/>
      <c r="BM321"/>
      <c r="BN321"/>
      <c r="BO321"/>
      <c r="BP321"/>
      <c r="BQ321"/>
      <c r="BR321"/>
      <c r="BS321"/>
    </row>
    <row r="322" spans="1:71" ht="16.5" x14ac:dyDescent="0.3">
      <c r="A322" s="38" t="s">
        <v>281</v>
      </c>
      <c r="B322" s="36">
        <v>320</v>
      </c>
      <c r="C322" s="71" t="str">
        <f t="shared" ca="1" si="91"/>
        <v>10년~5년 사이</v>
      </c>
      <c r="D322" s="79">
        <v>43899</v>
      </c>
      <c r="E322" s="72" t="str">
        <f t="shared" si="92"/>
        <v/>
      </c>
      <c r="F322" s="8" t="s">
        <v>1</v>
      </c>
      <c r="G322" s="59" t="s">
        <v>17</v>
      </c>
      <c r="H322" s="66" t="s">
        <v>139</v>
      </c>
      <c r="I322" s="80" t="s">
        <v>664</v>
      </c>
      <c r="J322" s="81" t="s">
        <v>4</v>
      </c>
      <c r="K322" s="75" t="s">
        <v>187</v>
      </c>
      <c r="L322" s="76">
        <v>0.6</v>
      </c>
      <c r="M322" s="58">
        <v>19.600000000000001</v>
      </c>
      <c r="N322" s="58">
        <v>11.7</v>
      </c>
      <c r="O322" s="47" t="str">
        <f t="shared" si="81"/>
        <v/>
      </c>
      <c r="P322" s="47" t="str">
        <f t="shared" si="82"/>
        <v/>
      </c>
      <c r="Q322" s="47" t="str">
        <f t="shared" si="83"/>
        <v/>
      </c>
      <c r="R322" s="47" t="str">
        <f t="shared" si="84"/>
        <v/>
      </c>
      <c r="S322" s="47" t="str">
        <f t="shared" si="87"/>
        <v/>
      </c>
      <c r="T322" s="47" t="str">
        <f t="shared" si="88"/>
        <v/>
      </c>
      <c r="U322" s="47" t="str">
        <f t="shared" si="85"/>
        <v/>
      </c>
      <c r="V322" s="47" t="str">
        <f t="shared" si="86"/>
        <v/>
      </c>
      <c r="W322" s="98">
        <f t="shared" si="89"/>
        <v>11.7</v>
      </c>
      <c r="X322" s="98">
        <f t="shared" si="90"/>
        <v>0.6</v>
      </c>
      <c r="AB322" s="42" t="s">
        <v>187</v>
      </c>
      <c r="BG322"/>
      <c r="BH322"/>
      <c r="BI322"/>
      <c r="BJ322"/>
      <c r="BK322"/>
      <c r="BL322"/>
      <c r="BM322"/>
      <c r="BN322"/>
      <c r="BO322"/>
      <c r="BP322"/>
      <c r="BQ322"/>
      <c r="BR322"/>
      <c r="BS322"/>
    </row>
    <row r="323" spans="1:71" ht="16.5" x14ac:dyDescent="0.3">
      <c r="A323" s="38" t="s">
        <v>281</v>
      </c>
      <c r="B323" s="36">
        <v>321</v>
      </c>
      <c r="C323" s="71" t="str">
        <f t="shared" ca="1" si="91"/>
        <v>10년~5년 사이</v>
      </c>
      <c r="D323" s="79">
        <v>43904</v>
      </c>
      <c r="E323" s="72">
        <f t="shared" si="92"/>
        <v>2</v>
      </c>
      <c r="F323" s="8" t="s">
        <v>1</v>
      </c>
      <c r="G323" s="59" t="s">
        <v>491</v>
      </c>
      <c r="H323" s="59" t="s">
        <v>734</v>
      </c>
      <c r="I323" s="80" t="s">
        <v>735</v>
      </c>
      <c r="J323" s="81" t="s">
        <v>4</v>
      </c>
      <c r="K323" s="75" t="s">
        <v>187</v>
      </c>
      <c r="L323" s="76">
        <v>0.6</v>
      </c>
      <c r="M323" s="58">
        <v>336.87</v>
      </c>
      <c r="N323" s="58">
        <v>1967.3</v>
      </c>
      <c r="O323" s="47">
        <f t="shared" si="81"/>
        <v>0.6</v>
      </c>
      <c r="P323" s="47">
        <f t="shared" si="82"/>
        <v>0.6</v>
      </c>
      <c r="Q323" s="47">
        <f t="shared" si="83"/>
        <v>336.87</v>
      </c>
      <c r="R323" s="47">
        <f t="shared" si="84"/>
        <v>336.87</v>
      </c>
      <c r="S323" s="47">
        <f t="shared" si="87"/>
        <v>0.6</v>
      </c>
      <c r="T323" s="47">
        <f t="shared" si="88"/>
        <v>0.6</v>
      </c>
      <c r="U323" s="47">
        <f t="shared" si="85"/>
        <v>1967.3</v>
      </c>
      <c r="V323" s="47">
        <f t="shared" si="86"/>
        <v>1967.3</v>
      </c>
      <c r="W323" s="98">
        <f t="shared" si="89"/>
        <v>1967.3</v>
      </c>
      <c r="X323" s="98">
        <f t="shared" si="90"/>
        <v>0.6</v>
      </c>
      <c r="AB323" s="42" t="s">
        <v>187</v>
      </c>
      <c r="AE323" s="42" t="s">
        <v>24</v>
      </c>
      <c r="BG323"/>
      <c r="BH323"/>
      <c r="BI323"/>
      <c r="BJ323"/>
      <c r="BK323"/>
      <c r="BL323"/>
      <c r="BM323"/>
      <c r="BN323"/>
      <c r="BO323"/>
      <c r="BP323"/>
      <c r="BQ323"/>
      <c r="BR323"/>
      <c r="BS323"/>
    </row>
    <row r="324" spans="1:71" ht="16.5" x14ac:dyDescent="0.3">
      <c r="A324" s="38" t="s">
        <v>281</v>
      </c>
      <c r="B324" s="36">
        <v>322</v>
      </c>
      <c r="C324" s="71" t="str">
        <f t="shared" ca="1" si="91"/>
        <v>10년~5년 사이</v>
      </c>
      <c r="D324" s="79">
        <v>43904</v>
      </c>
      <c r="E324" s="72">
        <f t="shared" si="92"/>
        <v>2</v>
      </c>
      <c r="F324" s="8" t="s">
        <v>1</v>
      </c>
      <c r="G324" s="59" t="s">
        <v>491</v>
      </c>
      <c r="H324" s="59" t="s">
        <v>736</v>
      </c>
      <c r="I324" s="80" t="s">
        <v>735</v>
      </c>
      <c r="J324" s="81" t="s">
        <v>4</v>
      </c>
      <c r="K324" s="75" t="s">
        <v>187</v>
      </c>
      <c r="L324" s="76">
        <v>0.6</v>
      </c>
      <c r="M324" s="58">
        <v>336.87</v>
      </c>
      <c r="N324" s="58">
        <v>1967.3</v>
      </c>
      <c r="O324" s="47">
        <f t="shared" si="81"/>
        <v>0.6</v>
      </c>
      <c r="P324" s="47">
        <f t="shared" si="82"/>
        <v>0.6</v>
      </c>
      <c r="Q324" s="47">
        <f t="shared" si="83"/>
        <v>336.87</v>
      </c>
      <c r="R324" s="47">
        <f t="shared" si="84"/>
        <v>336.87</v>
      </c>
      <c r="S324" s="47">
        <f t="shared" si="87"/>
        <v>0.6</v>
      </c>
      <c r="T324" s="47">
        <f t="shared" si="88"/>
        <v>0.6</v>
      </c>
      <c r="U324" s="47">
        <f t="shared" si="85"/>
        <v>1967.3</v>
      </c>
      <c r="V324" s="47">
        <f t="shared" si="86"/>
        <v>1967.3</v>
      </c>
      <c r="W324" s="98">
        <f t="shared" si="89"/>
        <v>1967.3</v>
      </c>
      <c r="X324" s="98">
        <f t="shared" si="90"/>
        <v>0.6</v>
      </c>
      <c r="AB324" s="42" t="s">
        <v>187</v>
      </c>
      <c r="AE324" s="42" t="s">
        <v>24</v>
      </c>
      <c r="BG324"/>
      <c r="BH324"/>
      <c r="BI324"/>
      <c r="BJ324"/>
      <c r="BK324"/>
      <c r="BL324"/>
      <c r="BM324"/>
      <c r="BN324"/>
      <c r="BO324"/>
      <c r="BP324"/>
      <c r="BQ324"/>
      <c r="BR324"/>
      <c r="BS324"/>
    </row>
    <row r="325" spans="1:71" ht="16.5" x14ac:dyDescent="0.3">
      <c r="A325" s="38" t="s">
        <v>281</v>
      </c>
      <c r="B325" s="36">
        <v>323</v>
      </c>
      <c r="C325" s="71" t="str">
        <f t="shared" ca="1" si="91"/>
        <v>10년~5년 사이</v>
      </c>
      <c r="D325" s="79">
        <v>43965</v>
      </c>
      <c r="E325" s="72">
        <f t="shared" si="92"/>
        <v>2</v>
      </c>
      <c r="F325" s="8" t="s">
        <v>1</v>
      </c>
      <c r="G325" s="59" t="s">
        <v>68</v>
      </c>
      <c r="H325" s="59" t="s">
        <v>588</v>
      </c>
      <c r="I325" s="80" t="s">
        <v>636</v>
      </c>
      <c r="J325" s="81" t="s">
        <v>4</v>
      </c>
      <c r="K325" s="75" t="s">
        <v>187</v>
      </c>
      <c r="L325" s="76">
        <v>0.7</v>
      </c>
      <c r="M325" s="58">
        <v>297.5</v>
      </c>
      <c r="N325" s="58">
        <v>208.2</v>
      </c>
      <c r="O325" s="47">
        <f t="shared" ref="O325:O388" si="93">IF(M325&gt;100,L325,"")</f>
        <v>0.7</v>
      </c>
      <c r="P325" s="47">
        <f t="shared" ref="P325:P388" si="94">IF(M325&gt;200,L325,"")</f>
        <v>0.7</v>
      </c>
      <c r="Q325" s="47">
        <f t="shared" ref="Q325:Q388" si="95">IF(M325&gt;100,M325,"")</f>
        <v>297.5</v>
      </c>
      <c r="R325" s="47">
        <f t="shared" ref="R325:R388" si="96">IF(M325&gt;200,M325,"")</f>
        <v>297.5</v>
      </c>
      <c r="S325" s="47">
        <f t="shared" si="87"/>
        <v>0.7</v>
      </c>
      <c r="T325" s="47">
        <f t="shared" si="88"/>
        <v>0.7</v>
      </c>
      <c r="U325" s="47">
        <f t="shared" ref="U325:U388" si="97">IF(N325&gt;100,N325,"")</f>
        <v>208.2</v>
      </c>
      <c r="V325" s="47">
        <f t="shared" ref="V325:V388" si="98">IF(N325&gt;200,N325,"")</f>
        <v>208.2</v>
      </c>
      <c r="W325" s="98">
        <f t="shared" si="89"/>
        <v>208.2</v>
      </c>
      <c r="X325" s="98">
        <f t="shared" si="90"/>
        <v>0.7</v>
      </c>
      <c r="AB325" s="42" t="s">
        <v>187</v>
      </c>
      <c r="BG325"/>
      <c r="BH325"/>
      <c r="BI325"/>
      <c r="BJ325"/>
      <c r="BK325"/>
      <c r="BL325"/>
      <c r="BM325"/>
      <c r="BN325"/>
      <c r="BO325"/>
      <c r="BP325"/>
      <c r="BQ325"/>
      <c r="BR325"/>
      <c r="BS325"/>
    </row>
    <row r="326" spans="1:71" ht="16.5" x14ac:dyDescent="0.3">
      <c r="A326" s="38" t="s">
        <v>281</v>
      </c>
      <c r="B326" s="36">
        <v>324</v>
      </c>
      <c r="C326" s="71" t="str">
        <f t="shared" ca="1" si="91"/>
        <v>10년~5년 사이</v>
      </c>
      <c r="D326" s="79">
        <v>43965</v>
      </c>
      <c r="E326" s="72">
        <f t="shared" si="92"/>
        <v>2</v>
      </c>
      <c r="F326" s="8" t="s">
        <v>1</v>
      </c>
      <c r="G326" s="59" t="s">
        <v>562</v>
      </c>
      <c r="H326" s="59" t="s">
        <v>637</v>
      </c>
      <c r="I326" s="80" t="s">
        <v>636</v>
      </c>
      <c r="J326" s="81" t="s">
        <v>4</v>
      </c>
      <c r="K326" s="75" t="s">
        <v>187</v>
      </c>
      <c r="L326" s="76">
        <v>0.7</v>
      </c>
      <c r="M326" s="58">
        <v>297.5</v>
      </c>
      <c r="N326" s="58">
        <v>208.2</v>
      </c>
      <c r="O326" s="47">
        <f t="shared" si="93"/>
        <v>0.7</v>
      </c>
      <c r="P326" s="47">
        <f t="shared" si="94"/>
        <v>0.7</v>
      </c>
      <c r="Q326" s="47">
        <f t="shared" si="95"/>
        <v>297.5</v>
      </c>
      <c r="R326" s="47">
        <f t="shared" si="96"/>
        <v>297.5</v>
      </c>
      <c r="S326" s="47">
        <f t="shared" si="87"/>
        <v>0.7</v>
      </c>
      <c r="T326" s="47">
        <f t="shared" si="88"/>
        <v>0.7</v>
      </c>
      <c r="U326" s="47">
        <f t="shared" si="97"/>
        <v>208.2</v>
      </c>
      <c r="V326" s="47">
        <f t="shared" si="98"/>
        <v>208.2</v>
      </c>
      <c r="W326" s="98">
        <f t="shared" si="89"/>
        <v>208.2</v>
      </c>
      <c r="X326" s="98">
        <f t="shared" si="90"/>
        <v>0.7</v>
      </c>
      <c r="AB326" s="42" t="s">
        <v>187</v>
      </c>
      <c r="BG326"/>
      <c r="BH326"/>
      <c r="BI326"/>
      <c r="BJ326"/>
      <c r="BK326"/>
      <c r="BL326"/>
      <c r="BM326"/>
      <c r="BN326"/>
      <c r="BO326"/>
      <c r="BP326"/>
      <c r="BQ326"/>
      <c r="BR326"/>
      <c r="BS326"/>
    </row>
    <row r="327" spans="1:71" ht="16.5" x14ac:dyDescent="0.3">
      <c r="A327" s="38" t="s">
        <v>281</v>
      </c>
      <c r="B327" s="36">
        <v>325</v>
      </c>
      <c r="C327" s="71" t="str">
        <f t="shared" ca="1" si="91"/>
        <v>10년~5년 사이</v>
      </c>
      <c r="D327" s="79">
        <v>43978</v>
      </c>
      <c r="E327" s="72">
        <f t="shared" si="92"/>
        <v>1</v>
      </c>
      <c r="F327" s="8" t="s">
        <v>1</v>
      </c>
      <c r="G327" s="59" t="s">
        <v>39</v>
      </c>
      <c r="H327" s="59" t="s">
        <v>160</v>
      </c>
      <c r="I327" s="80" t="s">
        <v>666</v>
      </c>
      <c r="J327" s="81" t="s">
        <v>4</v>
      </c>
      <c r="K327" s="75" t="s">
        <v>187</v>
      </c>
      <c r="L327" s="76">
        <v>1</v>
      </c>
      <c r="M327" s="58">
        <v>107.2</v>
      </c>
      <c r="N327" s="58">
        <v>107.2</v>
      </c>
      <c r="O327" s="47">
        <f t="shared" si="93"/>
        <v>1</v>
      </c>
      <c r="P327" s="47" t="str">
        <f t="shared" si="94"/>
        <v/>
      </c>
      <c r="Q327" s="47">
        <f t="shared" si="95"/>
        <v>107.2</v>
      </c>
      <c r="R327" s="47" t="str">
        <f t="shared" si="96"/>
        <v/>
      </c>
      <c r="S327" s="47">
        <f t="shared" si="87"/>
        <v>1</v>
      </c>
      <c r="T327" s="47" t="str">
        <f t="shared" si="88"/>
        <v/>
      </c>
      <c r="U327" s="47">
        <f t="shared" si="97"/>
        <v>107.2</v>
      </c>
      <c r="V327" s="47" t="str">
        <f t="shared" si="98"/>
        <v/>
      </c>
      <c r="W327" s="98">
        <f t="shared" si="89"/>
        <v>107.2</v>
      </c>
      <c r="X327" s="98">
        <f t="shared" si="90"/>
        <v>1</v>
      </c>
      <c r="AB327" s="42" t="s">
        <v>187</v>
      </c>
      <c r="BG327"/>
      <c r="BH327"/>
      <c r="BI327"/>
      <c r="BJ327"/>
      <c r="BK327"/>
      <c r="BL327"/>
      <c r="BM327"/>
      <c r="BN327"/>
      <c r="BO327"/>
      <c r="BP327"/>
      <c r="BQ327"/>
      <c r="BR327"/>
      <c r="BS327"/>
    </row>
    <row r="328" spans="1:71" ht="16.5" x14ac:dyDescent="0.3">
      <c r="A328" s="38" t="s">
        <v>281</v>
      </c>
      <c r="B328" s="36">
        <v>326</v>
      </c>
      <c r="C328" s="71" t="str">
        <f t="shared" ca="1" si="91"/>
        <v>10년~5년 사이</v>
      </c>
      <c r="D328" s="79">
        <v>43983</v>
      </c>
      <c r="E328" s="72">
        <f t="shared" si="92"/>
        <v>1</v>
      </c>
      <c r="F328" s="8" t="s">
        <v>1</v>
      </c>
      <c r="G328" s="59" t="s">
        <v>309</v>
      </c>
      <c r="H328" s="59" t="s">
        <v>363</v>
      </c>
      <c r="I328" s="41" t="s">
        <v>705</v>
      </c>
      <c r="J328" s="81" t="s">
        <v>4</v>
      </c>
      <c r="K328" s="75" t="s">
        <v>187</v>
      </c>
      <c r="L328" s="76">
        <v>0.1</v>
      </c>
      <c r="M328" s="58">
        <v>1352.3</v>
      </c>
      <c r="N328" s="58">
        <v>135.19999999999999</v>
      </c>
      <c r="O328" s="47">
        <f t="shared" si="93"/>
        <v>0.1</v>
      </c>
      <c r="P328" s="47">
        <f t="shared" si="94"/>
        <v>0.1</v>
      </c>
      <c r="Q328" s="47">
        <f t="shared" si="95"/>
        <v>1352.3</v>
      </c>
      <c r="R328" s="47">
        <f t="shared" si="96"/>
        <v>1352.3</v>
      </c>
      <c r="S328" s="47">
        <f t="shared" ref="S328:S391" si="99">IF(N328&gt;100,L328,"")</f>
        <v>0.1</v>
      </c>
      <c r="T328" s="47" t="str">
        <f t="shared" ref="T328:T391" si="100">IF(N328&gt;200,L328,"")</f>
        <v/>
      </c>
      <c r="U328" s="47">
        <f t="shared" si="97"/>
        <v>135.19999999999999</v>
      </c>
      <c r="V328" s="47" t="str">
        <f t="shared" si="98"/>
        <v/>
      </c>
      <c r="W328" s="98">
        <f t="shared" si="89"/>
        <v>135.19999999999999</v>
      </c>
      <c r="X328" s="98">
        <f t="shared" si="90"/>
        <v>0.1</v>
      </c>
      <c r="AB328" s="42" t="s">
        <v>187</v>
      </c>
      <c r="BG328"/>
      <c r="BH328"/>
      <c r="BI328"/>
      <c r="BJ328"/>
      <c r="BK328"/>
      <c r="BL328"/>
      <c r="BM328"/>
      <c r="BN328"/>
      <c r="BO328"/>
      <c r="BP328"/>
      <c r="BQ328"/>
      <c r="BR328"/>
      <c r="BS328"/>
    </row>
    <row r="329" spans="1:71" ht="16.5" x14ac:dyDescent="0.3">
      <c r="A329" s="38" t="s">
        <v>281</v>
      </c>
      <c r="B329" s="36">
        <v>327</v>
      </c>
      <c r="C329" s="71" t="str">
        <f t="shared" ca="1" si="91"/>
        <v>10년~5년 사이</v>
      </c>
      <c r="D329" s="79">
        <v>43993</v>
      </c>
      <c r="E329" s="72">
        <f t="shared" si="92"/>
        <v>2</v>
      </c>
      <c r="F329" s="8" t="s">
        <v>1</v>
      </c>
      <c r="G329" s="59" t="s">
        <v>68</v>
      </c>
      <c r="H329" s="59" t="s">
        <v>711</v>
      </c>
      <c r="I329" s="57" t="s">
        <v>712</v>
      </c>
      <c r="J329" s="81" t="s">
        <v>4</v>
      </c>
      <c r="K329" s="75" t="s">
        <v>187</v>
      </c>
      <c r="L329" s="76">
        <v>0.58899999999999997</v>
      </c>
      <c r="M329" s="58">
        <v>717.5</v>
      </c>
      <c r="N329" s="58">
        <v>422.2</v>
      </c>
      <c r="O329" s="47">
        <f t="shared" si="93"/>
        <v>0.58899999999999997</v>
      </c>
      <c r="P329" s="47">
        <f t="shared" si="94"/>
        <v>0.58899999999999997</v>
      </c>
      <c r="Q329" s="47">
        <f t="shared" si="95"/>
        <v>717.5</v>
      </c>
      <c r="R329" s="47">
        <f t="shared" si="96"/>
        <v>717.5</v>
      </c>
      <c r="S329" s="47">
        <f t="shared" si="99"/>
        <v>0.58899999999999997</v>
      </c>
      <c r="T329" s="47">
        <f t="shared" si="100"/>
        <v>0.58899999999999997</v>
      </c>
      <c r="U329" s="47">
        <f t="shared" si="97"/>
        <v>422.2</v>
      </c>
      <c r="V329" s="47">
        <f t="shared" si="98"/>
        <v>422.2</v>
      </c>
      <c r="W329" s="98">
        <f t="shared" si="89"/>
        <v>422.2</v>
      </c>
      <c r="X329" s="98">
        <f t="shared" si="90"/>
        <v>0.58899999999999997</v>
      </c>
      <c r="AB329" s="42" t="s">
        <v>187</v>
      </c>
      <c r="AE329" s="42" t="s">
        <v>24</v>
      </c>
      <c r="BG329"/>
      <c r="BH329"/>
      <c r="BI329"/>
      <c r="BJ329"/>
      <c r="BK329"/>
      <c r="BL329"/>
      <c r="BM329"/>
      <c r="BN329"/>
      <c r="BO329"/>
      <c r="BP329"/>
      <c r="BQ329"/>
      <c r="BR329"/>
      <c r="BS329"/>
    </row>
    <row r="330" spans="1:71" ht="16.5" x14ac:dyDescent="0.3">
      <c r="A330" s="38" t="s">
        <v>281</v>
      </c>
      <c r="B330" s="36">
        <v>328</v>
      </c>
      <c r="C330" s="71" t="str">
        <f t="shared" ca="1" si="91"/>
        <v>10년~5년 사이</v>
      </c>
      <c r="D330" s="79">
        <v>43993</v>
      </c>
      <c r="E330" s="72">
        <f t="shared" si="92"/>
        <v>2</v>
      </c>
      <c r="F330" s="8" t="s">
        <v>1</v>
      </c>
      <c r="G330" s="59" t="s">
        <v>68</v>
      </c>
      <c r="H330" s="59" t="s">
        <v>75</v>
      </c>
      <c r="I330" s="57" t="s">
        <v>712</v>
      </c>
      <c r="J330" s="81" t="s">
        <v>4</v>
      </c>
      <c r="K330" s="75" t="s">
        <v>187</v>
      </c>
      <c r="L330" s="76">
        <v>0.58899999999999997</v>
      </c>
      <c r="M330" s="58">
        <v>717.5</v>
      </c>
      <c r="N330" s="58">
        <v>422.2</v>
      </c>
      <c r="O330" s="47">
        <f t="shared" si="93"/>
        <v>0.58899999999999997</v>
      </c>
      <c r="P330" s="47">
        <f t="shared" si="94"/>
        <v>0.58899999999999997</v>
      </c>
      <c r="Q330" s="47">
        <f t="shared" si="95"/>
        <v>717.5</v>
      </c>
      <c r="R330" s="47">
        <f t="shared" si="96"/>
        <v>717.5</v>
      </c>
      <c r="S330" s="47">
        <f t="shared" si="99"/>
        <v>0.58899999999999997</v>
      </c>
      <c r="T330" s="47">
        <f t="shared" si="100"/>
        <v>0.58899999999999997</v>
      </c>
      <c r="U330" s="47">
        <f t="shared" si="97"/>
        <v>422.2</v>
      </c>
      <c r="V330" s="47">
        <f t="shared" si="98"/>
        <v>422.2</v>
      </c>
      <c r="W330" s="98">
        <f t="shared" si="89"/>
        <v>422.2</v>
      </c>
      <c r="X330" s="98">
        <f t="shared" si="90"/>
        <v>0.58899999999999997</v>
      </c>
      <c r="AB330" s="42" t="s">
        <v>187</v>
      </c>
      <c r="AE330" s="42" t="s">
        <v>24</v>
      </c>
      <c r="BG330"/>
      <c r="BH330"/>
      <c r="BI330"/>
      <c r="BJ330"/>
      <c r="BK330"/>
      <c r="BL330"/>
      <c r="BM330"/>
      <c r="BN330"/>
      <c r="BO330"/>
      <c r="BP330"/>
      <c r="BQ330"/>
      <c r="BR330"/>
      <c r="BS330"/>
    </row>
    <row r="331" spans="1:71" ht="16.5" x14ac:dyDescent="0.3">
      <c r="A331" s="38" t="s">
        <v>281</v>
      </c>
      <c r="B331" s="36">
        <v>329</v>
      </c>
      <c r="C331" s="71" t="str">
        <f t="shared" ca="1" si="91"/>
        <v>10년~5년 사이</v>
      </c>
      <c r="D331" s="79">
        <v>43996</v>
      </c>
      <c r="E331" s="72">
        <f t="shared" si="92"/>
        <v>1</v>
      </c>
      <c r="F331" s="8" t="s">
        <v>1</v>
      </c>
      <c r="G331" s="59" t="s">
        <v>562</v>
      </c>
      <c r="H331" s="59" t="s">
        <v>740</v>
      </c>
      <c r="I331" s="83" t="s">
        <v>741</v>
      </c>
      <c r="J331" s="81" t="s">
        <v>4</v>
      </c>
      <c r="K331" s="75" t="s">
        <v>187</v>
      </c>
      <c r="L331" s="76">
        <v>0.4</v>
      </c>
      <c r="M331" s="58">
        <v>459.6</v>
      </c>
      <c r="N331" s="58">
        <v>183.9</v>
      </c>
      <c r="O331" s="47">
        <f t="shared" si="93"/>
        <v>0.4</v>
      </c>
      <c r="P331" s="47">
        <f t="shared" si="94"/>
        <v>0.4</v>
      </c>
      <c r="Q331" s="47">
        <f t="shared" si="95"/>
        <v>459.6</v>
      </c>
      <c r="R331" s="47">
        <f t="shared" si="96"/>
        <v>459.6</v>
      </c>
      <c r="S331" s="47">
        <f t="shared" si="99"/>
        <v>0.4</v>
      </c>
      <c r="T331" s="47" t="str">
        <f t="shared" si="100"/>
        <v/>
      </c>
      <c r="U331" s="47">
        <f t="shared" si="97"/>
        <v>183.9</v>
      </c>
      <c r="V331" s="47" t="str">
        <f t="shared" si="98"/>
        <v/>
      </c>
      <c r="W331" s="98">
        <f t="shared" si="89"/>
        <v>183.9</v>
      </c>
      <c r="X331" s="98">
        <f t="shared" si="90"/>
        <v>0.4</v>
      </c>
      <c r="AB331" s="42" t="s">
        <v>187</v>
      </c>
      <c r="AE331" s="42" t="s">
        <v>24</v>
      </c>
      <c r="BG331"/>
      <c r="BH331"/>
      <c r="BI331"/>
      <c r="BJ331"/>
      <c r="BK331"/>
      <c r="BL331"/>
      <c r="BM331"/>
      <c r="BN331"/>
      <c r="BO331"/>
      <c r="BP331"/>
      <c r="BQ331"/>
      <c r="BR331"/>
      <c r="BS331"/>
    </row>
    <row r="332" spans="1:71" ht="16.5" x14ac:dyDescent="0.3">
      <c r="A332" s="38" t="s">
        <v>281</v>
      </c>
      <c r="B332" s="36">
        <v>330</v>
      </c>
      <c r="C332" s="71" t="str">
        <f t="shared" ca="1" si="91"/>
        <v>10년~5년 사이</v>
      </c>
      <c r="D332" s="79">
        <v>43996</v>
      </c>
      <c r="E332" s="72">
        <f t="shared" si="92"/>
        <v>1</v>
      </c>
      <c r="F332" s="8" t="s">
        <v>1</v>
      </c>
      <c r="G332" s="59" t="s">
        <v>68</v>
      </c>
      <c r="H332" s="59" t="s">
        <v>588</v>
      </c>
      <c r="I332" s="83" t="s">
        <v>741</v>
      </c>
      <c r="J332" s="81" t="s">
        <v>4</v>
      </c>
      <c r="K332" s="75" t="s">
        <v>187</v>
      </c>
      <c r="L332" s="76">
        <v>0.4</v>
      </c>
      <c r="M332" s="58">
        <v>459.6</v>
      </c>
      <c r="N332" s="58">
        <v>183.9</v>
      </c>
      <c r="O332" s="47">
        <f t="shared" si="93"/>
        <v>0.4</v>
      </c>
      <c r="P332" s="47">
        <f t="shared" si="94"/>
        <v>0.4</v>
      </c>
      <c r="Q332" s="47">
        <f t="shared" si="95"/>
        <v>459.6</v>
      </c>
      <c r="R332" s="47">
        <f t="shared" si="96"/>
        <v>459.6</v>
      </c>
      <c r="S332" s="47">
        <f t="shared" si="99"/>
        <v>0.4</v>
      </c>
      <c r="T332" s="47" t="str">
        <f t="shared" si="100"/>
        <v/>
      </c>
      <c r="U332" s="47">
        <f t="shared" si="97"/>
        <v>183.9</v>
      </c>
      <c r="V332" s="47" t="str">
        <f t="shared" si="98"/>
        <v/>
      </c>
      <c r="W332" s="98">
        <f t="shared" si="89"/>
        <v>183.9</v>
      </c>
      <c r="X332" s="98">
        <f t="shared" si="90"/>
        <v>0.4</v>
      </c>
      <c r="AB332" s="42" t="s">
        <v>187</v>
      </c>
      <c r="AE332" s="42" t="s">
        <v>24</v>
      </c>
      <c r="BG332"/>
      <c r="BH332"/>
      <c r="BI332"/>
      <c r="BJ332"/>
      <c r="BK332"/>
      <c r="BL332"/>
      <c r="BM332"/>
      <c r="BN332"/>
      <c r="BO332"/>
      <c r="BP332"/>
      <c r="BQ332"/>
      <c r="BR332"/>
      <c r="BS332"/>
    </row>
    <row r="333" spans="1:71" ht="16.5" x14ac:dyDescent="0.3">
      <c r="A333" s="38" t="s">
        <v>281</v>
      </c>
      <c r="B333" s="36">
        <v>331</v>
      </c>
      <c r="C333" s="71" t="str">
        <f t="shared" ca="1" si="91"/>
        <v>10년~5년 사이</v>
      </c>
      <c r="D333" s="79">
        <v>44001</v>
      </c>
      <c r="E333" s="72">
        <f t="shared" si="92"/>
        <v>2</v>
      </c>
      <c r="F333" s="8" t="s">
        <v>1</v>
      </c>
      <c r="G333" s="59" t="s">
        <v>800</v>
      </c>
      <c r="H333" s="59" t="s">
        <v>801</v>
      </c>
      <c r="I333" s="83" t="s">
        <v>802</v>
      </c>
      <c r="J333" s="81" t="s">
        <v>4</v>
      </c>
      <c r="K333" s="75" t="s">
        <v>187</v>
      </c>
      <c r="L333" s="76">
        <v>0.19</v>
      </c>
      <c r="M333" s="58">
        <v>5022.3</v>
      </c>
      <c r="N333" s="58">
        <v>954.2</v>
      </c>
      <c r="O333" s="47">
        <f t="shared" si="93"/>
        <v>0.19</v>
      </c>
      <c r="P333" s="47">
        <f t="shared" si="94"/>
        <v>0.19</v>
      </c>
      <c r="Q333" s="47">
        <f t="shared" si="95"/>
        <v>5022.3</v>
      </c>
      <c r="R333" s="47">
        <f t="shared" si="96"/>
        <v>5022.3</v>
      </c>
      <c r="S333" s="47">
        <f t="shared" si="99"/>
        <v>0.19</v>
      </c>
      <c r="T333" s="47">
        <f t="shared" si="100"/>
        <v>0.19</v>
      </c>
      <c r="U333" s="47">
        <f t="shared" si="97"/>
        <v>954.2</v>
      </c>
      <c r="V333" s="47">
        <f t="shared" si="98"/>
        <v>954.2</v>
      </c>
      <c r="W333" s="98">
        <f t="shared" si="89"/>
        <v>954.2</v>
      </c>
      <c r="X333" s="98">
        <f t="shared" si="90"/>
        <v>0.19</v>
      </c>
      <c r="AB333" s="42" t="s">
        <v>187</v>
      </c>
      <c r="BG333"/>
      <c r="BH333"/>
      <c r="BI333"/>
      <c r="BJ333"/>
      <c r="BK333"/>
      <c r="BL333"/>
      <c r="BM333"/>
      <c r="BN333"/>
      <c r="BO333"/>
      <c r="BP333"/>
      <c r="BQ333"/>
      <c r="BR333"/>
      <c r="BS333"/>
    </row>
    <row r="334" spans="1:71" ht="16.5" x14ac:dyDescent="0.3">
      <c r="A334" s="38" t="s">
        <v>281</v>
      </c>
      <c r="B334" s="36">
        <v>332</v>
      </c>
      <c r="C334" s="71" t="str">
        <f t="shared" ca="1" si="91"/>
        <v>10년~5년 사이</v>
      </c>
      <c r="D334" s="79">
        <v>44001</v>
      </c>
      <c r="E334" s="72">
        <f t="shared" si="92"/>
        <v>2</v>
      </c>
      <c r="F334" s="8" t="s">
        <v>1</v>
      </c>
      <c r="G334" s="59" t="s">
        <v>68</v>
      </c>
      <c r="H334" s="59" t="s">
        <v>75</v>
      </c>
      <c r="I334" s="83" t="s">
        <v>802</v>
      </c>
      <c r="J334" s="81" t="s">
        <v>4</v>
      </c>
      <c r="K334" s="75" t="s">
        <v>187</v>
      </c>
      <c r="L334" s="76">
        <v>0.19</v>
      </c>
      <c r="M334" s="58">
        <v>5022.3</v>
      </c>
      <c r="N334" s="58">
        <v>954.2</v>
      </c>
      <c r="O334" s="47">
        <f t="shared" si="93"/>
        <v>0.19</v>
      </c>
      <c r="P334" s="47">
        <f t="shared" si="94"/>
        <v>0.19</v>
      </c>
      <c r="Q334" s="47">
        <f t="shared" si="95"/>
        <v>5022.3</v>
      </c>
      <c r="R334" s="47">
        <f t="shared" si="96"/>
        <v>5022.3</v>
      </c>
      <c r="S334" s="47">
        <f t="shared" si="99"/>
        <v>0.19</v>
      </c>
      <c r="T334" s="47">
        <f t="shared" si="100"/>
        <v>0.19</v>
      </c>
      <c r="U334" s="47">
        <f t="shared" si="97"/>
        <v>954.2</v>
      </c>
      <c r="V334" s="47">
        <f t="shared" si="98"/>
        <v>954.2</v>
      </c>
      <c r="W334" s="98">
        <f t="shared" si="89"/>
        <v>954.2</v>
      </c>
      <c r="X334" s="98">
        <f t="shared" si="90"/>
        <v>0.19</v>
      </c>
      <c r="AB334" s="42" t="s">
        <v>187</v>
      </c>
      <c r="BG334"/>
      <c r="BH334"/>
      <c r="BI334"/>
      <c r="BJ334"/>
      <c r="BK334"/>
      <c r="BL334"/>
      <c r="BM334"/>
      <c r="BN334"/>
      <c r="BO334"/>
      <c r="BP334"/>
      <c r="BQ334"/>
      <c r="BR334"/>
      <c r="BS334"/>
    </row>
    <row r="335" spans="1:71" ht="16.5" x14ac:dyDescent="0.3">
      <c r="A335" s="38" t="s">
        <v>281</v>
      </c>
      <c r="B335" s="36">
        <v>333</v>
      </c>
      <c r="C335" s="71" t="str">
        <f t="shared" ca="1" si="91"/>
        <v>10년~5년 사이</v>
      </c>
      <c r="D335" s="79">
        <v>44001</v>
      </c>
      <c r="E335" s="72">
        <f t="shared" si="92"/>
        <v>2</v>
      </c>
      <c r="F335" s="8" t="s">
        <v>1</v>
      </c>
      <c r="G335" s="59" t="s">
        <v>17</v>
      </c>
      <c r="H335" s="59" t="s">
        <v>803</v>
      </c>
      <c r="I335" s="83" t="s">
        <v>802</v>
      </c>
      <c r="J335" s="81" t="s">
        <v>4</v>
      </c>
      <c r="K335" s="75" t="s">
        <v>187</v>
      </c>
      <c r="L335" s="76">
        <v>0.19</v>
      </c>
      <c r="M335" s="58">
        <v>5022.3</v>
      </c>
      <c r="N335" s="58">
        <v>954.2</v>
      </c>
      <c r="O335" s="47">
        <f t="shared" si="93"/>
        <v>0.19</v>
      </c>
      <c r="P335" s="47">
        <f t="shared" si="94"/>
        <v>0.19</v>
      </c>
      <c r="Q335" s="47">
        <f t="shared" si="95"/>
        <v>5022.3</v>
      </c>
      <c r="R335" s="47">
        <f t="shared" si="96"/>
        <v>5022.3</v>
      </c>
      <c r="S335" s="47">
        <f t="shared" si="99"/>
        <v>0.19</v>
      </c>
      <c r="T335" s="47">
        <f t="shared" si="100"/>
        <v>0.19</v>
      </c>
      <c r="U335" s="47">
        <f t="shared" si="97"/>
        <v>954.2</v>
      </c>
      <c r="V335" s="47">
        <f t="shared" si="98"/>
        <v>954.2</v>
      </c>
      <c r="W335" s="98">
        <f t="shared" ref="W335:W398" si="101">N335</f>
        <v>954.2</v>
      </c>
      <c r="X335" s="98">
        <f t="shared" ref="X335:X398" si="102">IF(W335&gt;0,L335,"")</f>
        <v>0.19</v>
      </c>
      <c r="AB335" s="42" t="s">
        <v>187</v>
      </c>
      <c r="BG335"/>
      <c r="BH335"/>
      <c r="BI335"/>
      <c r="BJ335"/>
      <c r="BK335"/>
      <c r="BL335"/>
      <c r="BM335"/>
      <c r="BN335"/>
      <c r="BO335"/>
      <c r="BP335"/>
      <c r="BQ335"/>
      <c r="BR335"/>
      <c r="BS335"/>
    </row>
    <row r="336" spans="1:71" ht="16.5" x14ac:dyDescent="0.3">
      <c r="A336" s="38" t="s">
        <v>281</v>
      </c>
      <c r="B336" s="36">
        <v>334</v>
      </c>
      <c r="C336" s="71" t="str">
        <f t="shared" ca="1" si="91"/>
        <v>10년~5년 사이</v>
      </c>
      <c r="D336" s="79">
        <v>44005</v>
      </c>
      <c r="E336" s="72">
        <f t="shared" si="92"/>
        <v>2</v>
      </c>
      <c r="F336" s="8" t="s">
        <v>1</v>
      </c>
      <c r="G336" s="59" t="s">
        <v>68</v>
      </c>
      <c r="H336" s="59" t="s">
        <v>475</v>
      </c>
      <c r="I336" s="83" t="s">
        <v>646</v>
      </c>
      <c r="J336" s="81" t="s">
        <v>4</v>
      </c>
      <c r="K336" s="75" t="s">
        <v>187</v>
      </c>
      <c r="L336" s="76">
        <v>0.78</v>
      </c>
      <c r="M336" s="58">
        <v>1227.8</v>
      </c>
      <c r="N336" s="58">
        <v>734.9</v>
      </c>
      <c r="O336" s="47">
        <f t="shared" si="93"/>
        <v>0.78</v>
      </c>
      <c r="P336" s="47">
        <f t="shared" si="94"/>
        <v>0.78</v>
      </c>
      <c r="Q336" s="47">
        <f t="shared" si="95"/>
        <v>1227.8</v>
      </c>
      <c r="R336" s="47">
        <f t="shared" si="96"/>
        <v>1227.8</v>
      </c>
      <c r="S336" s="47">
        <f t="shared" si="99"/>
        <v>0.78</v>
      </c>
      <c r="T336" s="47">
        <f t="shared" si="100"/>
        <v>0.78</v>
      </c>
      <c r="U336" s="47">
        <f t="shared" si="97"/>
        <v>734.9</v>
      </c>
      <c r="V336" s="47">
        <f t="shared" si="98"/>
        <v>734.9</v>
      </c>
      <c r="W336" s="98">
        <f t="shared" si="101"/>
        <v>734.9</v>
      </c>
      <c r="X336" s="98">
        <f t="shared" si="102"/>
        <v>0.78</v>
      </c>
      <c r="AB336" s="42" t="s">
        <v>187</v>
      </c>
      <c r="BG336"/>
      <c r="BH336"/>
      <c r="BI336"/>
      <c r="BJ336"/>
      <c r="BK336"/>
      <c r="BL336"/>
      <c r="BM336"/>
      <c r="BN336"/>
      <c r="BO336"/>
      <c r="BP336"/>
      <c r="BQ336"/>
      <c r="BR336"/>
      <c r="BS336"/>
    </row>
    <row r="337" spans="1:71" ht="16.5" x14ac:dyDescent="0.3">
      <c r="A337" s="38" t="s">
        <v>281</v>
      </c>
      <c r="B337" s="36">
        <v>335</v>
      </c>
      <c r="C337" s="71" t="str">
        <f t="shared" ca="1" si="91"/>
        <v>10년~5년 사이</v>
      </c>
      <c r="D337" s="79">
        <v>44023</v>
      </c>
      <c r="E337" s="72">
        <f t="shared" si="92"/>
        <v>2</v>
      </c>
      <c r="F337" s="8" t="s">
        <v>1</v>
      </c>
      <c r="G337" s="59" t="s">
        <v>39</v>
      </c>
      <c r="H337" s="59" t="s">
        <v>101</v>
      </c>
      <c r="I337" s="83" t="s">
        <v>614</v>
      </c>
      <c r="J337" s="81" t="s">
        <v>4</v>
      </c>
      <c r="K337" s="75" t="s">
        <v>187</v>
      </c>
      <c r="L337" s="76">
        <v>0.65</v>
      </c>
      <c r="M337" s="58">
        <v>647.79999999999995</v>
      </c>
      <c r="N337" s="58">
        <v>339.5</v>
      </c>
      <c r="O337" s="47">
        <f t="shared" si="93"/>
        <v>0.65</v>
      </c>
      <c r="P337" s="47">
        <f t="shared" si="94"/>
        <v>0.65</v>
      </c>
      <c r="Q337" s="47">
        <f t="shared" si="95"/>
        <v>647.79999999999995</v>
      </c>
      <c r="R337" s="47">
        <f t="shared" si="96"/>
        <v>647.79999999999995</v>
      </c>
      <c r="S337" s="47">
        <f t="shared" si="99"/>
        <v>0.65</v>
      </c>
      <c r="T337" s="47">
        <f t="shared" si="100"/>
        <v>0.65</v>
      </c>
      <c r="U337" s="47">
        <f t="shared" si="97"/>
        <v>339.5</v>
      </c>
      <c r="V337" s="47">
        <f t="shared" si="98"/>
        <v>339.5</v>
      </c>
      <c r="W337" s="98">
        <f t="shared" si="101"/>
        <v>339.5</v>
      </c>
      <c r="X337" s="98">
        <f t="shared" si="102"/>
        <v>0.65</v>
      </c>
      <c r="AB337" s="42" t="s">
        <v>187</v>
      </c>
      <c r="BG337"/>
      <c r="BH337"/>
      <c r="BI337"/>
      <c r="BJ337"/>
      <c r="BK337"/>
      <c r="BL337"/>
      <c r="BM337"/>
      <c r="BN337"/>
      <c r="BO337"/>
      <c r="BP337"/>
      <c r="BQ337"/>
      <c r="BR337"/>
      <c r="BS337"/>
    </row>
    <row r="338" spans="1:71" ht="16.5" x14ac:dyDescent="0.3">
      <c r="A338" s="38" t="s">
        <v>281</v>
      </c>
      <c r="B338" s="36">
        <v>336</v>
      </c>
      <c r="C338" s="71" t="str">
        <f t="shared" ca="1" si="91"/>
        <v>10년~5년 사이</v>
      </c>
      <c r="D338" s="79">
        <v>44026</v>
      </c>
      <c r="E338" s="72">
        <f t="shared" si="92"/>
        <v>2</v>
      </c>
      <c r="F338" s="8" t="s">
        <v>1</v>
      </c>
      <c r="G338" s="59" t="s">
        <v>491</v>
      </c>
      <c r="H338" s="59" t="s">
        <v>492</v>
      </c>
      <c r="I338" s="83" t="s">
        <v>644</v>
      </c>
      <c r="J338" s="81" t="s">
        <v>4</v>
      </c>
      <c r="K338" s="75" t="s">
        <v>187</v>
      </c>
      <c r="L338" s="76">
        <v>0.39</v>
      </c>
      <c r="M338" s="58">
        <v>975.6</v>
      </c>
      <c r="N338" s="58">
        <v>380.5</v>
      </c>
      <c r="O338" s="47">
        <f t="shared" si="93"/>
        <v>0.39</v>
      </c>
      <c r="P338" s="47">
        <f t="shared" si="94"/>
        <v>0.39</v>
      </c>
      <c r="Q338" s="47">
        <f t="shared" si="95"/>
        <v>975.6</v>
      </c>
      <c r="R338" s="47">
        <f t="shared" si="96"/>
        <v>975.6</v>
      </c>
      <c r="S338" s="47">
        <f t="shared" si="99"/>
        <v>0.39</v>
      </c>
      <c r="T338" s="47">
        <f t="shared" si="100"/>
        <v>0.39</v>
      </c>
      <c r="U338" s="47">
        <f t="shared" si="97"/>
        <v>380.5</v>
      </c>
      <c r="V338" s="47">
        <f t="shared" si="98"/>
        <v>380.5</v>
      </c>
      <c r="W338" s="98">
        <f t="shared" si="101"/>
        <v>380.5</v>
      </c>
      <c r="X338" s="98">
        <f t="shared" si="102"/>
        <v>0.39</v>
      </c>
      <c r="AB338" s="42" t="s">
        <v>187</v>
      </c>
      <c r="BG338"/>
      <c r="BH338"/>
      <c r="BI338"/>
      <c r="BJ338"/>
      <c r="BK338"/>
      <c r="BL338"/>
      <c r="BM338"/>
      <c r="BN338"/>
      <c r="BO338"/>
      <c r="BP338"/>
      <c r="BQ338"/>
      <c r="BR338"/>
      <c r="BS338"/>
    </row>
    <row r="339" spans="1:71" ht="16.5" x14ac:dyDescent="0.3">
      <c r="A339" s="38" t="s">
        <v>281</v>
      </c>
      <c r="B339" s="36">
        <v>337</v>
      </c>
      <c r="C339" s="71" t="str">
        <f t="shared" ca="1" si="91"/>
        <v>10년~5년 사이</v>
      </c>
      <c r="D339" s="79">
        <v>44026</v>
      </c>
      <c r="E339" s="72">
        <f t="shared" si="92"/>
        <v>2</v>
      </c>
      <c r="F339" s="8" t="s">
        <v>1</v>
      </c>
      <c r="G339" s="59" t="s">
        <v>491</v>
      </c>
      <c r="H339" s="59" t="s">
        <v>604</v>
      </c>
      <c r="I339" s="83" t="s">
        <v>644</v>
      </c>
      <c r="J339" s="81" t="s">
        <v>4</v>
      </c>
      <c r="K339" s="75" t="s">
        <v>187</v>
      </c>
      <c r="L339" s="76">
        <v>0.39</v>
      </c>
      <c r="M339" s="58">
        <v>975.6</v>
      </c>
      <c r="N339" s="58">
        <v>380.5</v>
      </c>
      <c r="O339" s="47">
        <f t="shared" si="93"/>
        <v>0.39</v>
      </c>
      <c r="P339" s="47">
        <f t="shared" si="94"/>
        <v>0.39</v>
      </c>
      <c r="Q339" s="47">
        <f t="shared" si="95"/>
        <v>975.6</v>
      </c>
      <c r="R339" s="47">
        <f t="shared" si="96"/>
        <v>975.6</v>
      </c>
      <c r="S339" s="47">
        <f t="shared" si="99"/>
        <v>0.39</v>
      </c>
      <c r="T339" s="47">
        <f t="shared" si="100"/>
        <v>0.39</v>
      </c>
      <c r="U339" s="47">
        <f t="shared" si="97"/>
        <v>380.5</v>
      </c>
      <c r="V339" s="47">
        <f t="shared" si="98"/>
        <v>380.5</v>
      </c>
      <c r="W339" s="98">
        <f t="shared" si="101"/>
        <v>380.5</v>
      </c>
      <c r="X339" s="98">
        <f t="shared" si="102"/>
        <v>0.39</v>
      </c>
      <c r="AB339" s="42" t="s">
        <v>187</v>
      </c>
      <c r="BG339"/>
      <c r="BH339"/>
      <c r="BI339"/>
      <c r="BJ339"/>
      <c r="BK339"/>
      <c r="BL339"/>
      <c r="BM339"/>
      <c r="BN339"/>
      <c r="BO339"/>
      <c r="BP339"/>
      <c r="BQ339"/>
      <c r="BR339"/>
      <c r="BS339"/>
    </row>
    <row r="340" spans="1:71" ht="16.5" x14ac:dyDescent="0.3">
      <c r="A340" s="38" t="s">
        <v>281</v>
      </c>
      <c r="B340" s="36">
        <v>338</v>
      </c>
      <c r="C340" s="71" t="str">
        <f t="shared" ca="1" si="91"/>
        <v>10년~5년 사이</v>
      </c>
      <c r="D340" s="79">
        <v>44044</v>
      </c>
      <c r="E340" s="72">
        <f t="shared" si="92"/>
        <v>2</v>
      </c>
      <c r="F340" s="8" t="s">
        <v>1</v>
      </c>
      <c r="G340" s="59" t="s">
        <v>68</v>
      </c>
      <c r="H340" s="59" t="s">
        <v>77</v>
      </c>
      <c r="I340" s="83" t="s">
        <v>747</v>
      </c>
      <c r="J340" s="81" t="s">
        <v>4</v>
      </c>
      <c r="K340" s="75" t="s">
        <v>187</v>
      </c>
      <c r="L340" s="76">
        <v>0.75</v>
      </c>
      <c r="M340" s="58">
        <v>1189</v>
      </c>
      <c r="N340" s="58">
        <v>624.20000000000005</v>
      </c>
      <c r="O340" s="47">
        <f t="shared" si="93"/>
        <v>0.75</v>
      </c>
      <c r="P340" s="47">
        <f t="shared" si="94"/>
        <v>0.75</v>
      </c>
      <c r="Q340" s="47">
        <f t="shared" si="95"/>
        <v>1189</v>
      </c>
      <c r="R340" s="47">
        <f t="shared" si="96"/>
        <v>1189</v>
      </c>
      <c r="S340" s="47">
        <f t="shared" si="99"/>
        <v>0.75</v>
      </c>
      <c r="T340" s="47">
        <f t="shared" si="100"/>
        <v>0.75</v>
      </c>
      <c r="U340" s="47">
        <f t="shared" si="97"/>
        <v>624.20000000000005</v>
      </c>
      <c r="V340" s="47">
        <f t="shared" si="98"/>
        <v>624.20000000000005</v>
      </c>
      <c r="W340" s="98">
        <f t="shared" si="101"/>
        <v>624.20000000000005</v>
      </c>
      <c r="X340" s="98">
        <f t="shared" si="102"/>
        <v>0.75</v>
      </c>
      <c r="AB340" s="42" t="s">
        <v>187</v>
      </c>
      <c r="BG340"/>
      <c r="BH340"/>
      <c r="BI340"/>
      <c r="BJ340"/>
      <c r="BK340"/>
      <c r="BL340"/>
      <c r="BM340"/>
      <c r="BN340"/>
      <c r="BO340"/>
      <c r="BP340"/>
      <c r="BQ340"/>
      <c r="BR340"/>
      <c r="BS340"/>
    </row>
    <row r="341" spans="1:71" ht="16.5" x14ac:dyDescent="0.3">
      <c r="A341" s="38" t="s">
        <v>281</v>
      </c>
      <c r="B341" s="36">
        <v>339</v>
      </c>
      <c r="C341" s="71" t="str">
        <f t="shared" ca="1" si="91"/>
        <v>10년~5년 사이</v>
      </c>
      <c r="D341" s="79">
        <v>44051</v>
      </c>
      <c r="E341" s="72">
        <f t="shared" si="92"/>
        <v>2</v>
      </c>
      <c r="F341" s="8" t="s">
        <v>1</v>
      </c>
      <c r="G341" s="59" t="s">
        <v>17</v>
      </c>
      <c r="H341" s="66" t="s">
        <v>139</v>
      </c>
      <c r="I341" s="80" t="s">
        <v>655</v>
      </c>
      <c r="J341" s="81" t="s">
        <v>4</v>
      </c>
      <c r="K341" s="75" t="s">
        <v>187</v>
      </c>
      <c r="L341" s="76">
        <v>0.45</v>
      </c>
      <c r="M341" s="58">
        <v>839.4</v>
      </c>
      <c r="N341" s="58">
        <v>355.2</v>
      </c>
      <c r="O341" s="47">
        <f t="shared" si="93"/>
        <v>0.45</v>
      </c>
      <c r="P341" s="47">
        <f t="shared" si="94"/>
        <v>0.45</v>
      </c>
      <c r="Q341" s="47">
        <f t="shared" si="95"/>
        <v>839.4</v>
      </c>
      <c r="R341" s="47">
        <f t="shared" si="96"/>
        <v>839.4</v>
      </c>
      <c r="S341" s="47">
        <f t="shared" si="99"/>
        <v>0.45</v>
      </c>
      <c r="T341" s="47">
        <f t="shared" si="100"/>
        <v>0.45</v>
      </c>
      <c r="U341" s="47">
        <f t="shared" si="97"/>
        <v>355.2</v>
      </c>
      <c r="V341" s="47">
        <f t="shared" si="98"/>
        <v>355.2</v>
      </c>
      <c r="W341" s="98">
        <f t="shared" si="101"/>
        <v>355.2</v>
      </c>
      <c r="X341" s="98">
        <f t="shared" si="102"/>
        <v>0.45</v>
      </c>
      <c r="AB341" s="42" t="s">
        <v>187</v>
      </c>
      <c r="BG341"/>
      <c r="BH341"/>
      <c r="BI341"/>
      <c r="BJ341"/>
      <c r="BK341"/>
      <c r="BL341"/>
      <c r="BM341"/>
      <c r="BN341"/>
      <c r="BO341"/>
      <c r="BP341"/>
      <c r="BQ341"/>
      <c r="BR341"/>
      <c r="BS341"/>
    </row>
    <row r="342" spans="1:71" ht="16.5" x14ac:dyDescent="0.3">
      <c r="A342" s="38" t="s">
        <v>281</v>
      </c>
      <c r="B342" s="36">
        <v>340</v>
      </c>
      <c r="C342" s="71" t="str">
        <f t="shared" ca="1" si="91"/>
        <v>10년~5년 사이</v>
      </c>
      <c r="D342" s="79">
        <v>44053</v>
      </c>
      <c r="E342" s="72">
        <f t="shared" si="92"/>
        <v>2</v>
      </c>
      <c r="F342" s="8" t="s">
        <v>1</v>
      </c>
      <c r="G342" s="59" t="s">
        <v>10</v>
      </c>
      <c r="H342" s="67" t="s">
        <v>48</v>
      </c>
      <c r="I342" s="41" t="s">
        <v>716</v>
      </c>
      <c r="J342" s="81" t="s">
        <v>4</v>
      </c>
      <c r="K342" s="75" t="s">
        <v>187</v>
      </c>
      <c r="L342" s="76">
        <v>0.6</v>
      </c>
      <c r="M342" s="58">
        <v>517</v>
      </c>
      <c r="N342" s="58">
        <v>310.2</v>
      </c>
      <c r="O342" s="47">
        <f t="shared" si="93"/>
        <v>0.6</v>
      </c>
      <c r="P342" s="47">
        <f t="shared" si="94"/>
        <v>0.6</v>
      </c>
      <c r="Q342" s="47">
        <f t="shared" si="95"/>
        <v>517</v>
      </c>
      <c r="R342" s="47">
        <f t="shared" si="96"/>
        <v>517</v>
      </c>
      <c r="S342" s="47">
        <f t="shared" si="99"/>
        <v>0.6</v>
      </c>
      <c r="T342" s="47">
        <f t="shared" si="100"/>
        <v>0.6</v>
      </c>
      <c r="U342" s="47">
        <f t="shared" si="97"/>
        <v>310.2</v>
      </c>
      <c r="V342" s="47">
        <f t="shared" si="98"/>
        <v>310.2</v>
      </c>
      <c r="W342" s="98">
        <f t="shared" si="101"/>
        <v>310.2</v>
      </c>
      <c r="X342" s="98">
        <f t="shared" si="102"/>
        <v>0.6</v>
      </c>
      <c r="AB342" s="42" t="s">
        <v>187</v>
      </c>
      <c r="BG342"/>
      <c r="BH342"/>
      <c r="BI342"/>
      <c r="BJ342"/>
      <c r="BK342"/>
      <c r="BL342"/>
      <c r="BM342"/>
      <c r="BN342"/>
      <c r="BO342"/>
      <c r="BP342"/>
      <c r="BQ342"/>
      <c r="BR342"/>
      <c r="BS342"/>
    </row>
    <row r="343" spans="1:71" ht="16.5" x14ac:dyDescent="0.3">
      <c r="A343" s="38" t="s">
        <v>281</v>
      </c>
      <c r="B343" s="36">
        <v>341</v>
      </c>
      <c r="C343" s="71" t="str">
        <f t="shared" ca="1" si="91"/>
        <v>10년~5년 사이</v>
      </c>
      <c r="D343" s="79">
        <v>44123</v>
      </c>
      <c r="E343" s="72">
        <f t="shared" si="92"/>
        <v>1</v>
      </c>
      <c r="F343" s="8" t="s">
        <v>1</v>
      </c>
      <c r="G343" s="59" t="s">
        <v>68</v>
      </c>
      <c r="H343" s="59" t="s">
        <v>473</v>
      </c>
      <c r="I343" s="80" t="s">
        <v>600</v>
      </c>
      <c r="J343" s="81" t="s">
        <v>4</v>
      </c>
      <c r="K343" s="75" t="s">
        <v>187</v>
      </c>
      <c r="L343" s="76">
        <v>0.55000000000000004</v>
      </c>
      <c r="M343" s="58">
        <v>283</v>
      </c>
      <c r="N343" s="58">
        <v>155.6</v>
      </c>
      <c r="O343" s="47">
        <f t="shared" si="93"/>
        <v>0.55000000000000004</v>
      </c>
      <c r="P343" s="47">
        <f t="shared" si="94"/>
        <v>0.55000000000000004</v>
      </c>
      <c r="Q343" s="47">
        <f t="shared" si="95"/>
        <v>283</v>
      </c>
      <c r="R343" s="47">
        <f t="shared" si="96"/>
        <v>283</v>
      </c>
      <c r="S343" s="47">
        <f t="shared" si="99"/>
        <v>0.55000000000000004</v>
      </c>
      <c r="T343" s="47" t="str">
        <f t="shared" si="100"/>
        <v/>
      </c>
      <c r="U343" s="47">
        <f t="shared" si="97"/>
        <v>155.6</v>
      </c>
      <c r="V343" s="47" t="str">
        <f t="shared" si="98"/>
        <v/>
      </c>
      <c r="W343" s="98">
        <f t="shared" si="101"/>
        <v>155.6</v>
      </c>
      <c r="X343" s="98">
        <f t="shared" si="102"/>
        <v>0.55000000000000004</v>
      </c>
      <c r="AB343" s="42" t="s">
        <v>187</v>
      </c>
      <c r="BG343"/>
      <c r="BH343"/>
      <c r="BI343"/>
      <c r="BJ343"/>
      <c r="BK343"/>
      <c r="BL343"/>
      <c r="BM343"/>
      <c r="BN343"/>
      <c r="BO343"/>
      <c r="BP343"/>
      <c r="BQ343"/>
      <c r="BR343"/>
      <c r="BS343"/>
    </row>
    <row r="344" spans="1:71" ht="16.5" x14ac:dyDescent="0.3">
      <c r="A344" s="38" t="s">
        <v>281</v>
      </c>
      <c r="B344" s="36">
        <v>342</v>
      </c>
      <c r="C344" s="71" t="str">
        <f t="shared" ca="1" si="91"/>
        <v>10년~5년 사이</v>
      </c>
      <c r="D344" s="79">
        <v>44145</v>
      </c>
      <c r="E344" s="72">
        <f t="shared" si="92"/>
        <v>1</v>
      </c>
      <c r="F344" s="8" t="s">
        <v>1</v>
      </c>
      <c r="G344" s="59" t="s">
        <v>253</v>
      </c>
      <c r="H344" s="59" t="s">
        <v>537</v>
      </c>
      <c r="I344" s="80" t="s">
        <v>592</v>
      </c>
      <c r="J344" s="81" t="s">
        <v>4</v>
      </c>
      <c r="K344" s="75" t="s">
        <v>187</v>
      </c>
      <c r="L344" s="76">
        <v>1</v>
      </c>
      <c r="M344" s="58">
        <v>106.2</v>
      </c>
      <c r="N344" s="58">
        <v>106.2</v>
      </c>
      <c r="O344" s="47">
        <f t="shared" si="93"/>
        <v>1</v>
      </c>
      <c r="P344" s="47" t="str">
        <f t="shared" si="94"/>
        <v/>
      </c>
      <c r="Q344" s="47">
        <f t="shared" si="95"/>
        <v>106.2</v>
      </c>
      <c r="R344" s="47" t="str">
        <f t="shared" si="96"/>
        <v/>
      </c>
      <c r="S344" s="47">
        <f t="shared" si="99"/>
        <v>1</v>
      </c>
      <c r="T344" s="47" t="str">
        <f t="shared" si="100"/>
        <v/>
      </c>
      <c r="U344" s="47">
        <f t="shared" si="97"/>
        <v>106.2</v>
      </c>
      <c r="V344" s="47" t="str">
        <f t="shared" si="98"/>
        <v/>
      </c>
      <c r="W344" s="98">
        <f t="shared" si="101"/>
        <v>106.2</v>
      </c>
      <c r="X344" s="98">
        <f t="shared" si="102"/>
        <v>1</v>
      </c>
      <c r="AB344" s="42" t="s">
        <v>187</v>
      </c>
      <c r="BG344"/>
      <c r="BH344"/>
      <c r="BI344"/>
      <c r="BJ344"/>
      <c r="BK344"/>
      <c r="BL344"/>
      <c r="BM344"/>
      <c r="BN344"/>
      <c r="BO344"/>
      <c r="BP344"/>
      <c r="BQ344"/>
      <c r="BR344"/>
      <c r="BS344"/>
    </row>
    <row r="345" spans="1:71" ht="16.5" x14ac:dyDescent="0.3">
      <c r="A345" s="38" t="s">
        <v>281</v>
      </c>
      <c r="B345" s="36">
        <v>343</v>
      </c>
      <c r="C345" s="71" t="str">
        <f t="shared" ca="1" si="91"/>
        <v>10년~5년 사이</v>
      </c>
      <c r="D345" s="79">
        <v>44150</v>
      </c>
      <c r="E345" s="72">
        <f t="shared" si="92"/>
        <v>2</v>
      </c>
      <c r="F345" s="8" t="s">
        <v>1</v>
      </c>
      <c r="G345" s="59" t="s">
        <v>760</v>
      </c>
      <c r="H345" s="59" t="s">
        <v>761</v>
      </c>
      <c r="I345" s="80" t="s">
        <v>762</v>
      </c>
      <c r="J345" s="81" t="s">
        <v>4</v>
      </c>
      <c r="K345" s="75" t="s">
        <v>187</v>
      </c>
      <c r="L345" s="76">
        <v>0.43</v>
      </c>
      <c r="M345" s="58">
        <v>847.8</v>
      </c>
      <c r="N345" s="58">
        <v>364.5</v>
      </c>
      <c r="O345" s="47">
        <f t="shared" si="93"/>
        <v>0.43</v>
      </c>
      <c r="P345" s="47">
        <f t="shared" si="94"/>
        <v>0.43</v>
      </c>
      <c r="Q345" s="47">
        <f t="shared" si="95"/>
        <v>847.8</v>
      </c>
      <c r="R345" s="47">
        <f t="shared" si="96"/>
        <v>847.8</v>
      </c>
      <c r="S345" s="47">
        <f t="shared" si="99"/>
        <v>0.43</v>
      </c>
      <c r="T345" s="47">
        <f t="shared" si="100"/>
        <v>0.43</v>
      </c>
      <c r="U345" s="47">
        <f t="shared" si="97"/>
        <v>364.5</v>
      </c>
      <c r="V345" s="47">
        <f t="shared" si="98"/>
        <v>364.5</v>
      </c>
      <c r="W345" s="98">
        <f t="shared" si="101"/>
        <v>364.5</v>
      </c>
      <c r="X345" s="98">
        <f t="shared" si="102"/>
        <v>0.43</v>
      </c>
      <c r="AB345" s="42" t="s">
        <v>187</v>
      </c>
      <c r="AE345" s="42" t="s">
        <v>24</v>
      </c>
      <c r="BG345"/>
      <c r="BH345"/>
      <c r="BI345"/>
      <c r="BJ345"/>
      <c r="BK345"/>
      <c r="BL345"/>
      <c r="BM345"/>
      <c r="BN345"/>
      <c r="BO345"/>
      <c r="BP345"/>
      <c r="BQ345"/>
      <c r="BR345"/>
      <c r="BS345"/>
    </row>
    <row r="346" spans="1:71" ht="16.5" x14ac:dyDescent="0.3">
      <c r="A346" s="38" t="s">
        <v>281</v>
      </c>
      <c r="B346" s="36">
        <v>344</v>
      </c>
      <c r="C346" s="71" t="str">
        <f t="shared" ca="1" si="91"/>
        <v>10년~5년 사이</v>
      </c>
      <c r="D346" s="79">
        <v>44170</v>
      </c>
      <c r="E346" s="72">
        <f t="shared" si="92"/>
        <v>2</v>
      </c>
      <c r="F346" s="8" t="s">
        <v>1</v>
      </c>
      <c r="G346" s="59" t="s">
        <v>10</v>
      </c>
      <c r="H346" s="67" t="s">
        <v>48</v>
      </c>
      <c r="I346" s="41" t="s">
        <v>561</v>
      </c>
      <c r="J346" s="81" t="s">
        <v>4</v>
      </c>
      <c r="K346" s="75" t="s">
        <v>187</v>
      </c>
      <c r="L346" s="76">
        <v>0.56999999999999995</v>
      </c>
      <c r="M346" s="58">
        <v>668</v>
      </c>
      <c r="N346" s="58">
        <v>239.1</v>
      </c>
      <c r="O346" s="47">
        <f t="shared" si="93"/>
        <v>0.56999999999999995</v>
      </c>
      <c r="P346" s="47">
        <f t="shared" si="94"/>
        <v>0.56999999999999995</v>
      </c>
      <c r="Q346" s="47">
        <f t="shared" si="95"/>
        <v>668</v>
      </c>
      <c r="R346" s="47">
        <f t="shared" si="96"/>
        <v>668</v>
      </c>
      <c r="S346" s="47">
        <f t="shared" si="99"/>
        <v>0.56999999999999995</v>
      </c>
      <c r="T346" s="47">
        <f t="shared" si="100"/>
        <v>0.56999999999999995</v>
      </c>
      <c r="U346" s="47">
        <f t="shared" si="97"/>
        <v>239.1</v>
      </c>
      <c r="V346" s="47">
        <f t="shared" si="98"/>
        <v>239.1</v>
      </c>
      <c r="W346" s="98">
        <f t="shared" si="101"/>
        <v>239.1</v>
      </c>
      <c r="X346" s="98">
        <f t="shared" si="102"/>
        <v>0.56999999999999995</v>
      </c>
      <c r="AB346" s="42" t="s">
        <v>187</v>
      </c>
      <c r="BG346"/>
      <c r="BH346"/>
      <c r="BI346"/>
      <c r="BJ346"/>
      <c r="BK346"/>
      <c r="BL346"/>
      <c r="BM346"/>
      <c r="BN346"/>
      <c r="BO346"/>
      <c r="BP346"/>
      <c r="BQ346"/>
      <c r="BR346"/>
      <c r="BS346"/>
    </row>
    <row r="347" spans="1:71" ht="16.5" x14ac:dyDescent="0.3">
      <c r="A347" s="38" t="s">
        <v>281</v>
      </c>
      <c r="B347" s="36">
        <v>345</v>
      </c>
      <c r="C347" s="71" t="str">
        <f t="shared" ca="1" si="91"/>
        <v>10년~5년 사이</v>
      </c>
      <c r="D347" s="79">
        <v>44183</v>
      </c>
      <c r="E347" s="72">
        <f t="shared" si="92"/>
        <v>2</v>
      </c>
      <c r="F347" s="8" t="s">
        <v>1</v>
      </c>
      <c r="G347" s="59" t="s">
        <v>253</v>
      </c>
      <c r="H347" s="59" t="s">
        <v>706</v>
      </c>
      <c r="I347" s="41" t="s">
        <v>707</v>
      </c>
      <c r="J347" s="81" t="s">
        <v>4</v>
      </c>
      <c r="K347" s="75" t="s">
        <v>187</v>
      </c>
      <c r="L347" s="76">
        <v>0.48499999999999999</v>
      </c>
      <c r="M347" s="58">
        <v>949.3</v>
      </c>
      <c r="N347" s="58">
        <v>460.7</v>
      </c>
      <c r="O347" s="47">
        <f t="shared" si="93"/>
        <v>0.48499999999999999</v>
      </c>
      <c r="P347" s="47">
        <f t="shared" si="94"/>
        <v>0.48499999999999999</v>
      </c>
      <c r="Q347" s="47">
        <f t="shared" si="95"/>
        <v>949.3</v>
      </c>
      <c r="R347" s="47">
        <f t="shared" si="96"/>
        <v>949.3</v>
      </c>
      <c r="S347" s="47">
        <f t="shared" si="99"/>
        <v>0.48499999999999999</v>
      </c>
      <c r="T347" s="47">
        <f t="shared" si="100"/>
        <v>0.48499999999999999</v>
      </c>
      <c r="U347" s="47">
        <f t="shared" si="97"/>
        <v>460.7</v>
      </c>
      <c r="V347" s="47">
        <f t="shared" si="98"/>
        <v>460.7</v>
      </c>
      <c r="W347" s="98">
        <f t="shared" si="101"/>
        <v>460.7</v>
      </c>
      <c r="X347" s="98">
        <f t="shared" si="102"/>
        <v>0.48499999999999999</v>
      </c>
      <c r="AB347" s="42" t="s">
        <v>187</v>
      </c>
      <c r="BG347"/>
      <c r="BH347"/>
      <c r="BI347"/>
      <c r="BJ347"/>
      <c r="BK347"/>
      <c r="BL347"/>
      <c r="BM347"/>
      <c r="BN347"/>
      <c r="BO347"/>
      <c r="BP347"/>
      <c r="BQ347"/>
      <c r="BR347"/>
      <c r="BS347"/>
    </row>
    <row r="348" spans="1:71" ht="16.5" x14ac:dyDescent="0.3">
      <c r="A348" s="38" t="s">
        <v>281</v>
      </c>
      <c r="B348" s="36">
        <v>346</v>
      </c>
      <c r="C348" s="71" t="str">
        <f t="shared" ca="1" si="91"/>
        <v>10년~5년 사이</v>
      </c>
      <c r="D348" s="79">
        <v>44183</v>
      </c>
      <c r="E348" s="72">
        <f t="shared" si="92"/>
        <v>2</v>
      </c>
      <c r="F348" s="8" t="s">
        <v>1</v>
      </c>
      <c r="G348" s="59" t="s">
        <v>708</v>
      </c>
      <c r="H348" s="59" t="s">
        <v>709</v>
      </c>
      <c r="I348" s="41" t="s">
        <v>707</v>
      </c>
      <c r="J348" s="81" t="s">
        <v>4</v>
      </c>
      <c r="K348" s="75" t="s">
        <v>187</v>
      </c>
      <c r="L348" s="76">
        <v>0.48499999999999999</v>
      </c>
      <c r="M348" s="58">
        <v>949.3</v>
      </c>
      <c r="N348" s="58">
        <v>460.7</v>
      </c>
      <c r="O348" s="47">
        <f t="shared" si="93"/>
        <v>0.48499999999999999</v>
      </c>
      <c r="P348" s="47">
        <f t="shared" si="94"/>
        <v>0.48499999999999999</v>
      </c>
      <c r="Q348" s="47">
        <f t="shared" si="95"/>
        <v>949.3</v>
      </c>
      <c r="R348" s="47">
        <f t="shared" si="96"/>
        <v>949.3</v>
      </c>
      <c r="S348" s="47">
        <f t="shared" si="99"/>
        <v>0.48499999999999999</v>
      </c>
      <c r="T348" s="47">
        <f t="shared" si="100"/>
        <v>0.48499999999999999</v>
      </c>
      <c r="U348" s="47">
        <f t="shared" si="97"/>
        <v>460.7</v>
      </c>
      <c r="V348" s="47">
        <f t="shared" si="98"/>
        <v>460.7</v>
      </c>
      <c r="W348" s="98">
        <f t="shared" si="101"/>
        <v>460.7</v>
      </c>
      <c r="X348" s="98">
        <f t="shared" si="102"/>
        <v>0.48499999999999999</v>
      </c>
      <c r="AB348" s="42" t="s">
        <v>187</v>
      </c>
      <c r="BG348"/>
      <c r="BH348"/>
      <c r="BI348"/>
      <c r="BJ348"/>
      <c r="BK348"/>
      <c r="BL348"/>
      <c r="BM348"/>
      <c r="BN348"/>
      <c r="BO348"/>
      <c r="BP348"/>
      <c r="BQ348"/>
      <c r="BR348"/>
      <c r="BS348"/>
    </row>
    <row r="349" spans="1:71" ht="16.5" x14ac:dyDescent="0.3">
      <c r="A349" s="38" t="s">
        <v>281</v>
      </c>
      <c r="B349" s="36">
        <v>347</v>
      </c>
      <c r="C349" s="71" t="str">
        <f t="shared" ca="1" si="91"/>
        <v>10년~5년 사이</v>
      </c>
      <c r="D349" s="79">
        <v>44193</v>
      </c>
      <c r="E349" s="72">
        <f t="shared" si="92"/>
        <v>1</v>
      </c>
      <c r="F349" s="8" t="s">
        <v>1</v>
      </c>
      <c r="G349" s="59" t="s">
        <v>68</v>
      </c>
      <c r="H349" s="59" t="s">
        <v>77</v>
      </c>
      <c r="I349" s="80" t="s">
        <v>652</v>
      </c>
      <c r="J349" s="81" t="s">
        <v>4</v>
      </c>
      <c r="K349" s="75" t="s">
        <v>187</v>
      </c>
      <c r="L349" s="76">
        <v>0.6</v>
      </c>
      <c r="M349" s="58">
        <v>248.8</v>
      </c>
      <c r="N349" s="58">
        <v>149.30000000000001</v>
      </c>
      <c r="O349" s="47">
        <f t="shared" si="93"/>
        <v>0.6</v>
      </c>
      <c r="P349" s="47">
        <f t="shared" si="94"/>
        <v>0.6</v>
      </c>
      <c r="Q349" s="47">
        <f t="shared" si="95"/>
        <v>248.8</v>
      </c>
      <c r="R349" s="47">
        <f t="shared" si="96"/>
        <v>248.8</v>
      </c>
      <c r="S349" s="47">
        <f t="shared" si="99"/>
        <v>0.6</v>
      </c>
      <c r="T349" s="47" t="str">
        <f t="shared" si="100"/>
        <v/>
      </c>
      <c r="U349" s="47">
        <f t="shared" si="97"/>
        <v>149.30000000000001</v>
      </c>
      <c r="V349" s="47" t="str">
        <f t="shared" si="98"/>
        <v/>
      </c>
      <c r="W349" s="98">
        <f t="shared" si="101"/>
        <v>149.30000000000001</v>
      </c>
      <c r="X349" s="98">
        <f t="shared" si="102"/>
        <v>0.6</v>
      </c>
      <c r="AB349" s="42" t="s">
        <v>187</v>
      </c>
      <c r="BG349"/>
      <c r="BH349"/>
      <c r="BI349"/>
      <c r="BJ349"/>
      <c r="BK349"/>
      <c r="BL349"/>
      <c r="BM349"/>
      <c r="BN349"/>
      <c r="BO349"/>
      <c r="BP349"/>
      <c r="BQ349"/>
      <c r="BR349"/>
      <c r="BS349"/>
    </row>
    <row r="350" spans="1:71" ht="16.5" x14ac:dyDescent="0.3">
      <c r="A350" s="38" t="s">
        <v>281</v>
      </c>
      <c r="B350" s="36">
        <v>348</v>
      </c>
      <c r="C350" s="71" t="str">
        <f t="shared" ca="1" si="91"/>
        <v>10년~5년 사이</v>
      </c>
      <c r="D350" s="79">
        <v>44195</v>
      </c>
      <c r="E350" s="72">
        <f t="shared" si="92"/>
        <v>1</v>
      </c>
      <c r="F350" s="8" t="s">
        <v>1</v>
      </c>
      <c r="G350" s="59" t="s">
        <v>17</v>
      </c>
      <c r="H350" s="63" t="s">
        <v>137</v>
      </c>
      <c r="I350" s="41" t="s">
        <v>713</v>
      </c>
      <c r="J350" s="81" t="s">
        <v>4</v>
      </c>
      <c r="K350" s="75" t="s">
        <v>187</v>
      </c>
      <c r="L350" s="76">
        <v>1</v>
      </c>
      <c r="M350" s="58">
        <v>162.6</v>
      </c>
      <c r="N350" s="58">
        <v>162.6</v>
      </c>
      <c r="O350" s="47">
        <f t="shared" si="93"/>
        <v>1</v>
      </c>
      <c r="P350" s="47" t="str">
        <f t="shared" si="94"/>
        <v/>
      </c>
      <c r="Q350" s="47">
        <f t="shared" si="95"/>
        <v>162.6</v>
      </c>
      <c r="R350" s="47" t="str">
        <f t="shared" si="96"/>
        <v/>
      </c>
      <c r="S350" s="47">
        <f t="shared" si="99"/>
        <v>1</v>
      </c>
      <c r="T350" s="47" t="str">
        <f t="shared" si="100"/>
        <v/>
      </c>
      <c r="U350" s="47">
        <f t="shared" si="97"/>
        <v>162.6</v>
      </c>
      <c r="V350" s="47" t="str">
        <f t="shared" si="98"/>
        <v/>
      </c>
      <c r="W350" s="98">
        <f t="shared" si="101"/>
        <v>162.6</v>
      </c>
      <c r="X350" s="98">
        <f t="shared" si="102"/>
        <v>1</v>
      </c>
      <c r="AB350" s="42" t="s">
        <v>187</v>
      </c>
      <c r="BG350"/>
      <c r="BH350"/>
      <c r="BI350"/>
      <c r="BJ350"/>
      <c r="BK350"/>
      <c r="BL350"/>
      <c r="BM350"/>
      <c r="BN350"/>
      <c r="BO350"/>
      <c r="BP350"/>
      <c r="BQ350"/>
      <c r="BR350"/>
      <c r="BS350"/>
    </row>
    <row r="351" spans="1:71" ht="16.5" x14ac:dyDescent="0.3">
      <c r="A351" s="38" t="s">
        <v>281</v>
      </c>
      <c r="B351" s="36">
        <v>349</v>
      </c>
      <c r="C351" s="71" t="str">
        <f t="shared" ca="1" si="91"/>
        <v>10년~5년 사이</v>
      </c>
      <c r="D351" s="79">
        <v>44196</v>
      </c>
      <c r="E351" s="72">
        <f t="shared" si="92"/>
        <v>2</v>
      </c>
      <c r="F351" s="8" t="s">
        <v>1</v>
      </c>
      <c r="G351" s="59" t="s">
        <v>483</v>
      </c>
      <c r="H351" s="59" t="s">
        <v>484</v>
      </c>
      <c r="I351" s="80" t="s">
        <v>658</v>
      </c>
      <c r="J351" s="81" t="s">
        <v>4</v>
      </c>
      <c r="K351" s="75" t="s">
        <v>187</v>
      </c>
      <c r="L351" s="76">
        <v>0.66</v>
      </c>
      <c r="M351" s="58">
        <v>473.8</v>
      </c>
      <c r="N351" s="58">
        <v>312.7</v>
      </c>
      <c r="O351" s="47">
        <f t="shared" si="93"/>
        <v>0.66</v>
      </c>
      <c r="P351" s="47">
        <f t="shared" si="94"/>
        <v>0.66</v>
      </c>
      <c r="Q351" s="47">
        <f t="shared" si="95"/>
        <v>473.8</v>
      </c>
      <c r="R351" s="47">
        <f t="shared" si="96"/>
        <v>473.8</v>
      </c>
      <c r="S351" s="47">
        <f t="shared" si="99"/>
        <v>0.66</v>
      </c>
      <c r="T351" s="47">
        <f t="shared" si="100"/>
        <v>0.66</v>
      </c>
      <c r="U351" s="47">
        <f t="shared" si="97"/>
        <v>312.7</v>
      </c>
      <c r="V351" s="47">
        <f t="shared" si="98"/>
        <v>312.7</v>
      </c>
      <c r="W351" s="98">
        <f t="shared" si="101"/>
        <v>312.7</v>
      </c>
      <c r="X351" s="98">
        <f t="shared" si="102"/>
        <v>0.66</v>
      </c>
      <c r="AB351" s="42" t="s">
        <v>187</v>
      </c>
      <c r="BG351"/>
      <c r="BH351"/>
      <c r="BI351"/>
      <c r="BJ351"/>
      <c r="BK351"/>
      <c r="BL351"/>
      <c r="BM351"/>
      <c r="BN351"/>
      <c r="BO351"/>
      <c r="BP351"/>
      <c r="BQ351"/>
      <c r="BR351"/>
      <c r="BS351"/>
    </row>
    <row r="352" spans="1:71" ht="16.5" x14ac:dyDescent="0.3">
      <c r="A352" s="38" t="s">
        <v>281</v>
      </c>
      <c r="B352" s="36">
        <v>350</v>
      </c>
      <c r="C352" s="71" t="str">
        <f t="shared" ca="1" si="91"/>
        <v>10년~5년 사이</v>
      </c>
      <c r="D352" s="79">
        <v>44212</v>
      </c>
      <c r="E352" s="72">
        <f t="shared" si="92"/>
        <v>1</v>
      </c>
      <c r="F352" s="8" t="s">
        <v>1</v>
      </c>
      <c r="G352" s="59" t="s">
        <v>309</v>
      </c>
      <c r="H352" s="59" t="s">
        <v>363</v>
      </c>
      <c r="I352" s="80" t="s">
        <v>615</v>
      </c>
      <c r="J352" s="81" t="s">
        <v>4</v>
      </c>
      <c r="K352" s="75" t="s">
        <v>187</v>
      </c>
      <c r="L352" s="76">
        <v>0.45</v>
      </c>
      <c r="M352" s="58">
        <v>244.7</v>
      </c>
      <c r="N352" s="58">
        <v>106.1</v>
      </c>
      <c r="O352" s="47">
        <f t="shared" si="93"/>
        <v>0.45</v>
      </c>
      <c r="P352" s="47">
        <f t="shared" si="94"/>
        <v>0.45</v>
      </c>
      <c r="Q352" s="47">
        <f t="shared" si="95"/>
        <v>244.7</v>
      </c>
      <c r="R352" s="47">
        <f t="shared" si="96"/>
        <v>244.7</v>
      </c>
      <c r="S352" s="47">
        <f t="shared" si="99"/>
        <v>0.45</v>
      </c>
      <c r="T352" s="47" t="str">
        <f t="shared" si="100"/>
        <v/>
      </c>
      <c r="U352" s="47">
        <f t="shared" si="97"/>
        <v>106.1</v>
      </c>
      <c r="V352" s="47" t="str">
        <f t="shared" si="98"/>
        <v/>
      </c>
      <c r="W352" s="98">
        <f t="shared" si="101"/>
        <v>106.1</v>
      </c>
      <c r="X352" s="98">
        <f t="shared" si="102"/>
        <v>0.45</v>
      </c>
      <c r="AB352" s="42" t="s">
        <v>187</v>
      </c>
      <c r="BG352"/>
      <c r="BH352"/>
      <c r="BI352"/>
      <c r="BJ352"/>
      <c r="BK352"/>
      <c r="BL352"/>
      <c r="BM352"/>
      <c r="BN352"/>
      <c r="BO352"/>
      <c r="BP352"/>
      <c r="BQ352"/>
      <c r="BR352"/>
      <c r="BS352"/>
    </row>
    <row r="353" spans="1:71" ht="16.5" x14ac:dyDescent="0.3">
      <c r="A353" s="38" t="s">
        <v>281</v>
      </c>
      <c r="B353" s="36">
        <v>351</v>
      </c>
      <c r="C353" s="71" t="str">
        <f t="shared" ca="1" si="91"/>
        <v>10년~5년 사이</v>
      </c>
      <c r="D353" s="79">
        <v>44223</v>
      </c>
      <c r="E353" s="72">
        <f t="shared" si="92"/>
        <v>2</v>
      </c>
      <c r="F353" s="8" t="s">
        <v>1</v>
      </c>
      <c r="G353" s="59" t="s">
        <v>17</v>
      </c>
      <c r="H353" s="66" t="s">
        <v>139</v>
      </c>
      <c r="I353" s="80" t="s">
        <v>651</v>
      </c>
      <c r="J353" s="81" t="s">
        <v>4</v>
      </c>
      <c r="K353" s="75" t="s">
        <v>187</v>
      </c>
      <c r="L353" s="76">
        <v>1</v>
      </c>
      <c r="M353" s="58">
        <v>496.6</v>
      </c>
      <c r="N353" s="58">
        <v>496.6</v>
      </c>
      <c r="O353" s="47">
        <f t="shared" si="93"/>
        <v>1</v>
      </c>
      <c r="P353" s="47">
        <f t="shared" si="94"/>
        <v>1</v>
      </c>
      <c r="Q353" s="47">
        <f t="shared" si="95"/>
        <v>496.6</v>
      </c>
      <c r="R353" s="47">
        <f t="shared" si="96"/>
        <v>496.6</v>
      </c>
      <c r="S353" s="47">
        <f t="shared" si="99"/>
        <v>1</v>
      </c>
      <c r="T353" s="47">
        <f t="shared" si="100"/>
        <v>1</v>
      </c>
      <c r="U353" s="47">
        <f t="shared" si="97"/>
        <v>496.6</v>
      </c>
      <c r="V353" s="47">
        <f t="shared" si="98"/>
        <v>496.6</v>
      </c>
      <c r="W353" s="98">
        <f t="shared" si="101"/>
        <v>496.6</v>
      </c>
      <c r="X353" s="98">
        <f t="shared" si="102"/>
        <v>1</v>
      </c>
      <c r="AB353" s="42" t="s">
        <v>187</v>
      </c>
      <c r="BG353"/>
      <c r="BH353"/>
      <c r="BI353"/>
      <c r="BJ353"/>
      <c r="BK353"/>
      <c r="BL353"/>
      <c r="BM353"/>
      <c r="BN353"/>
      <c r="BO353"/>
      <c r="BP353"/>
      <c r="BQ353"/>
      <c r="BR353"/>
      <c r="BS353"/>
    </row>
    <row r="354" spans="1:71" ht="16.5" x14ac:dyDescent="0.3">
      <c r="A354" s="38" t="s">
        <v>281</v>
      </c>
      <c r="B354" s="36">
        <v>352</v>
      </c>
      <c r="C354" s="71" t="str">
        <f t="shared" ca="1" si="91"/>
        <v>10년~5년 사이</v>
      </c>
      <c r="D354" s="79">
        <v>44223</v>
      </c>
      <c r="E354" s="72">
        <f t="shared" si="92"/>
        <v>2</v>
      </c>
      <c r="F354" s="8" t="s">
        <v>1</v>
      </c>
      <c r="G354" s="59" t="s">
        <v>17</v>
      </c>
      <c r="H354" s="59" t="s">
        <v>77</v>
      </c>
      <c r="I354" s="80" t="s">
        <v>651</v>
      </c>
      <c r="J354" s="81" t="s">
        <v>4</v>
      </c>
      <c r="K354" s="75" t="s">
        <v>187</v>
      </c>
      <c r="L354" s="76">
        <v>1</v>
      </c>
      <c r="M354" s="58">
        <v>496.6</v>
      </c>
      <c r="N354" s="58">
        <v>496.6</v>
      </c>
      <c r="O354" s="47">
        <f t="shared" si="93"/>
        <v>1</v>
      </c>
      <c r="P354" s="47">
        <f t="shared" si="94"/>
        <v>1</v>
      </c>
      <c r="Q354" s="47">
        <f t="shared" si="95"/>
        <v>496.6</v>
      </c>
      <c r="R354" s="47">
        <f t="shared" si="96"/>
        <v>496.6</v>
      </c>
      <c r="S354" s="47">
        <f t="shared" si="99"/>
        <v>1</v>
      </c>
      <c r="T354" s="47">
        <f t="shared" si="100"/>
        <v>1</v>
      </c>
      <c r="U354" s="47">
        <f t="shared" si="97"/>
        <v>496.6</v>
      </c>
      <c r="V354" s="47">
        <f t="shared" si="98"/>
        <v>496.6</v>
      </c>
      <c r="W354" s="98">
        <f t="shared" si="101"/>
        <v>496.6</v>
      </c>
      <c r="X354" s="98">
        <f t="shared" si="102"/>
        <v>1</v>
      </c>
      <c r="AB354" s="42" t="s">
        <v>187</v>
      </c>
      <c r="BG354"/>
      <c r="BH354"/>
      <c r="BI354"/>
      <c r="BJ354"/>
      <c r="BK354"/>
      <c r="BL354"/>
      <c r="BM354"/>
      <c r="BN354"/>
      <c r="BO354"/>
      <c r="BP354"/>
      <c r="BQ354"/>
      <c r="BR354"/>
      <c r="BS354"/>
    </row>
    <row r="355" spans="1:71" ht="16.5" x14ac:dyDescent="0.3">
      <c r="A355" s="38" t="s">
        <v>281</v>
      </c>
      <c r="B355" s="36">
        <v>353</v>
      </c>
      <c r="C355" s="71" t="str">
        <f t="shared" ca="1" si="91"/>
        <v>10년~5년 사이</v>
      </c>
      <c r="D355" s="79">
        <v>44265</v>
      </c>
      <c r="E355" s="72">
        <f t="shared" si="92"/>
        <v>2</v>
      </c>
      <c r="F355" s="8" t="s">
        <v>1</v>
      </c>
      <c r="G355" s="59" t="s">
        <v>297</v>
      </c>
      <c r="H355" s="59" t="s">
        <v>594</v>
      </c>
      <c r="I355" s="80" t="s">
        <v>618</v>
      </c>
      <c r="J355" s="81" t="s">
        <v>4</v>
      </c>
      <c r="K355" s="75" t="s">
        <v>187</v>
      </c>
      <c r="L355" s="76">
        <v>0.8</v>
      </c>
      <c r="M355" s="58">
        <v>377.3</v>
      </c>
      <c r="N355" s="58">
        <v>302.3</v>
      </c>
      <c r="O355" s="47">
        <f t="shared" si="93"/>
        <v>0.8</v>
      </c>
      <c r="P355" s="47">
        <f t="shared" si="94"/>
        <v>0.8</v>
      </c>
      <c r="Q355" s="47">
        <f t="shared" si="95"/>
        <v>377.3</v>
      </c>
      <c r="R355" s="47">
        <f t="shared" si="96"/>
        <v>377.3</v>
      </c>
      <c r="S355" s="47">
        <f t="shared" si="99"/>
        <v>0.8</v>
      </c>
      <c r="T355" s="47">
        <f t="shared" si="100"/>
        <v>0.8</v>
      </c>
      <c r="U355" s="47">
        <f t="shared" si="97"/>
        <v>302.3</v>
      </c>
      <c r="V355" s="47">
        <f t="shared" si="98"/>
        <v>302.3</v>
      </c>
      <c r="W355" s="98">
        <f t="shared" si="101"/>
        <v>302.3</v>
      </c>
      <c r="X355" s="98">
        <f t="shared" si="102"/>
        <v>0.8</v>
      </c>
      <c r="AB355" s="42" t="s">
        <v>187</v>
      </c>
      <c r="BG355"/>
      <c r="BH355"/>
      <c r="BI355"/>
      <c r="BJ355"/>
      <c r="BK355"/>
      <c r="BL355"/>
      <c r="BM355"/>
      <c r="BN355"/>
      <c r="BO355"/>
      <c r="BP355"/>
      <c r="BQ355"/>
      <c r="BR355"/>
      <c r="BS355"/>
    </row>
    <row r="356" spans="1:71" ht="16.5" x14ac:dyDescent="0.3">
      <c r="A356" s="38" t="s">
        <v>281</v>
      </c>
      <c r="B356" s="36">
        <v>354</v>
      </c>
      <c r="C356" s="71" t="str">
        <f t="shared" ca="1" si="91"/>
        <v>10년~5년 사이</v>
      </c>
      <c r="D356" s="79">
        <v>44309</v>
      </c>
      <c r="E356" s="72" t="str">
        <f t="shared" si="92"/>
        <v/>
      </c>
      <c r="F356" s="8" t="s">
        <v>1</v>
      </c>
      <c r="G356" s="59" t="s">
        <v>39</v>
      </c>
      <c r="H356" s="59" t="s">
        <v>55</v>
      </c>
      <c r="I356" s="80" t="s">
        <v>827</v>
      </c>
      <c r="J356" s="81" t="s">
        <v>4</v>
      </c>
      <c r="K356" s="75" t="s">
        <v>187</v>
      </c>
      <c r="L356" s="76">
        <v>0.55000000000000004</v>
      </c>
      <c r="M356" s="58">
        <v>249.1</v>
      </c>
      <c r="N356" s="58">
        <v>84.7</v>
      </c>
      <c r="O356" s="47">
        <f t="shared" si="93"/>
        <v>0.55000000000000004</v>
      </c>
      <c r="P356" s="47">
        <f t="shared" si="94"/>
        <v>0.55000000000000004</v>
      </c>
      <c r="Q356" s="47">
        <f t="shared" si="95"/>
        <v>249.1</v>
      </c>
      <c r="R356" s="47">
        <f t="shared" si="96"/>
        <v>249.1</v>
      </c>
      <c r="S356" s="47" t="str">
        <f t="shared" si="99"/>
        <v/>
      </c>
      <c r="T356" s="47" t="str">
        <f t="shared" si="100"/>
        <v/>
      </c>
      <c r="U356" s="47" t="str">
        <f t="shared" si="97"/>
        <v/>
      </c>
      <c r="V356" s="47" t="str">
        <f t="shared" si="98"/>
        <v/>
      </c>
      <c r="W356" s="98">
        <f t="shared" si="101"/>
        <v>84.7</v>
      </c>
      <c r="X356" s="98">
        <f t="shared" si="102"/>
        <v>0.55000000000000004</v>
      </c>
      <c r="AB356" s="42" t="s">
        <v>187</v>
      </c>
      <c r="BG356"/>
      <c r="BH356"/>
      <c r="BI356"/>
      <c r="BJ356"/>
      <c r="BK356"/>
      <c r="BL356"/>
      <c r="BM356"/>
      <c r="BN356"/>
      <c r="BO356"/>
      <c r="BP356"/>
      <c r="BQ356"/>
      <c r="BR356"/>
      <c r="BS356"/>
    </row>
    <row r="357" spans="1:71" ht="16.5" x14ac:dyDescent="0.3">
      <c r="A357" s="38" t="s">
        <v>281</v>
      </c>
      <c r="B357" s="36">
        <v>355</v>
      </c>
      <c r="C357" s="71" t="str">
        <f t="shared" ca="1" si="91"/>
        <v>10년~5년 사이</v>
      </c>
      <c r="D357" s="79">
        <v>44319</v>
      </c>
      <c r="E357" s="72">
        <f t="shared" si="92"/>
        <v>2</v>
      </c>
      <c r="F357" s="8" t="s">
        <v>1</v>
      </c>
      <c r="G357" s="59" t="s">
        <v>68</v>
      </c>
      <c r="H357" s="59" t="s">
        <v>468</v>
      </c>
      <c r="I357" s="80" t="s">
        <v>821</v>
      </c>
      <c r="J357" s="81" t="s">
        <v>4</v>
      </c>
      <c r="K357" s="75" t="s">
        <v>187</v>
      </c>
      <c r="L357" s="76">
        <v>0.3</v>
      </c>
      <c r="M357" s="58">
        <v>916.8</v>
      </c>
      <c r="N357" s="58">
        <v>275</v>
      </c>
      <c r="O357" s="47">
        <f t="shared" si="93"/>
        <v>0.3</v>
      </c>
      <c r="P357" s="47">
        <f t="shared" si="94"/>
        <v>0.3</v>
      </c>
      <c r="Q357" s="47">
        <f t="shared" si="95"/>
        <v>916.8</v>
      </c>
      <c r="R357" s="47">
        <f t="shared" si="96"/>
        <v>916.8</v>
      </c>
      <c r="S357" s="47">
        <f t="shared" si="99"/>
        <v>0.3</v>
      </c>
      <c r="T357" s="47">
        <f t="shared" si="100"/>
        <v>0.3</v>
      </c>
      <c r="U357" s="47">
        <f t="shared" si="97"/>
        <v>275</v>
      </c>
      <c r="V357" s="47">
        <f t="shared" si="98"/>
        <v>275</v>
      </c>
      <c r="W357" s="98">
        <f t="shared" si="101"/>
        <v>275</v>
      </c>
      <c r="X357" s="98">
        <f t="shared" si="102"/>
        <v>0.3</v>
      </c>
      <c r="AB357" s="42" t="s">
        <v>187</v>
      </c>
      <c r="BG357"/>
      <c r="BH357"/>
      <c r="BI357"/>
      <c r="BJ357"/>
      <c r="BK357"/>
      <c r="BL357"/>
      <c r="BM357"/>
      <c r="BN357"/>
      <c r="BO357"/>
      <c r="BP357"/>
      <c r="BQ357"/>
      <c r="BR357"/>
      <c r="BS357"/>
    </row>
    <row r="358" spans="1:71" ht="16.5" x14ac:dyDescent="0.3">
      <c r="A358" s="38" t="s">
        <v>281</v>
      </c>
      <c r="B358" s="36">
        <v>356</v>
      </c>
      <c r="C358" s="71" t="str">
        <f t="shared" ca="1" si="91"/>
        <v>10년~5년 사이</v>
      </c>
      <c r="D358" s="79">
        <v>44329</v>
      </c>
      <c r="E358" s="72">
        <f t="shared" si="92"/>
        <v>2</v>
      </c>
      <c r="F358" s="8" t="s">
        <v>1</v>
      </c>
      <c r="G358" s="59" t="s">
        <v>760</v>
      </c>
      <c r="H358" s="59" t="s">
        <v>761</v>
      </c>
      <c r="I358" s="80" t="s">
        <v>819</v>
      </c>
      <c r="J358" s="81" t="s">
        <v>4</v>
      </c>
      <c r="K358" s="75" t="s">
        <v>187</v>
      </c>
      <c r="L358" s="76">
        <v>0.53</v>
      </c>
      <c r="M358" s="58">
        <v>1186.8</v>
      </c>
      <c r="N358" s="58">
        <v>629</v>
      </c>
      <c r="O358" s="47">
        <f t="shared" si="93"/>
        <v>0.53</v>
      </c>
      <c r="P358" s="47">
        <f t="shared" si="94"/>
        <v>0.53</v>
      </c>
      <c r="Q358" s="47">
        <f t="shared" si="95"/>
        <v>1186.8</v>
      </c>
      <c r="R358" s="47">
        <f t="shared" si="96"/>
        <v>1186.8</v>
      </c>
      <c r="S358" s="47">
        <f t="shared" si="99"/>
        <v>0.53</v>
      </c>
      <c r="T358" s="47">
        <f t="shared" si="100"/>
        <v>0.53</v>
      </c>
      <c r="U358" s="47">
        <f t="shared" si="97"/>
        <v>629</v>
      </c>
      <c r="V358" s="47">
        <f t="shared" si="98"/>
        <v>629</v>
      </c>
      <c r="W358" s="98">
        <f t="shared" si="101"/>
        <v>629</v>
      </c>
      <c r="X358" s="98">
        <f t="shared" si="102"/>
        <v>0.53</v>
      </c>
      <c r="AB358" s="42" t="s">
        <v>187</v>
      </c>
      <c r="BG358"/>
      <c r="BH358"/>
      <c r="BI358"/>
      <c r="BJ358"/>
      <c r="BK358"/>
      <c r="BL358"/>
      <c r="BM358"/>
      <c r="BN358"/>
      <c r="BO358"/>
      <c r="BP358"/>
      <c r="BQ358"/>
      <c r="BR358"/>
      <c r="BS358"/>
    </row>
    <row r="359" spans="1:71" ht="16.5" x14ac:dyDescent="0.3">
      <c r="A359" s="38" t="s">
        <v>281</v>
      </c>
      <c r="B359" s="36">
        <v>357</v>
      </c>
      <c r="C359" s="71" t="str">
        <f t="shared" ca="1" si="91"/>
        <v>10년~5년 사이</v>
      </c>
      <c r="D359" s="79">
        <v>44337</v>
      </c>
      <c r="E359" s="72" t="str">
        <f t="shared" si="92"/>
        <v/>
      </c>
      <c r="F359" s="8" t="s">
        <v>1</v>
      </c>
      <c r="G359" s="59" t="s">
        <v>116</v>
      </c>
      <c r="H359" s="59" t="s">
        <v>61</v>
      </c>
      <c r="I359" s="80" t="s">
        <v>695</v>
      </c>
      <c r="J359" s="81" t="s">
        <v>4</v>
      </c>
      <c r="K359" s="75" t="s">
        <v>187</v>
      </c>
      <c r="L359" s="76">
        <v>1</v>
      </c>
      <c r="M359" s="58">
        <v>19.600000000000001</v>
      </c>
      <c r="N359" s="58">
        <v>19.600000000000001</v>
      </c>
      <c r="O359" s="47" t="str">
        <f t="shared" si="93"/>
        <v/>
      </c>
      <c r="P359" s="47" t="str">
        <f t="shared" si="94"/>
        <v/>
      </c>
      <c r="Q359" s="47" t="str">
        <f t="shared" si="95"/>
        <v/>
      </c>
      <c r="R359" s="47" t="str">
        <f t="shared" si="96"/>
        <v/>
      </c>
      <c r="S359" s="47" t="str">
        <f t="shared" si="99"/>
        <v/>
      </c>
      <c r="T359" s="47" t="str">
        <f t="shared" si="100"/>
        <v/>
      </c>
      <c r="U359" s="47" t="str">
        <f t="shared" si="97"/>
        <v/>
      </c>
      <c r="V359" s="47" t="str">
        <f t="shared" si="98"/>
        <v/>
      </c>
      <c r="W359" s="98">
        <f t="shared" si="101"/>
        <v>19.600000000000001</v>
      </c>
      <c r="X359" s="98">
        <f t="shared" si="102"/>
        <v>1</v>
      </c>
      <c r="AB359" s="42" t="s">
        <v>187</v>
      </c>
      <c r="BG359"/>
      <c r="BH359"/>
      <c r="BI359"/>
      <c r="BJ359"/>
      <c r="BK359"/>
      <c r="BL359"/>
      <c r="BM359"/>
      <c r="BN359"/>
      <c r="BO359"/>
      <c r="BP359"/>
      <c r="BQ359"/>
      <c r="BR359"/>
      <c r="BS359"/>
    </row>
    <row r="360" spans="1:71" ht="16.5" x14ac:dyDescent="0.3">
      <c r="A360" s="38" t="s">
        <v>281</v>
      </c>
      <c r="B360" s="36">
        <v>358</v>
      </c>
      <c r="C360" s="71" t="str">
        <f t="shared" ca="1" si="91"/>
        <v>10년~5년 사이</v>
      </c>
      <c r="D360" s="79">
        <v>44365</v>
      </c>
      <c r="E360" s="72">
        <f t="shared" si="92"/>
        <v>1</v>
      </c>
      <c r="F360" s="8" t="s">
        <v>1</v>
      </c>
      <c r="G360" s="59" t="s">
        <v>17</v>
      </c>
      <c r="H360" s="80" t="s">
        <v>835</v>
      </c>
      <c r="I360" s="80" t="s">
        <v>667</v>
      </c>
      <c r="J360" s="81" t="s">
        <v>4</v>
      </c>
      <c r="K360" s="75" t="s">
        <v>187</v>
      </c>
      <c r="L360" s="76">
        <v>0.65</v>
      </c>
      <c r="M360" s="58">
        <v>241.8</v>
      </c>
      <c r="N360" s="58">
        <v>157.19999999999999</v>
      </c>
      <c r="O360" s="47">
        <f t="shared" si="93"/>
        <v>0.65</v>
      </c>
      <c r="P360" s="47">
        <f t="shared" si="94"/>
        <v>0.65</v>
      </c>
      <c r="Q360" s="47">
        <f t="shared" si="95"/>
        <v>241.8</v>
      </c>
      <c r="R360" s="47">
        <f t="shared" si="96"/>
        <v>241.8</v>
      </c>
      <c r="S360" s="47">
        <f t="shared" si="99"/>
        <v>0.65</v>
      </c>
      <c r="T360" s="47" t="str">
        <f t="shared" si="100"/>
        <v/>
      </c>
      <c r="U360" s="47">
        <f t="shared" si="97"/>
        <v>157.19999999999999</v>
      </c>
      <c r="V360" s="47" t="str">
        <f t="shared" si="98"/>
        <v/>
      </c>
      <c r="W360" s="98">
        <f t="shared" si="101"/>
        <v>157.19999999999999</v>
      </c>
      <c r="X360" s="98">
        <f t="shared" si="102"/>
        <v>0.65</v>
      </c>
      <c r="AB360" s="42" t="s">
        <v>187</v>
      </c>
      <c r="BG360"/>
      <c r="BH360"/>
      <c r="BI360"/>
      <c r="BJ360"/>
      <c r="BK360"/>
      <c r="BL360"/>
      <c r="BM360"/>
      <c r="BN360"/>
      <c r="BO360"/>
      <c r="BP360"/>
      <c r="BQ360"/>
      <c r="BR360"/>
      <c r="BS360"/>
    </row>
    <row r="361" spans="1:71" ht="16.5" x14ac:dyDescent="0.3">
      <c r="A361" s="38" t="s">
        <v>281</v>
      </c>
      <c r="B361" s="36">
        <v>359</v>
      </c>
      <c r="C361" s="71" t="str">
        <f t="shared" ca="1" si="91"/>
        <v>10년~5년 사이</v>
      </c>
      <c r="D361" s="79">
        <v>44370</v>
      </c>
      <c r="E361" s="72">
        <f t="shared" si="92"/>
        <v>2</v>
      </c>
      <c r="F361" s="8" t="s">
        <v>1</v>
      </c>
      <c r="G361" s="59" t="s">
        <v>68</v>
      </c>
      <c r="H361" s="59" t="s">
        <v>77</v>
      </c>
      <c r="I361" s="80" t="s">
        <v>656</v>
      </c>
      <c r="J361" s="81" t="s">
        <v>4</v>
      </c>
      <c r="K361" s="75" t="s">
        <v>187</v>
      </c>
      <c r="L361" s="76">
        <v>0.65</v>
      </c>
      <c r="M361" s="58">
        <v>393.1</v>
      </c>
      <c r="N361" s="58">
        <v>255.5</v>
      </c>
      <c r="O361" s="47">
        <f t="shared" si="93"/>
        <v>0.65</v>
      </c>
      <c r="P361" s="47">
        <f t="shared" si="94"/>
        <v>0.65</v>
      </c>
      <c r="Q361" s="47">
        <f t="shared" si="95"/>
        <v>393.1</v>
      </c>
      <c r="R361" s="47">
        <f t="shared" si="96"/>
        <v>393.1</v>
      </c>
      <c r="S361" s="47">
        <f t="shared" si="99"/>
        <v>0.65</v>
      </c>
      <c r="T361" s="47">
        <f t="shared" si="100"/>
        <v>0.65</v>
      </c>
      <c r="U361" s="47">
        <f t="shared" si="97"/>
        <v>255.5</v>
      </c>
      <c r="V361" s="47">
        <f t="shared" si="98"/>
        <v>255.5</v>
      </c>
      <c r="W361" s="98">
        <f t="shared" si="101"/>
        <v>255.5</v>
      </c>
      <c r="X361" s="98">
        <f t="shared" si="102"/>
        <v>0.65</v>
      </c>
      <c r="AB361" s="42" t="s">
        <v>187</v>
      </c>
      <c r="BG361"/>
      <c r="BH361"/>
      <c r="BI361"/>
      <c r="BJ361"/>
      <c r="BK361"/>
      <c r="BL361"/>
      <c r="BM361"/>
      <c r="BN361"/>
      <c r="BO361"/>
      <c r="BP361"/>
      <c r="BQ361"/>
      <c r="BR361"/>
      <c r="BS361"/>
    </row>
    <row r="362" spans="1:71" ht="16.5" x14ac:dyDescent="0.3">
      <c r="A362" s="38" t="s">
        <v>281</v>
      </c>
      <c r="B362" s="36">
        <v>360</v>
      </c>
      <c r="C362" s="71" t="str">
        <f t="shared" ca="1" si="91"/>
        <v>10년~5년 사이</v>
      </c>
      <c r="D362" s="79">
        <v>44371</v>
      </c>
      <c r="E362" s="72">
        <f t="shared" si="92"/>
        <v>2</v>
      </c>
      <c r="F362" s="8" t="s">
        <v>1</v>
      </c>
      <c r="G362" s="59" t="s">
        <v>68</v>
      </c>
      <c r="H362" s="59" t="s">
        <v>75</v>
      </c>
      <c r="I362" s="80" t="s">
        <v>656</v>
      </c>
      <c r="J362" s="81" t="s">
        <v>4</v>
      </c>
      <c r="K362" s="75" t="s">
        <v>187</v>
      </c>
      <c r="L362" s="76">
        <v>0.65</v>
      </c>
      <c r="M362" s="58">
        <v>393.1</v>
      </c>
      <c r="N362" s="58">
        <v>255.5</v>
      </c>
      <c r="O362" s="47">
        <f t="shared" si="93"/>
        <v>0.65</v>
      </c>
      <c r="P362" s="47">
        <f t="shared" si="94"/>
        <v>0.65</v>
      </c>
      <c r="Q362" s="47">
        <f t="shared" si="95"/>
        <v>393.1</v>
      </c>
      <c r="R362" s="47">
        <f t="shared" si="96"/>
        <v>393.1</v>
      </c>
      <c r="S362" s="47">
        <f t="shared" si="99"/>
        <v>0.65</v>
      </c>
      <c r="T362" s="47">
        <f t="shared" si="100"/>
        <v>0.65</v>
      </c>
      <c r="U362" s="47">
        <f t="shared" si="97"/>
        <v>255.5</v>
      </c>
      <c r="V362" s="47">
        <f t="shared" si="98"/>
        <v>255.5</v>
      </c>
      <c r="W362" s="98">
        <f t="shared" si="101"/>
        <v>255.5</v>
      </c>
      <c r="X362" s="98">
        <f t="shared" si="102"/>
        <v>0.65</v>
      </c>
      <c r="AB362" s="42" t="s">
        <v>187</v>
      </c>
      <c r="BG362"/>
      <c r="BH362"/>
      <c r="BI362"/>
      <c r="BJ362"/>
      <c r="BK362"/>
      <c r="BL362"/>
      <c r="BM362"/>
      <c r="BN362"/>
      <c r="BO362"/>
      <c r="BP362"/>
      <c r="BQ362"/>
      <c r="BR362"/>
      <c r="BS362"/>
    </row>
    <row r="363" spans="1:71" ht="16.5" x14ac:dyDescent="0.3">
      <c r="A363" s="38" t="s">
        <v>281</v>
      </c>
      <c r="B363" s="36">
        <v>361</v>
      </c>
      <c r="C363" s="71" t="str">
        <f t="shared" ca="1" si="91"/>
        <v>10년~5년 사이</v>
      </c>
      <c r="D363" s="79">
        <v>44371</v>
      </c>
      <c r="E363" s="72">
        <f t="shared" si="92"/>
        <v>2</v>
      </c>
      <c r="F363" s="8" t="s">
        <v>1</v>
      </c>
      <c r="G363" s="59" t="s">
        <v>661</v>
      </c>
      <c r="H363" s="59" t="s">
        <v>662</v>
      </c>
      <c r="I363" s="80" t="s">
        <v>663</v>
      </c>
      <c r="J363" s="81" t="s">
        <v>4</v>
      </c>
      <c r="K363" s="75" t="s">
        <v>187</v>
      </c>
      <c r="L363" s="76">
        <v>0.7</v>
      </c>
      <c r="M363" s="58">
        <v>343.7</v>
      </c>
      <c r="N363" s="58">
        <v>240.6</v>
      </c>
      <c r="O363" s="47">
        <f t="shared" si="93"/>
        <v>0.7</v>
      </c>
      <c r="P363" s="47">
        <f t="shared" si="94"/>
        <v>0.7</v>
      </c>
      <c r="Q363" s="47">
        <f t="shared" si="95"/>
        <v>343.7</v>
      </c>
      <c r="R363" s="47">
        <f t="shared" si="96"/>
        <v>343.7</v>
      </c>
      <c r="S363" s="47">
        <f t="shared" si="99"/>
        <v>0.7</v>
      </c>
      <c r="T363" s="47">
        <f t="shared" si="100"/>
        <v>0.7</v>
      </c>
      <c r="U363" s="47">
        <f t="shared" si="97"/>
        <v>240.6</v>
      </c>
      <c r="V363" s="47">
        <f t="shared" si="98"/>
        <v>240.6</v>
      </c>
      <c r="W363" s="98">
        <f t="shared" si="101"/>
        <v>240.6</v>
      </c>
      <c r="X363" s="98">
        <f t="shared" si="102"/>
        <v>0.7</v>
      </c>
      <c r="AB363" s="42" t="s">
        <v>187</v>
      </c>
      <c r="BG363"/>
      <c r="BH363"/>
      <c r="BI363"/>
      <c r="BJ363"/>
      <c r="BK363"/>
      <c r="BL363"/>
      <c r="BM363"/>
      <c r="BN363"/>
      <c r="BO363"/>
      <c r="BP363"/>
      <c r="BQ363"/>
      <c r="BR363"/>
      <c r="BS363"/>
    </row>
    <row r="364" spans="1:71" ht="16.5" x14ac:dyDescent="0.3">
      <c r="A364" s="38" t="s">
        <v>281</v>
      </c>
      <c r="B364" s="36">
        <v>362</v>
      </c>
      <c r="C364" s="71" t="str">
        <f t="shared" ca="1" si="91"/>
        <v>10년~5년 사이</v>
      </c>
      <c r="D364" s="79">
        <v>44372</v>
      </c>
      <c r="E364" s="72">
        <f t="shared" si="92"/>
        <v>2</v>
      </c>
      <c r="F364" s="8" t="s">
        <v>1</v>
      </c>
      <c r="G364" s="59" t="s">
        <v>68</v>
      </c>
      <c r="H364" s="59" t="s">
        <v>657</v>
      </c>
      <c r="I364" s="80" t="s">
        <v>656</v>
      </c>
      <c r="J364" s="81" t="s">
        <v>4</v>
      </c>
      <c r="K364" s="75" t="s">
        <v>187</v>
      </c>
      <c r="L364" s="76">
        <v>0.65</v>
      </c>
      <c r="M364" s="58">
        <v>393.1</v>
      </c>
      <c r="N364" s="58">
        <v>255.5</v>
      </c>
      <c r="O364" s="47">
        <f t="shared" si="93"/>
        <v>0.65</v>
      </c>
      <c r="P364" s="47">
        <f t="shared" si="94"/>
        <v>0.65</v>
      </c>
      <c r="Q364" s="47">
        <f t="shared" si="95"/>
        <v>393.1</v>
      </c>
      <c r="R364" s="47">
        <f t="shared" si="96"/>
        <v>393.1</v>
      </c>
      <c r="S364" s="47">
        <f t="shared" si="99"/>
        <v>0.65</v>
      </c>
      <c r="T364" s="47">
        <f t="shared" si="100"/>
        <v>0.65</v>
      </c>
      <c r="U364" s="47">
        <f t="shared" si="97"/>
        <v>255.5</v>
      </c>
      <c r="V364" s="47">
        <f t="shared" si="98"/>
        <v>255.5</v>
      </c>
      <c r="W364" s="98">
        <f t="shared" si="101"/>
        <v>255.5</v>
      </c>
      <c r="X364" s="98">
        <f t="shared" si="102"/>
        <v>0.65</v>
      </c>
      <c r="AB364" s="42" t="s">
        <v>187</v>
      </c>
      <c r="BG364"/>
      <c r="BH364"/>
      <c r="BI364"/>
      <c r="BJ364"/>
      <c r="BK364"/>
      <c r="BL364"/>
      <c r="BM364"/>
      <c r="BN364"/>
      <c r="BO364"/>
      <c r="BP364"/>
      <c r="BQ364"/>
      <c r="BR364"/>
      <c r="BS364"/>
    </row>
    <row r="365" spans="1:71" ht="16.5" x14ac:dyDescent="0.3">
      <c r="A365" s="38" t="s">
        <v>281</v>
      </c>
      <c r="B365" s="36">
        <v>363</v>
      </c>
      <c r="C365" s="71" t="str">
        <f t="shared" ca="1" si="91"/>
        <v>10년~5년 사이</v>
      </c>
      <c r="D365" s="79">
        <v>44372</v>
      </c>
      <c r="E365" s="72">
        <f t="shared" si="92"/>
        <v>2</v>
      </c>
      <c r="F365" s="8" t="s">
        <v>1</v>
      </c>
      <c r="G365" s="59" t="s">
        <v>68</v>
      </c>
      <c r="H365" s="59" t="s">
        <v>84</v>
      </c>
      <c r="I365" s="80" t="s">
        <v>663</v>
      </c>
      <c r="J365" s="81" t="s">
        <v>4</v>
      </c>
      <c r="K365" s="75" t="s">
        <v>187</v>
      </c>
      <c r="L365" s="76">
        <v>0.7</v>
      </c>
      <c r="M365" s="58">
        <v>343.7</v>
      </c>
      <c r="N365" s="58">
        <v>240.6</v>
      </c>
      <c r="O365" s="47">
        <f t="shared" si="93"/>
        <v>0.7</v>
      </c>
      <c r="P365" s="47">
        <f t="shared" si="94"/>
        <v>0.7</v>
      </c>
      <c r="Q365" s="47">
        <f t="shared" si="95"/>
        <v>343.7</v>
      </c>
      <c r="R365" s="47">
        <f t="shared" si="96"/>
        <v>343.7</v>
      </c>
      <c r="S365" s="47">
        <f t="shared" si="99"/>
        <v>0.7</v>
      </c>
      <c r="T365" s="47">
        <f t="shared" si="100"/>
        <v>0.7</v>
      </c>
      <c r="U365" s="47">
        <f t="shared" si="97"/>
        <v>240.6</v>
      </c>
      <c r="V365" s="47">
        <f t="shared" si="98"/>
        <v>240.6</v>
      </c>
      <c r="W365" s="98">
        <f t="shared" si="101"/>
        <v>240.6</v>
      </c>
      <c r="X365" s="98">
        <f t="shared" si="102"/>
        <v>0.7</v>
      </c>
      <c r="AB365" s="42" t="s">
        <v>187</v>
      </c>
      <c r="BG365"/>
      <c r="BH365"/>
      <c r="BI365"/>
      <c r="BJ365"/>
      <c r="BK365"/>
      <c r="BL365"/>
      <c r="BM365"/>
      <c r="BN365"/>
      <c r="BO365"/>
      <c r="BP365"/>
      <c r="BQ365"/>
      <c r="BR365"/>
      <c r="BS365"/>
    </row>
    <row r="366" spans="1:71" ht="16.5" x14ac:dyDescent="0.3">
      <c r="A366" s="38" t="s">
        <v>281</v>
      </c>
      <c r="B366" s="36">
        <v>364</v>
      </c>
      <c r="C366" s="71" t="str">
        <f t="shared" ca="1" si="91"/>
        <v>5년 이내</v>
      </c>
      <c r="D366" s="79">
        <v>44377</v>
      </c>
      <c r="E366" s="72">
        <f t="shared" si="92"/>
        <v>2</v>
      </c>
      <c r="F366" s="8" t="s">
        <v>1</v>
      </c>
      <c r="G366" s="59" t="s">
        <v>459</v>
      </c>
      <c r="H366" s="59" t="s">
        <v>623</v>
      </c>
      <c r="I366" s="80" t="s">
        <v>624</v>
      </c>
      <c r="J366" s="81" t="s">
        <v>4</v>
      </c>
      <c r="K366" s="75" t="s">
        <v>187</v>
      </c>
      <c r="L366" s="76">
        <v>0.6</v>
      </c>
      <c r="M366" s="58">
        <v>552.6</v>
      </c>
      <c r="N366" s="58">
        <v>331.6</v>
      </c>
      <c r="O366" s="47">
        <f t="shared" si="93"/>
        <v>0.6</v>
      </c>
      <c r="P366" s="47">
        <f t="shared" si="94"/>
        <v>0.6</v>
      </c>
      <c r="Q366" s="47">
        <f t="shared" si="95"/>
        <v>552.6</v>
      </c>
      <c r="R366" s="47">
        <f t="shared" si="96"/>
        <v>552.6</v>
      </c>
      <c r="S366" s="47">
        <f t="shared" si="99"/>
        <v>0.6</v>
      </c>
      <c r="T366" s="47">
        <f t="shared" si="100"/>
        <v>0.6</v>
      </c>
      <c r="U366" s="47">
        <f t="shared" si="97"/>
        <v>331.6</v>
      </c>
      <c r="V366" s="47">
        <f t="shared" si="98"/>
        <v>331.6</v>
      </c>
      <c r="W366" s="98">
        <f t="shared" si="101"/>
        <v>331.6</v>
      </c>
      <c r="X366" s="98">
        <f t="shared" si="102"/>
        <v>0.6</v>
      </c>
      <c r="AB366" s="42" t="s">
        <v>187</v>
      </c>
      <c r="BG366"/>
      <c r="BH366"/>
      <c r="BI366"/>
      <c r="BJ366"/>
      <c r="BK366"/>
      <c r="BL366"/>
      <c r="BM366"/>
      <c r="BN366"/>
      <c r="BO366"/>
      <c r="BP366"/>
      <c r="BQ366"/>
      <c r="BR366"/>
      <c r="BS366"/>
    </row>
    <row r="367" spans="1:71" ht="16.5" x14ac:dyDescent="0.3">
      <c r="A367" s="38" t="s">
        <v>281</v>
      </c>
      <c r="B367" s="36">
        <v>365</v>
      </c>
      <c r="C367" s="71" t="str">
        <f t="shared" ca="1" si="91"/>
        <v>5년 이내</v>
      </c>
      <c r="D367" s="79">
        <v>44377</v>
      </c>
      <c r="E367" s="72">
        <f t="shared" si="92"/>
        <v>2</v>
      </c>
      <c r="F367" s="8" t="s">
        <v>1</v>
      </c>
      <c r="G367" s="59" t="s">
        <v>177</v>
      </c>
      <c r="H367" s="59" t="s">
        <v>541</v>
      </c>
      <c r="I367" s="80" t="s">
        <v>624</v>
      </c>
      <c r="J367" s="81" t="s">
        <v>4</v>
      </c>
      <c r="K367" s="75" t="s">
        <v>187</v>
      </c>
      <c r="L367" s="76">
        <v>0.6</v>
      </c>
      <c r="M367" s="58">
        <v>552.6</v>
      </c>
      <c r="N367" s="58">
        <v>331.6</v>
      </c>
      <c r="O367" s="47">
        <f t="shared" si="93"/>
        <v>0.6</v>
      </c>
      <c r="P367" s="47">
        <f t="shared" si="94"/>
        <v>0.6</v>
      </c>
      <c r="Q367" s="47">
        <f t="shared" si="95"/>
        <v>552.6</v>
      </c>
      <c r="R367" s="47">
        <f t="shared" si="96"/>
        <v>552.6</v>
      </c>
      <c r="S367" s="47">
        <f t="shared" si="99"/>
        <v>0.6</v>
      </c>
      <c r="T367" s="47">
        <f t="shared" si="100"/>
        <v>0.6</v>
      </c>
      <c r="U367" s="47">
        <f t="shared" si="97"/>
        <v>331.6</v>
      </c>
      <c r="V367" s="47">
        <f t="shared" si="98"/>
        <v>331.6</v>
      </c>
      <c r="W367" s="98">
        <f t="shared" si="101"/>
        <v>331.6</v>
      </c>
      <c r="X367" s="98">
        <f t="shared" si="102"/>
        <v>0.6</v>
      </c>
      <c r="AB367" s="42" t="s">
        <v>187</v>
      </c>
      <c r="BG367"/>
      <c r="BH367"/>
      <c r="BI367"/>
      <c r="BJ367"/>
      <c r="BK367"/>
      <c r="BL367"/>
      <c r="BM367"/>
      <c r="BN367"/>
      <c r="BO367"/>
      <c r="BP367"/>
      <c r="BQ367"/>
      <c r="BR367"/>
      <c r="BS367"/>
    </row>
    <row r="368" spans="1:71" ht="16.5" x14ac:dyDescent="0.3">
      <c r="A368" s="38" t="s">
        <v>281</v>
      </c>
      <c r="B368" s="36">
        <v>366</v>
      </c>
      <c r="C368" s="71" t="str">
        <f t="shared" ca="1" si="91"/>
        <v>5년 이내</v>
      </c>
      <c r="D368" s="79">
        <v>44377</v>
      </c>
      <c r="E368" s="72">
        <f t="shared" si="92"/>
        <v>2</v>
      </c>
      <c r="F368" s="8" t="s">
        <v>1</v>
      </c>
      <c r="G368" s="59" t="s">
        <v>568</v>
      </c>
      <c r="H368" s="59" t="s">
        <v>649</v>
      </c>
      <c r="I368" s="80" t="s">
        <v>650</v>
      </c>
      <c r="J368" s="81" t="s">
        <v>4</v>
      </c>
      <c r="K368" s="75" t="s">
        <v>187</v>
      </c>
      <c r="L368" s="76">
        <v>0.45</v>
      </c>
      <c r="M368" s="58">
        <v>729.6</v>
      </c>
      <c r="N368" s="58">
        <v>328.3</v>
      </c>
      <c r="O368" s="47">
        <f t="shared" si="93"/>
        <v>0.45</v>
      </c>
      <c r="P368" s="47">
        <f t="shared" si="94"/>
        <v>0.45</v>
      </c>
      <c r="Q368" s="47">
        <f t="shared" si="95"/>
        <v>729.6</v>
      </c>
      <c r="R368" s="47">
        <f t="shared" si="96"/>
        <v>729.6</v>
      </c>
      <c r="S368" s="47">
        <f t="shared" si="99"/>
        <v>0.45</v>
      </c>
      <c r="T368" s="47">
        <f t="shared" si="100"/>
        <v>0.45</v>
      </c>
      <c r="U368" s="47">
        <f t="shared" si="97"/>
        <v>328.3</v>
      </c>
      <c r="V368" s="47">
        <f t="shared" si="98"/>
        <v>328.3</v>
      </c>
      <c r="W368" s="98">
        <f t="shared" si="101"/>
        <v>328.3</v>
      </c>
      <c r="X368" s="98">
        <f t="shared" si="102"/>
        <v>0.45</v>
      </c>
      <c r="AB368" s="42" t="s">
        <v>187</v>
      </c>
      <c r="BG368"/>
      <c r="BH368"/>
      <c r="BI368"/>
      <c r="BJ368"/>
      <c r="BK368"/>
      <c r="BL368"/>
      <c r="BM368"/>
      <c r="BN368"/>
      <c r="BO368"/>
      <c r="BP368"/>
      <c r="BQ368"/>
      <c r="BR368"/>
      <c r="BS368"/>
    </row>
    <row r="369" spans="1:71" ht="16.5" x14ac:dyDescent="0.3">
      <c r="A369" s="38" t="s">
        <v>281</v>
      </c>
      <c r="B369" s="36">
        <v>367</v>
      </c>
      <c r="C369" s="71" t="str">
        <f t="shared" ca="1" si="91"/>
        <v>5년 이내</v>
      </c>
      <c r="D369" s="79">
        <v>44384</v>
      </c>
      <c r="E369" s="72">
        <f t="shared" si="92"/>
        <v>2</v>
      </c>
      <c r="F369" s="8" t="s">
        <v>1</v>
      </c>
      <c r="G369" s="59" t="s">
        <v>17</v>
      </c>
      <c r="H369" s="63" t="s">
        <v>137</v>
      </c>
      <c r="I369" s="80" t="s">
        <v>654</v>
      </c>
      <c r="J369" s="81" t="s">
        <v>4</v>
      </c>
      <c r="K369" s="75" t="s">
        <v>187</v>
      </c>
      <c r="L369" s="76">
        <v>0.7</v>
      </c>
      <c r="M369" s="58">
        <v>477.9</v>
      </c>
      <c r="N369" s="58">
        <v>251.6</v>
      </c>
      <c r="O369" s="47">
        <f t="shared" si="93"/>
        <v>0.7</v>
      </c>
      <c r="P369" s="47">
        <f t="shared" si="94"/>
        <v>0.7</v>
      </c>
      <c r="Q369" s="47">
        <f t="shared" si="95"/>
        <v>477.9</v>
      </c>
      <c r="R369" s="47">
        <f t="shared" si="96"/>
        <v>477.9</v>
      </c>
      <c r="S369" s="47">
        <f t="shared" si="99"/>
        <v>0.7</v>
      </c>
      <c r="T369" s="47">
        <f t="shared" si="100"/>
        <v>0.7</v>
      </c>
      <c r="U369" s="47">
        <f t="shared" si="97"/>
        <v>251.6</v>
      </c>
      <c r="V369" s="47">
        <f t="shared" si="98"/>
        <v>251.6</v>
      </c>
      <c r="W369" s="98">
        <f t="shared" si="101"/>
        <v>251.6</v>
      </c>
      <c r="X369" s="98">
        <f t="shared" si="102"/>
        <v>0.7</v>
      </c>
      <c r="AB369" s="42" t="s">
        <v>187</v>
      </c>
      <c r="BG369"/>
      <c r="BH369"/>
      <c r="BI369"/>
      <c r="BJ369"/>
      <c r="BK369"/>
      <c r="BL369"/>
      <c r="BM369"/>
      <c r="BN369"/>
      <c r="BO369"/>
      <c r="BP369"/>
      <c r="BQ369"/>
      <c r="BR369"/>
      <c r="BS369"/>
    </row>
    <row r="370" spans="1:71" ht="16.5" x14ac:dyDescent="0.3">
      <c r="A370" s="38" t="s">
        <v>281</v>
      </c>
      <c r="B370" s="36">
        <v>368</v>
      </c>
      <c r="C370" s="71" t="str">
        <f t="shared" ca="1" si="91"/>
        <v>5년 이내</v>
      </c>
      <c r="D370" s="79">
        <v>44403</v>
      </c>
      <c r="E370" s="72">
        <f t="shared" si="92"/>
        <v>2</v>
      </c>
      <c r="F370" s="8" t="s">
        <v>1</v>
      </c>
      <c r="G370" s="59" t="s">
        <v>253</v>
      </c>
      <c r="H370" s="59" t="s">
        <v>687</v>
      </c>
      <c r="I370" s="80" t="s">
        <v>688</v>
      </c>
      <c r="J370" s="81" t="s">
        <v>4</v>
      </c>
      <c r="K370" s="75" t="s">
        <v>187</v>
      </c>
      <c r="L370" s="76">
        <v>1</v>
      </c>
      <c r="M370" s="58">
        <v>1025.3</v>
      </c>
      <c r="N370" s="58">
        <v>1025.3</v>
      </c>
      <c r="O370" s="47">
        <f t="shared" si="93"/>
        <v>1</v>
      </c>
      <c r="P370" s="47">
        <f t="shared" si="94"/>
        <v>1</v>
      </c>
      <c r="Q370" s="47">
        <f t="shared" si="95"/>
        <v>1025.3</v>
      </c>
      <c r="R370" s="47">
        <f t="shared" si="96"/>
        <v>1025.3</v>
      </c>
      <c r="S370" s="47">
        <f t="shared" si="99"/>
        <v>1</v>
      </c>
      <c r="T370" s="47">
        <f t="shared" si="100"/>
        <v>1</v>
      </c>
      <c r="U370" s="47">
        <f t="shared" si="97"/>
        <v>1025.3</v>
      </c>
      <c r="V370" s="47">
        <f t="shared" si="98"/>
        <v>1025.3</v>
      </c>
      <c r="W370" s="98">
        <f t="shared" si="101"/>
        <v>1025.3</v>
      </c>
      <c r="X370" s="98">
        <f t="shared" si="102"/>
        <v>1</v>
      </c>
      <c r="AB370" s="42" t="s">
        <v>187</v>
      </c>
      <c r="BG370"/>
      <c r="BH370"/>
      <c r="BI370"/>
      <c r="BJ370"/>
      <c r="BK370"/>
      <c r="BL370"/>
      <c r="BM370"/>
      <c r="BN370"/>
      <c r="BO370"/>
      <c r="BP370"/>
      <c r="BQ370"/>
      <c r="BR370"/>
      <c r="BS370"/>
    </row>
    <row r="371" spans="1:71" ht="16.5" x14ac:dyDescent="0.3">
      <c r="A371" s="38" t="s">
        <v>281</v>
      </c>
      <c r="B371" s="36">
        <v>369</v>
      </c>
      <c r="C371" s="71" t="str">
        <f t="shared" ca="1" si="91"/>
        <v>5년 이내</v>
      </c>
      <c r="D371" s="79">
        <v>44433</v>
      </c>
      <c r="E371" s="72">
        <f t="shared" si="92"/>
        <v>1</v>
      </c>
      <c r="F371" s="8" t="s">
        <v>1</v>
      </c>
      <c r="G371" s="59" t="s">
        <v>68</v>
      </c>
      <c r="H371" s="59" t="s">
        <v>468</v>
      </c>
      <c r="I371" s="80" t="s">
        <v>733</v>
      </c>
      <c r="J371" s="81" t="s">
        <v>4</v>
      </c>
      <c r="K371" s="75" t="s">
        <v>187</v>
      </c>
      <c r="L371" s="76">
        <v>0.7</v>
      </c>
      <c r="M371" s="58">
        <v>253.5</v>
      </c>
      <c r="N371" s="58">
        <v>177.4</v>
      </c>
      <c r="O371" s="47">
        <f t="shared" si="93"/>
        <v>0.7</v>
      </c>
      <c r="P371" s="47">
        <f t="shared" si="94"/>
        <v>0.7</v>
      </c>
      <c r="Q371" s="47">
        <f t="shared" si="95"/>
        <v>253.5</v>
      </c>
      <c r="R371" s="47">
        <f t="shared" si="96"/>
        <v>253.5</v>
      </c>
      <c r="S371" s="47">
        <f t="shared" si="99"/>
        <v>0.7</v>
      </c>
      <c r="T371" s="47" t="str">
        <f t="shared" si="100"/>
        <v/>
      </c>
      <c r="U371" s="47">
        <f t="shared" si="97"/>
        <v>177.4</v>
      </c>
      <c r="V371" s="47" t="str">
        <f t="shared" si="98"/>
        <v/>
      </c>
      <c r="W371" s="98">
        <f t="shared" si="101"/>
        <v>177.4</v>
      </c>
      <c r="X371" s="98">
        <f t="shared" si="102"/>
        <v>0.7</v>
      </c>
      <c r="AB371" s="42" t="s">
        <v>187</v>
      </c>
      <c r="AE371" s="42" t="s">
        <v>24</v>
      </c>
      <c r="BG371"/>
      <c r="BH371"/>
      <c r="BI371"/>
      <c r="BJ371"/>
      <c r="BK371"/>
      <c r="BL371"/>
      <c r="BM371"/>
      <c r="BN371"/>
      <c r="BO371"/>
      <c r="BP371"/>
      <c r="BQ371"/>
      <c r="BR371"/>
      <c r="BS371"/>
    </row>
    <row r="372" spans="1:71" ht="16.5" x14ac:dyDescent="0.3">
      <c r="A372" s="38" t="s">
        <v>281</v>
      </c>
      <c r="B372" s="36">
        <v>370</v>
      </c>
      <c r="C372" s="71" t="str">
        <f t="shared" ca="1" si="91"/>
        <v>5년 이내</v>
      </c>
      <c r="D372" s="79">
        <v>44449</v>
      </c>
      <c r="E372" s="72">
        <f t="shared" si="92"/>
        <v>1</v>
      </c>
      <c r="F372" s="8" t="s">
        <v>1</v>
      </c>
      <c r="G372" s="59" t="s">
        <v>68</v>
      </c>
      <c r="H372" s="59" t="s">
        <v>681</v>
      </c>
      <c r="I372" s="80" t="s">
        <v>682</v>
      </c>
      <c r="J372" s="81" t="s">
        <v>4</v>
      </c>
      <c r="K372" s="75" t="s">
        <v>187</v>
      </c>
      <c r="L372" s="76">
        <v>0.6</v>
      </c>
      <c r="M372" s="58">
        <v>261.7</v>
      </c>
      <c r="N372" s="58">
        <v>157</v>
      </c>
      <c r="O372" s="47">
        <f t="shared" si="93"/>
        <v>0.6</v>
      </c>
      <c r="P372" s="47">
        <f t="shared" si="94"/>
        <v>0.6</v>
      </c>
      <c r="Q372" s="47">
        <f t="shared" si="95"/>
        <v>261.7</v>
      </c>
      <c r="R372" s="47">
        <f t="shared" si="96"/>
        <v>261.7</v>
      </c>
      <c r="S372" s="47">
        <f t="shared" si="99"/>
        <v>0.6</v>
      </c>
      <c r="T372" s="47" t="str">
        <f t="shared" si="100"/>
        <v/>
      </c>
      <c r="U372" s="47">
        <f t="shared" si="97"/>
        <v>157</v>
      </c>
      <c r="V372" s="47" t="str">
        <f t="shared" si="98"/>
        <v/>
      </c>
      <c r="W372" s="98">
        <f t="shared" si="101"/>
        <v>157</v>
      </c>
      <c r="X372" s="98">
        <f t="shared" si="102"/>
        <v>0.6</v>
      </c>
      <c r="AB372" s="42" t="s">
        <v>187</v>
      </c>
      <c r="BG372"/>
      <c r="BH372"/>
      <c r="BI372"/>
      <c r="BJ372"/>
      <c r="BK372"/>
      <c r="BL372"/>
      <c r="BM372"/>
      <c r="BN372"/>
      <c r="BO372"/>
      <c r="BP372"/>
      <c r="BQ372"/>
      <c r="BR372"/>
      <c r="BS372"/>
    </row>
    <row r="373" spans="1:71" ht="16.5" x14ac:dyDescent="0.3">
      <c r="A373" s="38" t="s">
        <v>281</v>
      </c>
      <c r="B373" s="36">
        <v>371</v>
      </c>
      <c r="C373" s="71" t="str">
        <f t="shared" ca="1" si="91"/>
        <v>5년 이내</v>
      </c>
      <c r="D373" s="79">
        <v>44449</v>
      </c>
      <c r="E373" s="72">
        <f t="shared" si="92"/>
        <v>1</v>
      </c>
      <c r="F373" s="8" t="s">
        <v>1</v>
      </c>
      <c r="G373" s="59" t="s">
        <v>17</v>
      </c>
      <c r="H373" s="59" t="s">
        <v>683</v>
      </c>
      <c r="I373" s="80" t="s">
        <v>682</v>
      </c>
      <c r="J373" s="81" t="s">
        <v>4</v>
      </c>
      <c r="K373" s="75" t="s">
        <v>187</v>
      </c>
      <c r="L373" s="76">
        <v>0.6</v>
      </c>
      <c r="M373" s="58">
        <v>261.7</v>
      </c>
      <c r="N373" s="58">
        <v>157</v>
      </c>
      <c r="O373" s="47">
        <f t="shared" si="93"/>
        <v>0.6</v>
      </c>
      <c r="P373" s="47">
        <f t="shared" si="94"/>
        <v>0.6</v>
      </c>
      <c r="Q373" s="47">
        <f t="shared" si="95"/>
        <v>261.7</v>
      </c>
      <c r="R373" s="47">
        <f t="shared" si="96"/>
        <v>261.7</v>
      </c>
      <c r="S373" s="47">
        <f t="shared" si="99"/>
        <v>0.6</v>
      </c>
      <c r="T373" s="47" t="str">
        <f t="shared" si="100"/>
        <v/>
      </c>
      <c r="U373" s="47">
        <f t="shared" si="97"/>
        <v>157</v>
      </c>
      <c r="V373" s="47" t="str">
        <f t="shared" si="98"/>
        <v/>
      </c>
      <c r="W373" s="98">
        <f t="shared" si="101"/>
        <v>157</v>
      </c>
      <c r="X373" s="98">
        <f t="shared" si="102"/>
        <v>0.6</v>
      </c>
      <c r="AB373" s="42" t="s">
        <v>187</v>
      </c>
      <c r="BG373"/>
      <c r="BH373"/>
      <c r="BI373"/>
      <c r="BJ373"/>
      <c r="BK373"/>
      <c r="BL373"/>
      <c r="BM373"/>
      <c r="BN373"/>
      <c r="BO373"/>
      <c r="BP373"/>
      <c r="BQ373"/>
      <c r="BR373"/>
      <c r="BS373"/>
    </row>
    <row r="374" spans="1:71" ht="16.5" x14ac:dyDescent="0.3">
      <c r="A374" s="38" t="s">
        <v>281</v>
      </c>
      <c r="B374" s="36">
        <v>372</v>
      </c>
      <c r="C374" s="71" t="str">
        <f t="shared" ca="1" si="91"/>
        <v>5년 이내</v>
      </c>
      <c r="D374" s="79">
        <v>44454</v>
      </c>
      <c r="E374" s="72">
        <f t="shared" si="92"/>
        <v>2</v>
      </c>
      <c r="F374" s="8" t="s">
        <v>1</v>
      </c>
      <c r="G374" s="59" t="s">
        <v>562</v>
      </c>
      <c r="H374" s="59" t="s">
        <v>590</v>
      </c>
      <c r="I374" s="80" t="s">
        <v>748</v>
      </c>
      <c r="J374" s="81" t="s">
        <v>4</v>
      </c>
      <c r="K374" s="75" t="s">
        <v>187</v>
      </c>
      <c r="L374" s="76">
        <v>0.72</v>
      </c>
      <c r="M374" s="58">
        <v>412.9</v>
      </c>
      <c r="N374" s="58">
        <v>217.3</v>
      </c>
      <c r="O374" s="47">
        <f t="shared" si="93"/>
        <v>0.72</v>
      </c>
      <c r="P374" s="47">
        <f t="shared" si="94"/>
        <v>0.72</v>
      </c>
      <c r="Q374" s="47">
        <f t="shared" si="95"/>
        <v>412.9</v>
      </c>
      <c r="R374" s="47">
        <f t="shared" si="96"/>
        <v>412.9</v>
      </c>
      <c r="S374" s="47">
        <f t="shared" si="99"/>
        <v>0.72</v>
      </c>
      <c r="T374" s="47">
        <f t="shared" si="100"/>
        <v>0.72</v>
      </c>
      <c r="U374" s="47">
        <f t="shared" si="97"/>
        <v>217.3</v>
      </c>
      <c r="V374" s="47">
        <f t="shared" si="98"/>
        <v>217.3</v>
      </c>
      <c r="W374" s="98">
        <f t="shared" si="101"/>
        <v>217.3</v>
      </c>
      <c r="X374" s="98">
        <f t="shared" si="102"/>
        <v>0.72</v>
      </c>
      <c r="AB374" s="42" t="s">
        <v>187</v>
      </c>
      <c r="BG374"/>
      <c r="BH374"/>
      <c r="BI374"/>
      <c r="BJ374"/>
      <c r="BK374"/>
      <c r="BL374"/>
      <c r="BM374"/>
      <c r="BN374"/>
      <c r="BO374"/>
      <c r="BP374"/>
      <c r="BQ374"/>
      <c r="BR374"/>
      <c r="BS374"/>
    </row>
    <row r="375" spans="1:71" ht="16.5" x14ac:dyDescent="0.3">
      <c r="A375" s="38" t="s">
        <v>281</v>
      </c>
      <c r="B375" s="36">
        <v>373</v>
      </c>
      <c r="C375" s="71" t="str">
        <f t="shared" ca="1" si="91"/>
        <v>5년 이내</v>
      </c>
      <c r="D375" s="79">
        <v>44461</v>
      </c>
      <c r="E375" s="72">
        <f t="shared" si="92"/>
        <v>2</v>
      </c>
      <c r="F375" s="8" t="s">
        <v>1</v>
      </c>
      <c r="G375" s="59" t="s">
        <v>208</v>
      </c>
      <c r="H375" s="59" t="s">
        <v>668</v>
      </c>
      <c r="I375" s="80" t="s">
        <v>669</v>
      </c>
      <c r="J375" s="81" t="s">
        <v>4</v>
      </c>
      <c r="K375" s="75" t="s">
        <v>187</v>
      </c>
      <c r="L375" s="76">
        <v>0.7</v>
      </c>
      <c r="M375" s="58">
        <v>814</v>
      </c>
      <c r="N375" s="58">
        <v>569.79999999999995</v>
      </c>
      <c r="O375" s="47">
        <f t="shared" si="93"/>
        <v>0.7</v>
      </c>
      <c r="P375" s="47">
        <f t="shared" si="94"/>
        <v>0.7</v>
      </c>
      <c r="Q375" s="47">
        <f t="shared" si="95"/>
        <v>814</v>
      </c>
      <c r="R375" s="47">
        <f t="shared" si="96"/>
        <v>814</v>
      </c>
      <c r="S375" s="47">
        <f t="shared" si="99"/>
        <v>0.7</v>
      </c>
      <c r="T375" s="47">
        <f t="shared" si="100"/>
        <v>0.7</v>
      </c>
      <c r="U375" s="47">
        <f t="shared" si="97"/>
        <v>569.79999999999995</v>
      </c>
      <c r="V375" s="47">
        <f t="shared" si="98"/>
        <v>569.79999999999995</v>
      </c>
      <c r="W375" s="98">
        <f t="shared" si="101"/>
        <v>569.79999999999995</v>
      </c>
      <c r="X375" s="98">
        <f t="shared" si="102"/>
        <v>0.7</v>
      </c>
      <c r="AB375" s="42" t="s">
        <v>187</v>
      </c>
      <c r="BG375"/>
      <c r="BH375"/>
      <c r="BI375"/>
      <c r="BJ375"/>
      <c r="BK375"/>
      <c r="BL375"/>
      <c r="BM375"/>
      <c r="BN375"/>
      <c r="BO375"/>
      <c r="BP375"/>
      <c r="BQ375"/>
      <c r="BR375"/>
      <c r="BS375"/>
    </row>
    <row r="376" spans="1:71" ht="16.5" x14ac:dyDescent="0.3">
      <c r="A376" s="38" t="s">
        <v>281</v>
      </c>
      <c r="B376" s="36">
        <v>374</v>
      </c>
      <c r="C376" s="71" t="str">
        <f t="shared" ca="1" si="91"/>
        <v>5년 이내</v>
      </c>
      <c r="D376" s="79">
        <v>44468</v>
      </c>
      <c r="E376" s="72">
        <f t="shared" si="92"/>
        <v>2</v>
      </c>
      <c r="F376" s="8" t="s">
        <v>1</v>
      </c>
      <c r="G376" s="59" t="s">
        <v>68</v>
      </c>
      <c r="H376" s="59" t="s">
        <v>475</v>
      </c>
      <c r="I376" s="80" t="s">
        <v>612</v>
      </c>
      <c r="J376" s="81" t="s">
        <v>4</v>
      </c>
      <c r="K376" s="75" t="s">
        <v>187</v>
      </c>
      <c r="L376" s="76">
        <v>0.85</v>
      </c>
      <c r="M376" s="58">
        <v>1949.9</v>
      </c>
      <c r="N376" s="58">
        <v>1657.4</v>
      </c>
      <c r="O376" s="47">
        <f t="shared" si="93"/>
        <v>0.85</v>
      </c>
      <c r="P376" s="47">
        <f t="shared" si="94"/>
        <v>0.85</v>
      </c>
      <c r="Q376" s="47">
        <f t="shared" si="95"/>
        <v>1949.9</v>
      </c>
      <c r="R376" s="47">
        <f t="shared" si="96"/>
        <v>1949.9</v>
      </c>
      <c r="S376" s="47">
        <f t="shared" si="99"/>
        <v>0.85</v>
      </c>
      <c r="T376" s="47">
        <f t="shared" si="100"/>
        <v>0.85</v>
      </c>
      <c r="U376" s="47">
        <f t="shared" si="97"/>
        <v>1657.4</v>
      </c>
      <c r="V376" s="47">
        <f t="shared" si="98"/>
        <v>1657.4</v>
      </c>
      <c r="W376" s="98">
        <f t="shared" si="101"/>
        <v>1657.4</v>
      </c>
      <c r="X376" s="98">
        <f t="shared" si="102"/>
        <v>0.85</v>
      </c>
      <c r="AB376" s="42" t="s">
        <v>187</v>
      </c>
      <c r="BG376"/>
      <c r="BH376"/>
      <c r="BI376"/>
      <c r="BJ376"/>
      <c r="BK376"/>
      <c r="BL376"/>
      <c r="BM376"/>
      <c r="BN376"/>
      <c r="BO376"/>
      <c r="BP376"/>
      <c r="BQ376"/>
      <c r="BR376"/>
      <c r="BS376"/>
    </row>
    <row r="377" spans="1:71" ht="16.5" x14ac:dyDescent="0.3">
      <c r="A377" s="38" t="s">
        <v>281</v>
      </c>
      <c r="B377" s="36">
        <v>375</v>
      </c>
      <c r="C377" s="71" t="str">
        <f t="shared" ca="1" si="91"/>
        <v>5년 이내</v>
      </c>
      <c r="D377" s="79">
        <v>44468</v>
      </c>
      <c r="E377" s="72">
        <f t="shared" si="92"/>
        <v>2</v>
      </c>
      <c r="F377" s="8" t="s">
        <v>1</v>
      </c>
      <c r="G377" s="59" t="s">
        <v>68</v>
      </c>
      <c r="H377" s="59" t="s">
        <v>468</v>
      </c>
      <c r="I377" s="80" t="s">
        <v>613</v>
      </c>
      <c r="J377" s="81" t="s">
        <v>4</v>
      </c>
      <c r="K377" s="75" t="s">
        <v>187</v>
      </c>
      <c r="L377" s="76">
        <v>0.85</v>
      </c>
      <c r="M377" s="58">
        <v>1949.9</v>
      </c>
      <c r="N377" s="58">
        <v>1657.4</v>
      </c>
      <c r="O377" s="47">
        <f t="shared" si="93"/>
        <v>0.85</v>
      </c>
      <c r="P377" s="47">
        <f t="shared" si="94"/>
        <v>0.85</v>
      </c>
      <c r="Q377" s="47">
        <f t="shared" si="95"/>
        <v>1949.9</v>
      </c>
      <c r="R377" s="47">
        <f t="shared" si="96"/>
        <v>1949.9</v>
      </c>
      <c r="S377" s="47">
        <f t="shared" si="99"/>
        <v>0.85</v>
      </c>
      <c r="T377" s="47">
        <f t="shared" si="100"/>
        <v>0.85</v>
      </c>
      <c r="U377" s="47">
        <f t="shared" si="97"/>
        <v>1657.4</v>
      </c>
      <c r="V377" s="47">
        <f t="shared" si="98"/>
        <v>1657.4</v>
      </c>
      <c r="W377" s="98">
        <f t="shared" si="101"/>
        <v>1657.4</v>
      </c>
      <c r="X377" s="98">
        <f t="shared" si="102"/>
        <v>0.85</v>
      </c>
      <c r="AB377" s="42" t="s">
        <v>187</v>
      </c>
      <c r="BG377"/>
      <c r="BH377"/>
      <c r="BI377"/>
      <c r="BJ377"/>
      <c r="BK377"/>
      <c r="BL377"/>
      <c r="BM377"/>
      <c r="BN377"/>
      <c r="BO377"/>
      <c r="BP377"/>
      <c r="BQ377"/>
      <c r="BR377"/>
      <c r="BS377"/>
    </row>
    <row r="378" spans="1:71" ht="16.5" x14ac:dyDescent="0.3">
      <c r="A378" s="38" t="s">
        <v>281</v>
      </c>
      <c r="B378" s="36">
        <v>376</v>
      </c>
      <c r="C378" s="71" t="str">
        <f t="shared" ca="1" si="91"/>
        <v>5년 이내</v>
      </c>
      <c r="D378" s="79">
        <v>44473</v>
      </c>
      <c r="E378" s="72">
        <f t="shared" si="92"/>
        <v>2</v>
      </c>
      <c r="F378" s="8" t="s">
        <v>1</v>
      </c>
      <c r="G378" s="59" t="s">
        <v>253</v>
      </c>
      <c r="H378" s="59" t="s">
        <v>498</v>
      </c>
      <c r="I378" s="80" t="s">
        <v>693</v>
      </c>
      <c r="J378" s="81" t="s">
        <v>4</v>
      </c>
      <c r="K378" s="75" t="s">
        <v>187</v>
      </c>
      <c r="L378" s="76">
        <v>1</v>
      </c>
      <c r="M378" s="58">
        <v>1139.3</v>
      </c>
      <c r="N378" s="58">
        <v>1139.3</v>
      </c>
      <c r="O378" s="47">
        <f t="shared" si="93"/>
        <v>1</v>
      </c>
      <c r="P378" s="47">
        <f t="shared" si="94"/>
        <v>1</v>
      </c>
      <c r="Q378" s="47">
        <f t="shared" si="95"/>
        <v>1139.3</v>
      </c>
      <c r="R378" s="47">
        <f t="shared" si="96"/>
        <v>1139.3</v>
      </c>
      <c r="S378" s="47">
        <f t="shared" si="99"/>
        <v>1</v>
      </c>
      <c r="T378" s="47">
        <f t="shared" si="100"/>
        <v>1</v>
      </c>
      <c r="U378" s="47">
        <f t="shared" si="97"/>
        <v>1139.3</v>
      </c>
      <c r="V378" s="47">
        <f t="shared" si="98"/>
        <v>1139.3</v>
      </c>
      <c r="W378" s="98">
        <f t="shared" si="101"/>
        <v>1139.3</v>
      </c>
      <c r="X378" s="98">
        <f t="shared" si="102"/>
        <v>1</v>
      </c>
      <c r="AB378" s="42" t="s">
        <v>187</v>
      </c>
      <c r="BG378"/>
      <c r="BH378"/>
      <c r="BI378"/>
      <c r="BJ378"/>
      <c r="BK378"/>
      <c r="BL378"/>
      <c r="BM378"/>
      <c r="BN378"/>
      <c r="BO378"/>
      <c r="BP378"/>
      <c r="BQ378"/>
      <c r="BR378"/>
      <c r="BS378"/>
    </row>
    <row r="379" spans="1:71" ht="16.5" x14ac:dyDescent="0.3">
      <c r="A379" s="38" t="s">
        <v>281</v>
      </c>
      <c r="B379" s="36">
        <v>377</v>
      </c>
      <c r="C379" s="71" t="str">
        <f t="shared" ca="1" si="91"/>
        <v>5년 이내</v>
      </c>
      <c r="D379" s="79">
        <v>44473</v>
      </c>
      <c r="E379" s="72">
        <f t="shared" si="92"/>
        <v>2</v>
      </c>
      <c r="F379" s="8" t="s">
        <v>1</v>
      </c>
      <c r="G379" s="59" t="s">
        <v>253</v>
      </c>
      <c r="H379" s="59" t="s">
        <v>502</v>
      </c>
      <c r="I379" s="80" t="s">
        <v>693</v>
      </c>
      <c r="J379" s="81" t="s">
        <v>4</v>
      </c>
      <c r="K379" s="75" t="s">
        <v>187</v>
      </c>
      <c r="L379" s="76">
        <v>1</v>
      </c>
      <c r="M379" s="58">
        <v>1139.3</v>
      </c>
      <c r="N379" s="58">
        <v>1139.3</v>
      </c>
      <c r="O379" s="47">
        <f t="shared" si="93"/>
        <v>1</v>
      </c>
      <c r="P379" s="47">
        <f t="shared" si="94"/>
        <v>1</v>
      </c>
      <c r="Q379" s="47">
        <f t="shared" si="95"/>
        <v>1139.3</v>
      </c>
      <c r="R379" s="47">
        <f t="shared" si="96"/>
        <v>1139.3</v>
      </c>
      <c r="S379" s="47">
        <f t="shared" si="99"/>
        <v>1</v>
      </c>
      <c r="T379" s="47">
        <f t="shared" si="100"/>
        <v>1</v>
      </c>
      <c r="U379" s="47">
        <f t="shared" si="97"/>
        <v>1139.3</v>
      </c>
      <c r="V379" s="47">
        <f t="shared" si="98"/>
        <v>1139.3</v>
      </c>
      <c r="W379" s="98">
        <f t="shared" si="101"/>
        <v>1139.3</v>
      </c>
      <c r="X379" s="98">
        <f t="shared" si="102"/>
        <v>1</v>
      </c>
      <c r="AB379" s="42" t="s">
        <v>187</v>
      </c>
      <c r="BG379"/>
      <c r="BH379"/>
      <c r="BI379"/>
      <c r="BJ379"/>
      <c r="BK379"/>
      <c r="BL379"/>
      <c r="BM379"/>
      <c r="BN379"/>
      <c r="BO379"/>
      <c r="BP379"/>
      <c r="BQ379"/>
      <c r="BR379"/>
      <c r="BS379"/>
    </row>
    <row r="380" spans="1:71" ht="16.5" x14ac:dyDescent="0.3">
      <c r="A380" s="38" t="s">
        <v>281</v>
      </c>
      <c r="B380" s="36">
        <v>378</v>
      </c>
      <c r="C380" s="71" t="str">
        <f t="shared" ca="1" si="91"/>
        <v>5년 이내</v>
      </c>
      <c r="D380" s="79">
        <v>44473</v>
      </c>
      <c r="E380" s="72">
        <f t="shared" si="92"/>
        <v>2</v>
      </c>
      <c r="F380" s="8" t="s">
        <v>1</v>
      </c>
      <c r="G380" s="59" t="s">
        <v>253</v>
      </c>
      <c r="H380" s="59" t="s">
        <v>694</v>
      </c>
      <c r="I380" s="80" t="s">
        <v>693</v>
      </c>
      <c r="J380" s="81" t="s">
        <v>4</v>
      </c>
      <c r="K380" s="75" t="s">
        <v>187</v>
      </c>
      <c r="L380" s="76">
        <v>1</v>
      </c>
      <c r="M380" s="58">
        <v>1139.3</v>
      </c>
      <c r="N380" s="58">
        <v>1139.3</v>
      </c>
      <c r="O380" s="47">
        <f t="shared" si="93"/>
        <v>1</v>
      </c>
      <c r="P380" s="47">
        <f t="shared" si="94"/>
        <v>1</v>
      </c>
      <c r="Q380" s="47">
        <f t="shared" si="95"/>
        <v>1139.3</v>
      </c>
      <c r="R380" s="47">
        <f t="shared" si="96"/>
        <v>1139.3</v>
      </c>
      <c r="S380" s="47">
        <f t="shared" si="99"/>
        <v>1</v>
      </c>
      <c r="T380" s="47">
        <f t="shared" si="100"/>
        <v>1</v>
      </c>
      <c r="U380" s="47">
        <f t="shared" si="97"/>
        <v>1139.3</v>
      </c>
      <c r="V380" s="47">
        <f t="shared" si="98"/>
        <v>1139.3</v>
      </c>
      <c r="W380" s="98">
        <f t="shared" si="101"/>
        <v>1139.3</v>
      </c>
      <c r="X380" s="98">
        <f t="shared" si="102"/>
        <v>1</v>
      </c>
      <c r="AB380" s="42" t="s">
        <v>187</v>
      </c>
      <c r="BG380"/>
      <c r="BH380"/>
      <c r="BI380"/>
      <c r="BJ380"/>
      <c r="BK380"/>
      <c r="BL380"/>
      <c r="BM380"/>
      <c r="BN380"/>
      <c r="BO380"/>
      <c r="BP380"/>
      <c r="BQ380"/>
      <c r="BR380"/>
      <c r="BS380"/>
    </row>
    <row r="381" spans="1:71" ht="16.5" x14ac:dyDescent="0.3">
      <c r="A381" s="38" t="s">
        <v>281</v>
      </c>
      <c r="B381" s="36">
        <v>379</v>
      </c>
      <c r="C381" s="71" t="str">
        <f t="shared" ca="1" si="91"/>
        <v>5년 이내</v>
      </c>
      <c r="D381" s="79">
        <v>44488</v>
      </c>
      <c r="E381" s="72">
        <f t="shared" si="92"/>
        <v>2</v>
      </c>
      <c r="F381" s="8" t="s">
        <v>1</v>
      </c>
      <c r="G381" s="59" t="s">
        <v>68</v>
      </c>
      <c r="H381" s="59" t="s">
        <v>526</v>
      </c>
      <c r="I381" s="80" t="s">
        <v>659</v>
      </c>
      <c r="J381" s="81" t="s">
        <v>4</v>
      </c>
      <c r="K381" s="75" t="s">
        <v>187</v>
      </c>
      <c r="L381" s="76">
        <v>1</v>
      </c>
      <c r="M381" s="58">
        <v>1113.9000000000001</v>
      </c>
      <c r="N381" s="58">
        <v>1113.9000000000001</v>
      </c>
      <c r="O381" s="47">
        <f t="shared" si="93"/>
        <v>1</v>
      </c>
      <c r="P381" s="47">
        <f t="shared" si="94"/>
        <v>1</v>
      </c>
      <c r="Q381" s="47">
        <f t="shared" si="95"/>
        <v>1113.9000000000001</v>
      </c>
      <c r="R381" s="47">
        <f t="shared" si="96"/>
        <v>1113.9000000000001</v>
      </c>
      <c r="S381" s="47">
        <f t="shared" si="99"/>
        <v>1</v>
      </c>
      <c r="T381" s="47">
        <f t="shared" si="100"/>
        <v>1</v>
      </c>
      <c r="U381" s="47">
        <f t="shared" si="97"/>
        <v>1113.9000000000001</v>
      </c>
      <c r="V381" s="47">
        <f t="shared" si="98"/>
        <v>1113.9000000000001</v>
      </c>
      <c r="W381" s="98">
        <f t="shared" si="101"/>
        <v>1113.9000000000001</v>
      </c>
      <c r="X381" s="98">
        <f t="shared" si="102"/>
        <v>1</v>
      </c>
      <c r="AB381" s="42" t="s">
        <v>187</v>
      </c>
      <c r="BG381"/>
      <c r="BH381"/>
      <c r="BI381"/>
      <c r="BJ381"/>
      <c r="BK381"/>
      <c r="BL381"/>
      <c r="BM381"/>
      <c r="BN381"/>
      <c r="BO381"/>
      <c r="BP381"/>
      <c r="BQ381"/>
      <c r="BR381"/>
      <c r="BS381"/>
    </row>
    <row r="382" spans="1:71" ht="16.5" x14ac:dyDescent="0.3">
      <c r="A382" s="38" t="s">
        <v>281</v>
      </c>
      <c r="B382" s="36">
        <v>380</v>
      </c>
      <c r="C382" s="71" t="str">
        <f t="shared" ca="1" si="91"/>
        <v>5년 이내</v>
      </c>
      <c r="D382" s="79">
        <v>44489</v>
      </c>
      <c r="E382" s="72">
        <f t="shared" si="92"/>
        <v>2</v>
      </c>
      <c r="F382" s="8" t="s">
        <v>1</v>
      </c>
      <c r="G382" s="59" t="s">
        <v>253</v>
      </c>
      <c r="H382" s="59" t="s">
        <v>537</v>
      </c>
      <c r="I382" s="80" t="s">
        <v>659</v>
      </c>
      <c r="J382" s="81" t="s">
        <v>4</v>
      </c>
      <c r="K382" s="75" t="s">
        <v>187</v>
      </c>
      <c r="L382" s="76">
        <v>2</v>
      </c>
      <c r="M382" s="58">
        <v>1113.9000000000001</v>
      </c>
      <c r="N382" s="58">
        <v>1113.9000000000001</v>
      </c>
      <c r="O382" s="47">
        <f t="shared" si="93"/>
        <v>2</v>
      </c>
      <c r="P382" s="47">
        <f t="shared" si="94"/>
        <v>2</v>
      </c>
      <c r="Q382" s="47">
        <f t="shared" si="95"/>
        <v>1113.9000000000001</v>
      </c>
      <c r="R382" s="47">
        <f t="shared" si="96"/>
        <v>1113.9000000000001</v>
      </c>
      <c r="S382" s="47">
        <f t="shared" si="99"/>
        <v>2</v>
      </c>
      <c r="T382" s="47">
        <f t="shared" si="100"/>
        <v>2</v>
      </c>
      <c r="U382" s="47">
        <f t="shared" si="97"/>
        <v>1113.9000000000001</v>
      </c>
      <c r="V382" s="47">
        <f t="shared" si="98"/>
        <v>1113.9000000000001</v>
      </c>
      <c r="W382" s="98">
        <f t="shared" si="101"/>
        <v>1113.9000000000001</v>
      </c>
      <c r="X382" s="98">
        <f t="shared" si="102"/>
        <v>2</v>
      </c>
      <c r="AB382" s="42" t="s">
        <v>187</v>
      </c>
      <c r="BG382"/>
      <c r="BH382"/>
      <c r="BI382"/>
      <c r="BJ382"/>
      <c r="BK382"/>
      <c r="BL382"/>
      <c r="BM382"/>
      <c r="BN382"/>
      <c r="BO382"/>
      <c r="BP382"/>
      <c r="BQ382"/>
      <c r="BR382"/>
      <c r="BS382"/>
    </row>
    <row r="383" spans="1:71" ht="16.5" x14ac:dyDescent="0.3">
      <c r="A383" s="38" t="s">
        <v>281</v>
      </c>
      <c r="B383" s="36">
        <v>381</v>
      </c>
      <c r="C383" s="71" t="str">
        <f t="shared" ref="C383:C446" ca="1" si="103">IF(TODAY()-10*365&gt;D383,"10년 초과",IF(TODAY()-5*365&gt;D383,"10년~5년 사이","5년 이내"))</f>
        <v>5년 이내</v>
      </c>
      <c r="D383" s="79">
        <v>44490</v>
      </c>
      <c r="E383" s="72">
        <f t="shared" ref="E383:E446" si="104">IF((N383&gt;200),2,IF(N383&gt;100,1,IF((N383&lt;99.9),"")))</f>
        <v>2</v>
      </c>
      <c r="F383" s="8" t="s">
        <v>1</v>
      </c>
      <c r="G383" s="59" t="s">
        <v>253</v>
      </c>
      <c r="H383" s="59" t="s">
        <v>502</v>
      </c>
      <c r="I383" s="80" t="s">
        <v>659</v>
      </c>
      <c r="J383" s="81" t="s">
        <v>4</v>
      </c>
      <c r="K383" s="75" t="s">
        <v>187</v>
      </c>
      <c r="L383" s="76">
        <v>3</v>
      </c>
      <c r="M383" s="58">
        <v>1113.9000000000001</v>
      </c>
      <c r="N383" s="58">
        <v>1113.9000000000001</v>
      </c>
      <c r="O383" s="47">
        <f t="shared" si="93"/>
        <v>3</v>
      </c>
      <c r="P383" s="47">
        <f t="shared" si="94"/>
        <v>3</v>
      </c>
      <c r="Q383" s="47">
        <f t="shared" si="95"/>
        <v>1113.9000000000001</v>
      </c>
      <c r="R383" s="47">
        <f t="shared" si="96"/>
        <v>1113.9000000000001</v>
      </c>
      <c r="S383" s="47">
        <f t="shared" si="99"/>
        <v>3</v>
      </c>
      <c r="T383" s="47">
        <f t="shared" si="100"/>
        <v>3</v>
      </c>
      <c r="U383" s="47">
        <f t="shared" si="97"/>
        <v>1113.9000000000001</v>
      </c>
      <c r="V383" s="47">
        <f t="shared" si="98"/>
        <v>1113.9000000000001</v>
      </c>
      <c r="W383" s="98">
        <f t="shared" si="101"/>
        <v>1113.9000000000001</v>
      </c>
      <c r="X383" s="98">
        <f t="shared" si="102"/>
        <v>3</v>
      </c>
      <c r="AB383" s="42" t="s">
        <v>187</v>
      </c>
      <c r="BG383"/>
      <c r="BH383"/>
      <c r="BI383"/>
      <c r="BJ383"/>
      <c r="BK383"/>
      <c r="BL383"/>
      <c r="BM383"/>
      <c r="BN383"/>
      <c r="BO383"/>
      <c r="BP383"/>
      <c r="BQ383"/>
      <c r="BR383"/>
      <c r="BS383"/>
    </row>
    <row r="384" spans="1:71" ht="16.5" x14ac:dyDescent="0.3">
      <c r="A384" s="38" t="s">
        <v>281</v>
      </c>
      <c r="B384" s="36">
        <v>382</v>
      </c>
      <c r="C384" s="71" t="str">
        <f t="shared" ca="1" si="103"/>
        <v>5년 이내</v>
      </c>
      <c r="D384" s="79">
        <v>44512</v>
      </c>
      <c r="E384" s="72">
        <f t="shared" si="104"/>
        <v>2</v>
      </c>
      <c r="F384" s="8" t="s">
        <v>1</v>
      </c>
      <c r="G384" s="59" t="s">
        <v>17</v>
      </c>
      <c r="H384" s="59" t="s">
        <v>82</v>
      </c>
      <c r="I384" s="80" t="s">
        <v>674</v>
      </c>
      <c r="J384" s="81" t="s">
        <v>4</v>
      </c>
      <c r="K384" s="75" t="s">
        <v>187</v>
      </c>
      <c r="L384" s="76">
        <v>0.7</v>
      </c>
      <c r="M384" s="58">
        <v>615.9</v>
      </c>
      <c r="N384" s="58">
        <v>431.1</v>
      </c>
      <c r="O384" s="47">
        <f t="shared" si="93"/>
        <v>0.7</v>
      </c>
      <c r="P384" s="47">
        <f t="shared" si="94"/>
        <v>0.7</v>
      </c>
      <c r="Q384" s="47">
        <f t="shared" si="95"/>
        <v>615.9</v>
      </c>
      <c r="R384" s="47">
        <f t="shared" si="96"/>
        <v>615.9</v>
      </c>
      <c r="S384" s="47">
        <f t="shared" si="99"/>
        <v>0.7</v>
      </c>
      <c r="T384" s="47">
        <f t="shared" si="100"/>
        <v>0.7</v>
      </c>
      <c r="U384" s="47">
        <f t="shared" si="97"/>
        <v>431.1</v>
      </c>
      <c r="V384" s="47">
        <f t="shared" si="98"/>
        <v>431.1</v>
      </c>
      <c r="W384" s="98">
        <f t="shared" si="101"/>
        <v>431.1</v>
      </c>
      <c r="X384" s="98">
        <f t="shared" si="102"/>
        <v>0.7</v>
      </c>
      <c r="AB384" s="42" t="s">
        <v>187</v>
      </c>
      <c r="BG384"/>
      <c r="BH384"/>
      <c r="BI384"/>
      <c r="BJ384"/>
      <c r="BK384"/>
      <c r="BL384"/>
      <c r="BM384"/>
      <c r="BN384"/>
      <c r="BO384"/>
      <c r="BP384"/>
      <c r="BQ384"/>
      <c r="BR384"/>
      <c r="BS384"/>
    </row>
    <row r="385" spans="1:71" ht="16.5" x14ac:dyDescent="0.3">
      <c r="A385" s="38" t="s">
        <v>281</v>
      </c>
      <c r="B385" s="36">
        <v>383</v>
      </c>
      <c r="C385" s="71" t="str">
        <f t="shared" ca="1" si="103"/>
        <v>5년 이내</v>
      </c>
      <c r="D385" s="79">
        <v>44512</v>
      </c>
      <c r="E385" s="72">
        <f t="shared" si="104"/>
        <v>2</v>
      </c>
      <c r="F385" s="8" t="s">
        <v>1</v>
      </c>
      <c r="G385" s="59" t="s">
        <v>208</v>
      </c>
      <c r="H385" s="59" t="s">
        <v>209</v>
      </c>
      <c r="I385" s="80" t="s">
        <v>675</v>
      </c>
      <c r="J385" s="81" t="s">
        <v>4</v>
      </c>
      <c r="K385" s="75" t="s">
        <v>187</v>
      </c>
      <c r="L385" s="76">
        <v>0.7</v>
      </c>
      <c r="M385" s="58">
        <v>615.9</v>
      </c>
      <c r="N385" s="58">
        <v>431.1</v>
      </c>
      <c r="O385" s="47">
        <f t="shared" si="93"/>
        <v>0.7</v>
      </c>
      <c r="P385" s="47">
        <f t="shared" si="94"/>
        <v>0.7</v>
      </c>
      <c r="Q385" s="47">
        <f t="shared" si="95"/>
        <v>615.9</v>
      </c>
      <c r="R385" s="47">
        <f t="shared" si="96"/>
        <v>615.9</v>
      </c>
      <c r="S385" s="47">
        <f t="shared" si="99"/>
        <v>0.7</v>
      </c>
      <c r="T385" s="47">
        <f t="shared" si="100"/>
        <v>0.7</v>
      </c>
      <c r="U385" s="47">
        <f t="shared" si="97"/>
        <v>431.1</v>
      </c>
      <c r="V385" s="47">
        <f t="shared" si="98"/>
        <v>431.1</v>
      </c>
      <c r="W385" s="98">
        <f t="shared" si="101"/>
        <v>431.1</v>
      </c>
      <c r="X385" s="98">
        <f t="shared" si="102"/>
        <v>0.7</v>
      </c>
      <c r="AB385" s="42" t="s">
        <v>187</v>
      </c>
      <c r="BG385"/>
      <c r="BH385"/>
      <c r="BI385"/>
      <c r="BJ385"/>
      <c r="BK385"/>
      <c r="BL385"/>
      <c r="BM385"/>
      <c r="BN385"/>
      <c r="BO385"/>
      <c r="BP385"/>
      <c r="BQ385"/>
      <c r="BR385"/>
      <c r="BS385"/>
    </row>
    <row r="386" spans="1:71" ht="16.5" x14ac:dyDescent="0.3">
      <c r="A386" s="38" t="s">
        <v>281</v>
      </c>
      <c r="B386" s="36">
        <v>384</v>
      </c>
      <c r="C386" s="71" t="str">
        <f t="shared" ca="1" si="103"/>
        <v>5년 이내</v>
      </c>
      <c r="D386" s="79">
        <v>44522</v>
      </c>
      <c r="E386" s="72">
        <f t="shared" si="104"/>
        <v>2</v>
      </c>
      <c r="F386" s="8" t="s">
        <v>1</v>
      </c>
      <c r="G386" s="59" t="s">
        <v>477</v>
      </c>
      <c r="H386" s="59" t="s">
        <v>486</v>
      </c>
      <c r="I386" s="80" t="s">
        <v>750</v>
      </c>
      <c r="J386" s="81" t="s">
        <v>4</v>
      </c>
      <c r="K386" s="75" t="s">
        <v>187</v>
      </c>
      <c r="L386" s="76">
        <v>0.66200000000000003</v>
      </c>
      <c r="M386" s="58">
        <v>551.20000000000005</v>
      </c>
      <c r="N386" s="58">
        <v>365.1</v>
      </c>
      <c r="O386" s="47">
        <f t="shared" si="93"/>
        <v>0.66200000000000003</v>
      </c>
      <c r="P386" s="47">
        <f t="shared" si="94"/>
        <v>0.66200000000000003</v>
      </c>
      <c r="Q386" s="47">
        <f t="shared" si="95"/>
        <v>551.20000000000005</v>
      </c>
      <c r="R386" s="47">
        <f t="shared" si="96"/>
        <v>551.20000000000005</v>
      </c>
      <c r="S386" s="47">
        <f t="shared" si="99"/>
        <v>0.66200000000000003</v>
      </c>
      <c r="T386" s="47">
        <f t="shared" si="100"/>
        <v>0.66200000000000003</v>
      </c>
      <c r="U386" s="47">
        <f t="shared" si="97"/>
        <v>365.1</v>
      </c>
      <c r="V386" s="47">
        <f t="shared" si="98"/>
        <v>365.1</v>
      </c>
      <c r="W386" s="98">
        <f t="shared" si="101"/>
        <v>365.1</v>
      </c>
      <c r="X386" s="98">
        <f t="shared" si="102"/>
        <v>0.66200000000000003</v>
      </c>
      <c r="AB386" s="42" t="s">
        <v>187</v>
      </c>
      <c r="AE386" s="42" t="s">
        <v>24</v>
      </c>
      <c r="BG386"/>
      <c r="BH386"/>
      <c r="BI386"/>
      <c r="BJ386"/>
      <c r="BK386"/>
      <c r="BL386"/>
      <c r="BM386"/>
      <c r="BN386"/>
      <c r="BO386"/>
      <c r="BP386"/>
      <c r="BQ386"/>
      <c r="BR386"/>
      <c r="BS386"/>
    </row>
    <row r="387" spans="1:71" ht="16.5" x14ac:dyDescent="0.3">
      <c r="A387" s="38" t="s">
        <v>281</v>
      </c>
      <c r="B387" s="36">
        <v>385</v>
      </c>
      <c r="C387" s="71" t="str">
        <f t="shared" ca="1" si="103"/>
        <v>5년 이내</v>
      </c>
      <c r="D387" s="79">
        <v>44531</v>
      </c>
      <c r="E387" s="72">
        <f t="shared" si="104"/>
        <v>1</v>
      </c>
      <c r="F387" s="8" t="s">
        <v>1</v>
      </c>
      <c r="G387" s="59" t="s">
        <v>477</v>
      </c>
      <c r="H387" s="59" t="s">
        <v>745</v>
      </c>
      <c r="I387" s="80" t="s">
        <v>746</v>
      </c>
      <c r="J387" s="81" t="s">
        <v>4</v>
      </c>
      <c r="K387" s="75" t="s">
        <v>187</v>
      </c>
      <c r="L387" s="76">
        <v>1</v>
      </c>
      <c r="M387" s="58">
        <v>118.1</v>
      </c>
      <c r="N387" s="58">
        <v>118.1</v>
      </c>
      <c r="O387" s="47">
        <f t="shared" si="93"/>
        <v>1</v>
      </c>
      <c r="P387" s="47" t="str">
        <f t="shared" si="94"/>
        <v/>
      </c>
      <c r="Q387" s="47">
        <f t="shared" si="95"/>
        <v>118.1</v>
      </c>
      <c r="R387" s="47" t="str">
        <f t="shared" si="96"/>
        <v/>
      </c>
      <c r="S387" s="47">
        <f t="shared" si="99"/>
        <v>1</v>
      </c>
      <c r="T387" s="47" t="str">
        <f t="shared" si="100"/>
        <v/>
      </c>
      <c r="U387" s="47">
        <f t="shared" si="97"/>
        <v>118.1</v>
      </c>
      <c r="V387" s="47" t="str">
        <f t="shared" si="98"/>
        <v/>
      </c>
      <c r="W387" s="98">
        <f t="shared" si="101"/>
        <v>118.1</v>
      </c>
      <c r="X387" s="98">
        <f t="shared" si="102"/>
        <v>1</v>
      </c>
      <c r="AB387" s="42" t="s">
        <v>187</v>
      </c>
      <c r="AE387" s="42" t="s">
        <v>24</v>
      </c>
      <c r="BG387"/>
      <c r="BH387"/>
      <c r="BI387"/>
      <c r="BJ387"/>
      <c r="BK387"/>
      <c r="BL387"/>
      <c r="BM387"/>
      <c r="BN387"/>
      <c r="BO387"/>
      <c r="BP387"/>
      <c r="BQ387"/>
      <c r="BR387"/>
      <c r="BS387"/>
    </row>
    <row r="388" spans="1:71" ht="16.5" x14ac:dyDescent="0.3">
      <c r="A388" s="38" t="s">
        <v>281</v>
      </c>
      <c r="B388" s="36">
        <v>386</v>
      </c>
      <c r="C388" s="71" t="str">
        <f t="shared" ca="1" si="103"/>
        <v>5년 이내</v>
      </c>
      <c r="D388" s="79">
        <v>44536</v>
      </c>
      <c r="E388" s="72" t="str">
        <f t="shared" si="104"/>
        <v/>
      </c>
      <c r="F388" s="8" t="s">
        <v>1</v>
      </c>
      <c r="G388" s="59" t="s">
        <v>39</v>
      </c>
      <c r="H388" s="59" t="s">
        <v>55</v>
      </c>
      <c r="I388" s="80" t="s">
        <v>700</v>
      </c>
      <c r="J388" s="81" t="s">
        <v>4</v>
      </c>
      <c r="K388" s="75" t="s">
        <v>187</v>
      </c>
      <c r="L388" s="76">
        <v>1</v>
      </c>
      <c r="M388" s="58">
        <v>58.2</v>
      </c>
      <c r="N388" s="58">
        <v>58.2</v>
      </c>
      <c r="O388" s="47" t="str">
        <f t="shared" si="93"/>
        <v/>
      </c>
      <c r="P388" s="47" t="str">
        <f t="shared" si="94"/>
        <v/>
      </c>
      <c r="Q388" s="47" t="str">
        <f t="shared" si="95"/>
        <v/>
      </c>
      <c r="R388" s="47" t="str">
        <f t="shared" si="96"/>
        <v/>
      </c>
      <c r="S388" s="47" t="str">
        <f t="shared" si="99"/>
        <v/>
      </c>
      <c r="T388" s="47" t="str">
        <f t="shared" si="100"/>
        <v/>
      </c>
      <c r="U388" s="47" t="str">
        <f t="shared" si="97"/>
        <v/>
      </c>
      <c r="V388" s="47" t="str">
        <f t="shared" si="98"/>
        <v/>
      </c>
      <c r="W388" s="98">
        <f t="shared" si="101"/>
        <v>58.2</v>
      </c>
      <c r="X388" s="98">
        <f t="shared" si="102"/>
        <v>1</v>
      </c>
      <c r="AB388" s="42" t="s">
        <v>187</v>
      </c>
      <c r="BG388"/>
      <c r="BH388"/>
      <c r="BI388"/>
      <c r="BJ388"/>
      <c r="BK388"/>
      <c r="BL388"/>
      <c r="BM388"/>
      <c r="BN388"/>
      <c r="BO388"/>
      <c r="BP388"/>
      <c r="BQ388"/>
      <c r="BR388"/>
      <c r="BS388"/>
    </row>
    <row r="389" spans="1:71" ht="16.5" x14ac:dyDescent="0.3">
      <c r="A389" s="38" t="s">
        <v>281</v>
      </c>
      <c r="B389" s="36">
        <v>387</v>
      </c>
      <c r="C389" s="71" t="str">
        <f t="shared" ca="1" si="103"/>
        <v>5년 이내</v>
      </c>
      <c r="D389" s="79">
        <v>44540</v>
      </c>
      <c r="E389" s="72">
        <f t="shared" si="104"/>
        <v>1</v>
      </c>
      <c r="F389" s="8" t="s">
        <v>1</v>
      </c>
      <c r="G389" s="59" t="s">
        <v>17</v>
      </c>
      <c r="H389" s="66" t="s">
        <v>441</v>
      </c>
      <c r="I389" s="80" t="s">
        <v>603</v>
      </c>
      <c r="J389" s="81" t="s">
        <v>4</v>
      </c>
      <c r="K389" s="75" t="s">
        <v>187</v>
      </c>
      <c r="L389" s="76">
        <v>0.8</v>
      </c>
      <c r="M389" s="58">
        <v>181.8</v>
      </c>
      <c r="N389" s="58">
        <v>145.5</v>
      </c>
      <c r="O389" s="47">
        <f t="shared" ref="O389:O452" si="105">IF(M389&gt;100,L389,"")</f>
        <v>0.8</v>
      </c>
      <c r="P389" s="47" t="str">
        <f t="shared" ref="P389:P452" si="106">IF(M389&gt;200,L389,"")</f>
        <v/>
      </c>
      <c r="Q389" s="47">
        <f t="shared" ref="Q389:Q452" si="107">IF(M389&gt;100,M389,"")</f>
        <v>181.8</v>
      </c>
      <c r="R389" s="47" t="str">
        <f t="shared" ref="R389:R452" si="108">IF(M389&gt;200,M389,"")</f>
        <v/>
      </c>
      <c r="S389" s="47">
        <f t="shared" si="99"/>
        <v>0.8</v>
      </c>
      <c r="T389" s="47" t="str">
        <f t="shared" si="100"/>
        <v/>
      </c>
      <c r="U389" s="47">
        <f t="shared" ref="U389:U452" si="109">IF(N389&gt;100,N389,"")</f>
        <v>145.5</v>
      </c>
      <c r="V389" s="47" t="str">
        <f t="shared" ref="V389:V452" si="110">IF(N389&gt;200,N389,"")</f>
        <v/>
      </c>
      <c r="W389" s="98">
        <f t="shared" si="101"/>
        <v>145.5</v>
      </c>
      <c r="X389" s="98">
        <f t="shared" si="102"/>
        <v>0.8</v>
      </c>
      <c r="AB389" s="42" t="s">
        <v>187</v>
      </c>
      <c r="BG389"/>
      <c r="BH389"/>
      <c r="BI389"/>
      <c r="BJ389"/>
      <c r="BK389"/>
      <c r="BL389"/>
      <c r="BM389"/>
      <c r="BN389"/>
      <c r="BO389"/>
      <c r="BP389"/>
      <c r="BQ389"/>
      <c r="BR389"/>
      <c r="BS389"/>
    </row>
    <row r="390" spans="1:71" ht="16.5" x14ac:dyDescent="0.3">
      <c r="A390" s="38" t="s">
        <v>281</v>
      </c>
      <c r="B390" s="36">
        <v>388</v>
      </c>
      <c r="C390" s="71" t="str">
        <f t="shared" ca="1" si="103"/>
        <v>5년 이내</v>
      </c>
      <c r="D390" s="79">
        <v>44545</v>
      </c>
      <c r="E390" s="72">
        <f t="shared" si="104"/>
        <v>2</v>
      </c>
      <c r="F390" s="8" t="s">
        <v>1</v>
      </c>
      <c r="G390" s="59" t="s">
        <v>68</v>
      </c>
      <c r="H390" s="59" t="s">
        <v>475</v>
      </c>
      <c r="I390" s="80" t="s">
        <v>617</v>
      </c>
      <c r="J390" s="81" t="s">
        <v>4</v>
      </c>
      <c r="K390" s="75" t="s">
        <v>187</v>
      </c>
      <c r="L390" s="76">
        <v>0.8</v>
      </c>
      <c r="M390" s="58">
        <v>1025</v>
      </c>
      <c r="N390" s="58">
        <v>820</v>
      </c>
      <c r="O390" s="47">
        <f t="shared" si="105"/>
        <v>0.8</v>
      </c>
      <c r="P390" s="47">
        <f t="shared" si="106"/>
        <v>0.8</v>
      </c>
      <c r="Q390" s="47">
        <f t="shared" si="107"/>
        <v>1025</v>
      </c>
      <c r="R390" s="47">
        <f t="shared" si="108"/>
        <v>1025</v>
      </c>
      <c r="S390" s="47">
        <f t="shared" si="99"/>
        <v>0.8</v>
      </c>
      <c r="T390" s="47">
        <f t="shared" si="100"/>
        <v>0.8</v>
      </c>
      <c r="U390" s="47">
        <f t="shared" si="109"/>
        <v>820</v>
      </c>
      <c r="V390" s="47">
        <f t="shared" si="110"/>
        <v>820</v>
      </c>
      <c r="W390" s="98">
        <f t="shared" si="101"/>
        <v>820</v>
      </c>
      <c r="X390" s="98">
        <f t="shared" si="102"/>
        <v>0.8</v>
      </c>
      <c r="AB390" s="42" t="s">
        <v>187</v>
      </c>
      <c r="BG390"/>
      <c r="BH390"/>
      <c r="BI390"/>
      <c r="BJ390"/>
      <c r="BK390"/>
      <c r="BL390"/>
      <c r="BM390"/>
      <c r="BN390"/>
      <c r="BO390"/>
      <c r="BP390"/>
      <c r="BQ390"/>
      <c r="BR390"/>
      <c r="BS390"/>
    </row>
    <row r="391" spans="1:71" ht="16.5" x14ac:dyDescent="0.3">
      <c r="A391" s="38" t="s">
        <v>281</v>
      </c>
      <c r="B391" s="36">
        <v>389</v>
      </c>
      <c r="C391" s="71" t="str">
        <f t="shared" ca="1" si="103"/>
        <v>5년 이내</v>
      </c>
      <c r="D391" s="79">
        <v>44545</v>
      </c>
      <c r="E391" s="72">
        <f t="shared" si="104"/>
        <v>2</v>
      </c>
      <c r="F391" s="8" t="s">
        <v>1</v>
      </c>
      <c r="G391" s="59" t="s">
        <v>68</v>
      </c>
      <c r="H391" s="59" t="s">
        <v>475</v>
      </c>
      <c r="I391" s="80" t="s">
        <v>642</v>
      </c>
      <c r="J391" s="81" t="s">
        <v>4</v>
      </c>
      <c r="K391" s="75" t="s">
        <v>187</v>
      </c>
      <c r="L391" s="76">
        <v>0.7</v>
      </c>
      <c r="M391" s="58">
        <v>434.2</v>
      </c>
      <c r="N391" s="58">
        <v>303.89999999999998</v>
      </c>
      <c r="O391" s="47">
        <f t="shared" si="105"/>
        <v>0.7</v>
      </c>
      <c r="P391" s="47">
        <f t="shared" si="106"/>
        <v>0.7</v>
      </c>
      <c r="Q391" s="47">
        <f t="shared" si="107"/>
        <v>434.2</v>
      </c>
      <c r="R391" s="47">
        <f t="shared" si="108"/>
        <v>434.2</v>
      </c>
      <c r="S391" s="47">
        <f t="shared" si="99"/>
        <v>0.7</v>
      </c>
      <c r="T391" s="47">
        <f t="shared" si="100"/>
        <v>0.7</v>
      </c>
      <c r="U391" s="47">
        <f t="shared" si="109"/>
        <v>303.89999999999998</v>
      </c>
      <c r="V391" s="47">
        <f t="shared" si="110"/>
        <v>303.89999999999998</v>
      </c>
      <c r="W391" s="98">
        <f t="shared" si="101"/>
        <v>303.89999999999998</v>
      </c>
      <c r="X391" s="98">
        <f t="shared" si="102"/>
        <v>0.7</v>
      </c>
      <c r="AB391" s="42" t="s">
        <v>187</v>
      </c>
      <c r="BG391"/>
      <c r="BH391"/>
      <c r="BI391"/>
      <c r="BJ391"/>
      <c r="BK391"/>
      <c r="BL391"/>
      <c r="BM391"/>
      <c r="BN391"/>
      <c r="BO391"/>
      <c r="BP391"/>
      <c r="BQ391"/>
      <c r="BR391"/>
      <c r="BS391"/>
    </row>
    <row r="392" spans="1:71" ht="16.5" x14ac:dyDescent="0.3">
      <c r="A392" s="38" t="s">
        <v>281</v>
      </c>
      <c r="B392" s="36">
        <v>390</v>
      </c>
      <c r="C392" s="71" t="str">
        <f t="shared" ca="1" si="103"/>
        <v>5년 이내</v>
      </c>
      <c r="D392" s="79">
        <v>44545</v>
      </c>
      <c r="E392" s="72">
        <f t="shared" si="104"/>
        <v>2</v>
      </c>
      <c r="F392" s="8" t="s">
        <v>1</v>
      </c>
      <c r="G392" s="59" t="s">
        <v>17</v>
      </c>
      <c r="H392" s="59" t="s">
        <v>442</v>
      </c>
      <c r="I392" s="80" t="s">
        <v>665</v>
      </c>
      <c r="J392" s="81" t="s">
        <v>4</v>
      </c>
      <c r="K392" s="75" t="s">
        <v>187</v>
      </c>
      <c r="L392" s="76">
        <v>0.4</v>
      </c>
      <c r="M392" s="58">
        <v>525.5</v>
      </c>
      <c r="N392" s="58">
        <v>210.2</v>
      </c>
      <c r="O392" s="47">
        <f t="shared" si="105"/>
        <v>0.4</v>
      </c>
      <c r="P392" s="47">
        <f t="shared" si="106"/>
        <v>0.4</v>
      </c>
      <c r="Q392" s="47">
        <f t="shared" si="107"/>
        <v>525.5</v>
      </c>
      <c r="R392" s="47">
        <f t="shared" si="108"/>
        <v>525.5</v>
      </c>
      <c r="S392" s="47">
        <f t="shared" ref="S392:S455" si="111">IF(N392&gt;100,L392,"")</f>
        <v>0.4</v>
      </c>
      <c r="T392" s="47">
        <f t="shared" ref="T392:T455" si="112">IF(N392&gt;200,L392,"")</f>
        <v>0.4</v>
      </c>
      <c r="U392" s="47">
        <f t="shared" si="109"/>
        <v>210.2</v>
      </c>
      <c r="V392" s="47">
        <f t="shared" si="110"/>
        <v>210.2</v>
      </c>
      <c r="W392" s="98">
        <f t="shared" si="101"/>
        <v>210.2</v>
      </c>
      <c r="X392" s="98">
        <f t="shared" si="102"/>
        <v>0.4</v>
      </c>
      <c r="AB392" s="42" t="s">
        <v>187</v>
      </c>
      <c r="BG392"/>
      <c r="BH392"/>
      <c r="BI392"/>
      <c r="BJ392"/>
      <c r="BK392"/>
      <c r="BL392"/>
      <c r="BM392"/>
      <c r="BN392"/>
      <c r="BO392"/>
      <c r="BP392"/>
      <c r="BQ392"/>
      <c r="BR392"/>
      <c r="BS392"/>
    </row>
    <row r="393" spans="1:71" ht="16.5" x14ac:dyDescent="0.3">
      <c r="A393" s="38" t="s">
        <v>281</v>
      </c>
      <c r="B393" s="36">
        <v>391</v>
      </c>
      <c r="C393" s="71" t="str">
        <f t="shared" ca="1" si="103"/>
        <v>5년 이내</v>
      </c>
      <c r="D393" s="79">
        <v>44546</v>
      </c>
      <c r="E393" s="72">
        <f t="shared" si="104"/>
        <v>1</v>
      </c>
      <c r="F393" s="8" t="s">
        <v>1</v>
      </c>
      <c r="G393" s="59" t="s">
        <v>17</v>
      </c>
      <c r="H393" s="66" t="s">
        <v>139</v>
      </c>
      <c r="I393" s="80" t="s">
        <v>690</v>
      </c>
      <c r="J393" s="81" t="s">
        <v>4</v>
      </c>
      <c r="K393" s="75" t="s">
        <v>187</v>
      </c>
      <c r="L393" s="76">
        <v>0.65</v>
      </c>
      <c r="M393" s="58">
        <v>217.7</v>
      </c>
      <c r="N393" s="58">
        <v>135.6</v>
      </c>
      <c r="O393" s="47">
        <f t="shared" si="105"/>
        <v>0.65</v>
      </c>
      <c r="P393" s="47">
        <f t="shared" si="106"/>
        <v>0.65</v>
      </c>
      <c r="Q393" s="47">
        <f t="shared" si="107"/>
        <v>217.7</v>
      </c>
      <c r="R393" s="47">
        <f t="shared" si="108"/>
        <v>217.7</v>
      </c>
      <c r="S393" s="47">
        <f t="shared" si="111"/>
        <v>0.65</v>
      </c>
      <c r="T393" s="47" t="str">
        <f t="shared" si="112"/>
        <v/>
      </c>
      <c r="U393" s="47">
        <f t="shared" si="109"/>
        <v>135.6</v>
      </c>
      <c r="V393" s="47" t="str">
        <f t="shared" si="110"/>
        <v/>
      </c>
      <c r="W393" s="98">
        <f t="shared" si="101"/>
        <v>135.6</v>
      </c>
      <c r="X393" s="98">
        <f t="shared" si="102"/>
        <v>0.65</v>
      </c>
      <c r="AB393" s="42" t="s">
        <v>187</v>
      </c>
      <c r="BG393"/>
      <c r="BH393"/>
      <c r="BI393"/>
      <c r="BJ393"/>
      <c r="BK393"/>
      <c r="BL393"/>
      <c r="BM393"/>
      <c r="BN393"/>
      <c r="BO393"/>
      <c r="BP393"/>
      <c r="BQ393"/>
      <c r="BR393"/>
      <c r="BS393"/>
    </row>
    <row r="394" spans="1:71" ht="16.5" x14ac:dyDescent="0.3">
      <c r="A394" s="38" t="s">
        <v>281</v>
      </c>
      <c r="B394" s="36">
        <v>392</v>
      </c>
      <c r="C394" s="71" t="str">
        <f t="shared" ca="1" si="103"/>
        <v>5년 이내</v>
      </c>
      <c r="D394" s="79">
        <v>44547</v>
      </c>
      <c r="E394" s="72">
        <f t="shared" si="104"/>
        <v>1</v>
      </c>
      <c r="F394" s="8" t="s">
        <v>1</v>
      </c>
      <c r="G394" s="59" t="s">
        <v>68</v>
      </c>
      <c r="H394" s="59" t="s">
        <v>77</v>
      </c>
      <c r="I394" s="41" t="s">
        <v>717</v>
      </c>
      <c r="J394" s="81" t="s">
        <v>4</v>
      </c>
      <c r="K394" s="75" t="s">
        <v>187</v>
      </c>
      <c r="L394" s="76">
        <v>0.51</v>
      </c>
      <c r="M394" s="58">
        <v>323.5</v>
      </c>
      <c r="N394" s="58">
        <v>164.9</v>
      </c>
      <c r="O394" s="47">
        <f t="shared" si="105"/>
        <v>0.51</v>
      </c>
      <c r="P394" s="47">
        <f t="shared" si="106"/>
        <v>0.51</v>
      </c>
      <c r="Q394" s="47">
        <f t="shared" si="107"/>
        <v>323.5</v>
      </c>
      <c r="R394" s="47">
        <f t="shared" si="108"/>
        <v>323.5</v>
      </c>
      <c r="S394" s="47">
        <f t="shared" si="111"/>
        <v>0.51</v>
      </c>
      <c r="T394" s="47" t="str">
        <f t="shared" si="112"/>
        <v/>
      </c>
      <c r="U394" s="47">
        <f t="shared" si="109"/>
        <v>164.9</v>
      </c>
      <c r="V394" s="47" t="str">
        <f t="shared" si="110"/>
        <v/>
      </c>
      <c r="W394" s="98">
        <f t="shared" si="101"/>
        <v>164.9</v>
      </c>
      <c r="X394" s="98">
        <f t="shared" si="102"/>
        <v>0.51</v>
      </c>
      <c r="AB394" s="42" t="s">
        <v>187</v>
      </c>
      <c r="AE394" s="42" t="s">
        <v>24</v>
      </c>
      <c r="BG394"/>
      <c r="BH394"/>
      <c r="BI394"/>
      <c r="BJ394"/>
      <c r="BK394"/>
      <c r="BL394"/>
      <c r="BM394"/>
      <c r="BN394"/>
      <c r="BO394"/>
      <c r="BP394"/>
      <c r="BQ394"/>
      <c r="BR394"/>
      <c r="BS394"/>
    </row>
    <row r="395" spans="1:71" ht="16.5" x14ac:dyDescent="0.3">
      <c r="A395" s="38" t="s">
        <v>281</v>
      </c>
      <c r="B395" s="36">
        <v>393</v>
      </c>
      <c r="C395" s="71" t="str">
        <f t="shared" ca="1" si="103"/>
        <v>5년 이내</v>
      </c>
      <c r="D395" s="79">
        <v>44547</v>
      </c>
      <c r="E395" s="72">
        <f t="shared" si="104"/>
        <v>1</v>
      </c>
      <c r="F395" s="8" t="s">
        <v>1</v>
      </c>
      <c r="G395" s="59" t="s">
        <v>17</v>
      </c>
      <c r="H395" s="66" t="s">
        <v>139</v>
      </c>
      <c r="I395" s="41" t="s">
        <v>717</v>
      </c>
      <c r="J395" s="81" t="s">
        <v>4</v>
      </c>
      <c r="K395" s="75" t="s">
        <v>187</v>
      </c>
      <c r="L395" s="76">
        <v>0.51</v>
      </c>
      <c r="M395" s="58">
        <v>323.5</v>
      </c>
      <c r="N395" s="58">
        <v>164.9</v>
      </c>
      <c r="O395" s="47">
        <f t="shared" si="105"/>
        <v>0.51</v>
      </c>
      <c r="P395" s="47">
        <f t="shared" si="106"/>
        <v>0.51</v>
      </c>
      <c r="Q395" s="47">
        <f t="shared" si="107"/>
        <v>323.5</v>
      </c>
      <c r="R395" s="47">
        <f t="shared" si="108"/>
        <v>323.5</v>
      </c>
      <c r="S395" s="47">
        <f t="shared" si="111"/>
        <v>0.51</v>
      </c>
      <c r="T395" s="47" t="str">
        <f t="shared" si="112"/>
        <v/>
      </c>
      <c r="U395" s="47">
        <f t="shared" si="109"/>
        <v>164.9</v>
      </c>
      <c r="V395" s="47" t="str">
        <f t="shared" si="110"/>
        <v/>
      </c>
      <c r="W395" s="98">
        <f t="shared" si="101"/>
        <v>164.9</v>
      </c>
      <c r="X395" s="98">
        <f t="shared" si="102"/>
        <v>0.51</v>
      </c>
      <c r="AB395" s="42" t="s">
        <v>187</v>
      </c>
      <c r="AE395" s="42" t="s">
        <v>24</v>
      </c>
      <c r="BG395"/>
      <c r="BH395"/>
      <c r="BI395"/>
      <c r="BJ395"/>
      <c r="BK395"/>
      <c r="BL395"/>
      <c r="BM395"/>
      <c r="BN395"/>
      <c r="BO395"/>
      <c r="BP395"/>
      <c r="BQ395"/>
      <c r="BR395"/>
      <c r="BS395"/>
    </row>
    <row r="396" spans="1:71" ht="16.5" x14ac:dyDescent="0.3">
      <c r="A396" s="38" t="s">
        <v>281</v>
      </c>
      <c r="B396" s="36">
        <v>394</v>
      </c>
      <c r="C396" s="71" t="str">
        <f t="shared" ca="1" si="103"/>
        <v>5년 이내</v>
      </c>
      <c r="D396" s="79">
        <v>44547</v>
      </c>
      <c r="E396" s="72">
        <f t="shared" si="104"/>
        <v>1</v>
      </c>
      <c r="F396" s="8" t="s">
        <v>1</v>
      </c>
      <c r="G396" s="59" t="s">
        <v>10</v>
      </c>
      <c r="H396" s="67" t="s">
        <v>48</v>
      </c>
      <c r="I396" s="80" t="s">
        <v>776</v>
      </c>
      <c r="J396" s="81" t="s">
        <v>4</v>
      </c>
      <c r="K396" s="75" t="s">
        <v>187</v>
      </c>
      <c r="L396" s="76">
        <v>0.4</v>
      </c>
      <c r="M396" s="58">
        <v>343</v>
      </c>
      <c r="N396" s="58">
        <v>137.19999999999999</v>
      </c>
      <c r="O396" s="47">
        <f t="shared" si="105"/>
        <v>0.4</v>
      </c>
      <c r="P396" s="47">
        <f t="shared" si="106"/>
        <v>0.4</v>
      </c>
      <c r="Q396" s="47">
        <f t="shared" si="107"/>
        <v>343</v>
      </c>
      <c r="R396" s="47">
        <f t="shared" si="108"/>
        <v>343</v>
      </c>
      <c r="S396" s="47">
        <f t="shared" si="111"/>
        <v>0.4</v>
      </c>
      <c r="T396" s="47" t="str">
        <f t="shared" si="112"/>
        <v/>
      </c>
      <c r="U396" s="47">
        <f t="shared" si="109"/>
        <v>137.19999999999999</v>
      </c>
      <c r="V396" s="47" t="str">
        <f t="shared" si="110"/>
        <v/>
      </c>
      <c r="W396" s="98">
        <f t="shared" si="101"/>
        <v>137.19999999999999</v>
      </c>
      <c r="X396" s="98">
        <f t="shared" si="102"/>
        <v>0.4</v>
      </c>
      <c r="AB396" s="42" t="s">
        <v>187</v>
      </c>
      <c r="AE396" s="42" t="s">
        <v>24</v>
      </c>
      <c r="BG396"/>
      <c r="BH396"/>
      <c r="BI396"/>
      <c r="BJ396"/>
      <c r="BK396"/>
      <c r="BL396"/>
      <c r="BM396"/>
      <c r="BN396"/>
      <c r="BO396"/>
      <c r="BP396"/>
      <c r="BQ396"/>
      <c r="BR396"/>
      <c r="BS396"/>
    </row>
    <row r="397" spans="1:71" ht="16.5" x14ac:dyDescent="0.3">
      <c r="A397" s="38" t="s">
        <v>281</v>
      </c>
      <c r="B397" s="36">
        <v>395</v>
      </c>
      <c r="C397" s="71" t="str">
        <f t="shared" ca="1" si="103"/>
        <v>5년 이내</v>
      </c>
      <c r="D397" s="79">
        <v>44549</v>
      </c>
      <c r="E397" s="72" t="str">
        <f t="shared" si="104"/>
        <v/>
      </c>
      <c r="F397" s="8" t="s">
        <v>1</v>
      </c>
      <c r="G397" s="59" t="s">
        <v>17</v>
      </c>
      <c r="H397" s="66" t="s">
        <v>138</v>
      </c>
      <c r="I397" s="80" t="s">
        <v>702</v>
      </c>
      <c r="J397" s="81" t="s">
        <v>4</v>
      </c>
      <c r="K397" s="75" t="s">
        <v>187</v>
      </c>
      <c r="L397" s="76">
        <v>1</v>
      </c>
      <c r="M397" s="58">
        <v>20</v>
      </c>
      <c r="N397" s="58">
        <v>20</v>
      </c>
      <c r="O397" s="47" t="str">
        <f t="shared" si="105"/>
        <v/>
      </c>
      <c r="P397" s="47" t="str">
        <f t="shared" si="106"/>
        <v/>
      </c>
      <c r="Q397" s="47" t="str">
        <f t="shared" si="107"/>
        <v/>
      </c>
      <c r="R397" s="47" t="str">
        <f t="shared" si="108"/>
        <v/>
      </c>
      <c r="S397" s="47" t="str">
        <f t="shared" si="111"/>
        <v/>
      </c>
      <c r="T397" s="47" t="str">
        <f t="shared" si="112"/>
        <v/>
      </c>
      <c r="U397" s="47" t="str">
        <f t="shared" si="109"/>
        <v/>
      </c>
      <c r="V397" s="47" t="str">
        <f t="shared" si="110"/>
        <v/>
      </c>
      <c r="W397" s="98">
        <f t="shared" si="101"/>
        <v>20</v>
      </c>
      <c r="X397" s="98">
        <f t="shared" si="102"/>
        <v>1</v>
      </c>
      <c r="AB397" s="42" t="s">
        <v>187</v>
      </c>
      <c r="BG397"/>
      <c r="BH397"/>
      <c r="BI397"/>
      <c r="BJ397"/>
      <c r="BK397"/>
      <c r="BL397"/>
      <c r="BM397"/>
      <c r="BN397"/>
      <c r="BO397"/>
      <c r="BP397"/>
      <c r="BQ397"/>
      <c r="BR397"/>
      <c r="BS397"/>
    </row>
    <row r="398" spans="1:71" ht="16.5" x14ac:dyDescent="0.3">
      <c r="A398" s="38" t="s">
        <v>281</v>
      </c>
      <c r="B398" s="36">
        <v>396</v>
      </c>
      <c r="C398" s="71" t="str">
        <f t="shared" ca="1" si="103"/>
        <v>5년 이내</v>
      </c>
      <c r="D398" s="79">
        <v>44550</v>
      </c>
      <c r="E398" s="72">
        <f t="shared" si="104"/>
        <v>2</v>
      </c>
      <c r="F398" s="8" t="s">
        <v>1</v>
      </c>
      <c r="G398" s="59" t="s">
        <v>309</v>
      </c>
      <c r="H398" s="59" t="s">
        <v>363</v>
      </c>
      <c r="I398" s="80" t="s">
        <v>653</v>
      </c>
      <c r="J398" s="81" t="s">
        <v>4</v>
      </c>
      <c r="K398" s="75" t="s">
        <v>187</v>
      </c>
      <c r="L398" s="76">
        <v>0.7</v>
      </c>
      <c r="M398" s="58">
        <v>488.1</v>
      </c>
      <c r="N398" s="58">
        <v>341.7</v>
      </c>
      <c r="O398" s="47">
        <f t="shared" si="105"/>
        <v>0.7</v>
      </c>
      <c r="P398" s="47">
        <f t="shared" si="106"/>
        <v>0.7</v>
      </c>
      <c r="Q398" s="47">
        <f t="shared" si="107"/>
        <v>488.1</v>
      </c>
      <c r="R398" s="47">
        <f t="shared" si="108"/>
        <v>488.1</v>
      </c>
      <c r="S398" s="47">
        <f t="shared" si="111"/>
        <v>0.7</v>
      </c>
      <c r="T398" s="47">
        <f t="shared" si="112"/>
        <v>0.7</v>
      </c>
      <c r="U398" s="47">
        <f t="shared" si="109"/>
        <v>341.7</v>
      </c>
      <c r="V398" s="47">
        <f t="shared" si="110"/>
        <v>341.7</v>
      </c>
      <c r="W398" s="98">
        <f t="shared" si="101"/>
        <v>341.7</v>
      </c>
      <c r="X398" s="98">
        <f t="shared" si="102"/>
        <v>0.7</v>
      </c>
      <c r="AB398" s="42" t="s">
        <v>187</v>
      </c>
      <c r="BG398"/>
      <c r="BH398"/>
      <c r="BI398"/>
      <c r="BJ398"/>
      <c r="BK398"/>
      <c r="BL398"/>
      <c r="BM398"/>
      <c r="BN398"/>
      <c r="BO398"/>
      <c r="BP398"/>
      <c r="BQ398"/>
      <c r="BR398"/>
      <c r="BS398"/>
    </row>
    <row r="399" spans="1:71" ht="16.5" x14ac:dyDescent="0.3">
      <c r="A399" s="38" t="s">
        <v>281</v>
      </c>
      <c r="B399" s="36">
        <v>397</v>
      </c>
      <c r="C399" s="71" t="str">
        <f t="shared" ca="1" si="103"/>
        <v>5년 이내</v>
      </c>
      <c r="D399" s="79">
        <v>44552</v>
      </c>
      <c r="E399" s="72" t="str">
        <f t="shared" si="104"/>
        <v/>
      </c>
      <c r="F399" s="8" t="s">
        <v>1</v>
      </c>
      <c r="G399" s="59" t="s">
        <v>696</v>
      </c>
      <c r="H399" s="59" t="s">
        <v>697</v>
      </c>
      <c r="I399" s="80" t="s">
        <v>698</v>
      </c>
      <c r="J399" s="81" t="s">
        <v>4</v>
      </c>
      <c r="K399" s="75" t="s">
        <v>187</v>
      </c>
      <c r="L399" s="76">
        <v>1</v>
      </c>
      <c r="M399" s="58">
        <v>20.399999999999999</v>
      </c>
      <c r="N399" s="58">
        <v>20.399999999999999</v>
      </c>
      <c r="O399" s="47" t="str">
        <f t="shared" si="105"/>
        <v/>
      </c>
      <c r="P399" s="47" t="str">
        <f t="shared" si="106"/>
        <v/>
      </c>
      <c r="Q399" s="47" t="str">
        <f t="shared" si="107"/>
        <v/>
      </c>
      <c r="R399" s="47" t="str">
        <f t="shared" si="108"/>
        <v/>
      </c>
      <c r="S399" s="47" t="str">
        <f t="shared" si="111"/>
        <v/>
      </c>
      <c r="T399" s="47" t="str">
        <f t="shared" si="112"/>
        <v/>
      </c>
      <c r="U399" s="47" t="str">
        <f t="shared" si="109"/>
        <v/>
      </c>
      <c r="V399" s="47" t="str">
        <f t="shared" si="110"/>
        <v/>
      </c>
      <c r="W399" s="98">
        <f t="shared" ref="W399:W462" si="113">N399</f>
        <v>20.399999999999999</v>
      </c>
      <c r="X399" s="98">
        <f t="shared" ref="X399:X462" si="114">IF(W399&gt;0,L399,"")</f>
        <v>1</v>
      </c>
      <c r="AB399" s="42" t="s">
        <v>187</v>
      </c>
      <c r="BG399"/>
      <c r="BH399"/>
      <c r="BI399"/>
      <c r="BJ399"/>
      <c r="BK399"/>
      <c r="BL399"/>
      <c r="BM399"/>
      <c r="BN399"/>
      <c r="BO399"/>
      <c r="BP399"/>
      <c r="BQ399"/>
      <c r="BR399"/>
      <c r="BS399"/>
    </row>
    <row r="400" spans="1:71" ht="16.5" x14ac:dyDescent="0.3">
      <c r="A400" s="38" t="s">
        <v>281</v>
      </c>
      <c r="B400" s="36">
        <v>398</v>
      </c>
      <c r="C400" s="71" t="str">
        <f t="shared" ca="1" si="103"/>
        <v>5년 이내</v>
      </c>
      <c r="D400" s="79">
        <v>44553</v>
      </c>
      <c r="E400" s="72" t="str">
        <f t="shared" si="104"/>
        <v/>
      </c>
      <c r="F400" s="8" t="s">
        <v>1</v>
      </c>
      <c r="G400" s="59" t="s">
        <v>568</v>
      </c>
      <c r="H400" s="59" t="s">
        <v>699</v>
      </c>
      <c r="I400" s="80" t="s">
        <v>698</v>
      </c>
      <c r="J400" s="81" t="s">
        <v>4</v>
      </c>
      <c r="K400" s="75" t="s">
        <v>187</v>
      </c>
      <c r="L400" s="76">
        <v>1</v>
      </c>
      <c r="M400" s="58">
        <v>20.399999999999999</v>
      </c>
      <c r="N400" s="58">
        <v>20.399999999999999</v>
      </c>
      <c r="O400" s="47" t="str">
        <f t="shared" si="105"/>
        <v/>
      </c>
      <c r="P400" s="47" t="str">
        <f t="shared" si="106"/>
        <v/>
      </c>
      <c r="Q400" s="47" t="str">
        <f t="shared" si="107"/>
        <v/>
      </c>
      <c r="R400" s="47" t="str">
        <f t="shared" si="108"/>
        <v/>
      </c>
      <c r="S400" s="47" t="str">
        <f t="shared" si="111"/>
        <v/>
      </c>
      <c r="T400" s="47" t="str">
        <f t="shared" si="112"/>
        <v/>
      </c>
      <c r="U400" s="47" t="str">
        <f t="shared" si="109"/>
        <v/>
      </c>
      <c r="V400" s="47" t="str">
        <f t="shared" si="110"/>
        <v/>
      </c>
      <c r="W400" s="98">
        <f t="shared" si="113"/>
        <v>20.399999999999999</v>
      </c>
      <c r="X400" s="98">
        <f t="shared" si="114"/>
        <v>1</v>
      </c>
      <c r="AB400" s="42" t="s">
        <v>187</v>
      </c>
      <c r="BG400"/>
      <c r="BH400"/>
      <c r="BI400"/>
      <c r="BJ400"/>
      <c r="BK400"/>
      <c r="BL400"/>
      <c r="BM400"/>
      <c r="BN400"/>
      <c r="BO400"/>
      <c r="BP400"/>
      <c r="BQ400"/>
      <c r="BR400"/>
      <c r="BS400"/>
    </row>
    <row r="401" spans="1:71" ht="16.5" x14ac:dyDescent="0.3">
      <c r="A401" s="38" t="s">
        <v>281</v>
      </c>
      <c r="B401" s="36">
        <v>399</v>
      </c>
      <c r="C401" s="71" t="str">
        <f t="shared" ca="1" si="103"/>
        <v>5년 이내</v>
      </c>
      <c r="D401" s="79">
        <v>44554</v>
      </c>
      <c r="E401" s="72">
        <f t="shared" si="104"/>
        <v>2</v>
      </c>
      <c r="F401" s="8" t="s">
        <v>1</v>
      </c>
      <c r="G401" s="59" t="s">
        <v>451</v>
      </c>
      <c r="H401" s="59" t="s">
        <v>546</v>
      </c>
      <c r="I401" s="80" t="s">
        <v>680</v>
      </c>
      <c r="J401" s="81" t="s">
        <v>4</v>
      </c>
      <c r="K401" s="75" t="s">
        <v>187</v>
      </c>
      <c r="L401" s="76">
        <v>0.7</v>
      </c>
      <c r="M401" s="58">
        <v>474.9</v>
      </c>
      <c r="N401" s="58">
        <v>332.4</v>
      </c>
      <c r="O401" s="47">
        <f t="shared" si="105"/>
        <v>0.7</v>
      </c>
      <c r="P401" s="47">
        <f t="shared" si="106"/>
        <v>0.7</v>
      </c>
      <c r="Q401" s="47">
        <f t="shared" si="107"/>
        <v>474.9</v>
      </c>
      <c r="R401" s="47">
        <f t="shared" si="108"/>
        <v>474.9</v>
      </c>
      <c r="S401" s="47">
        <f t="shared" si="111"/>
        <v>0.7</v>
      </c>
      <c r="T401" s="47">
        <f t="shared" si="112"/>
        <v>0.7</v>
      </c>
      <c r="U401" s="47">
        <f t="shared" si="109"/>
        <v>332.4</v>
      </c>
      <c r="V401" s="47">
        <f t="shared" si="110"/>
        <v>332.4</v>
      </c>
      <c r="W401" s="98">
        <f t="shared" si="113"/>
        <v>332.4</v>
      </c>
      <c r="X401" s="98">
        <f t="shared" si="114"/>
        <v>0.7</v>
      </c>
      <c r="AB401" s="42" t="s">
        <v>187</v>
      </c>
      <c r="BG401"/>
      <c r="BH401"/>
      <c r="BI401"/>
      <c r="BJ401"/>
      <c r="BK401"/>
      <c r="BL401"/>
      <c r="BM401"/>
      <c r="BN401"/>
      <c r="BO401"/>
      <c r="BP401"/>
      <c r="BQ401"/>
      <c r="BR401"/>
      <c r="BS401"/>
    </row>
    <row r="402" spans="1:71" ht="16.5" x14ac:dyDescent="0.3">
      <c r="A402" s="38" t="s">
        <v>281</v>
      </c>
      <c r="B402" s="36">
        <v>400</v>
      </c>
      <c r="C402" s="71" t="str">
        <f t="shared" ca="1" si="103"/>
        <v>5년 이내</v>
      </c>
      <c r="D402" s="79">
        <v>44554</v>
      </c>
      <c r="E402" s="72" t="str">
        <f t="shared" si="104"/>
        <v/>
      </c>
      <c r="F402" s="8" t="s">
        <v>1</v>
      </c>
      <c r="G402" s="59" t="s">
        <v>68</v>
      </c>
      <c r="H402" s="59" t="s">
        <v>75</v>
      </c>
      <c r="I402" s="80" t="s">
        <v>698</v>
      </c>
      <c r="J402" s="81" t="s">
        <v>4</v>
      </c>
      <c r="K402" s="75" t="s">
        <v>187</v>
      </c>
      <c r="L402" s="76">
        <v>1</v>
      </c>
      <c r="M402" s="58">
        <v>20.399999999999999</v>
      </c>
      <c r="N402" s="58">
        <v>20.399999999999999</v>
      </c>
      <c r="O402" s="47" t="str">
        <f t="shared" si="105"/>
        <v/>
      </c>
      <c r="P402" s="47" t="str">
        <f t="shared" si="106"/>
        <v/>
      </c>
      <c r="Q402" s="47" t="str">
        <f t="shared" si="107"/>
        <v/>
      </c>
      <c r="R402" s="47" t="str">
        <f t="shared" si="108"/>
        <v/>
      </c>
      <c r="S402" s="47" t="str">
        <f t="shared" si="111"/>
        <v/>
      </c>
      <c r="T402" s="47" t="str">
        <f t="shared" si="112"/>
        <v/>
      </c>
      <c r="U402" s="47" t="str">
        <f t="shared" si="109"/>
        <v/>
      </c>
      <c r="V402" s="47" t="str">
        <f t="shared" si="110"/>
        <v/>
      </c>
      <c r="W402" s="98">
        <f t="shared" si="113"/>
        <v>20.399999999999999</v>
      </c>
      <c r="X402" s="98">
        <f t="shared" si="114"/>
        <v>1</v>
      </c>
      <c r="AB402" s="42" t="s">
        <v>187</v>
      </c>
      <c r="BG402"/>
      <c r="BH402"/>
      <c r="BI402"/>
      <c r="BJ402"/>
      <c r="BK402"/>
      <c r="BL402"/>
      <c r="BM402"/>
      <c r="BN402"/>
      <c r="BO402"/>
      <c r="BP402"/>
      <c r="BQ402"/>
      <c r="BR402"/>
      <c r="BS402"/>
    </row>
    <row r="403" spans="1:71" ht="16.5" x14ac:dyDescent="0.3">
      <c r="A403" s="38" t="s">
        <v>281</v>
      </c>
      <c r="B403" s="36">
        <v>401</v>
      </c>
      <c r="C403" s="71" t="str">
        <f t="shared" ca="1" si="103"/>
        <v>5년 이내</v>
      </c>
      <c r="D403" s="79">
        <v>44555</v>
      </c>
      <c r="E403" s="72">
        <f t="shared" si="104"/>
        <v>2</v>
      </c>
      <c r="F403" s="8" t="s">
        <v>1</v>
      </c>
      <c r="G403" s="59" t="s">
        <v>68</v>
      </c>
      <c r="H403" s="59" t="s">
        <v>74</v>
      </c>
      <c r="I403" s="80" t="s">
        <v>680</v>
      </c>
      <c r="J403" s="81" t="s">
        <v>4</v>
      </c>
      <c r="K403" s="75" t="s">
        <v>187</v>
      </c>
      <c r="L403" s="76">
        <v>0.7</v>
      </c>
      <c r="M403" s="58">
        <v>474.9</v>
      </c>
      <c r="N403" s="58">
        <v>332.4</v>
      </c>
      <c r="O403" s="47">
        <f t="shared" si="105"/>
        <v>0.7</v>
      </c>
      <c r="P403" s="47">
        <f t="shared" si="106"/>
        <v>0.7</v>
      </c>
      <c r="Q403" s="47">
        <f t="shared" si="107"/>
        <v>474.9</v>
      </c>
      <c r="R403" s="47">
        <f t="shared" si="108"/>
        <v>474.9</v>
      </c>
      <c r="S403" s="47">
        <f t="shared" si="111"/>
        <v>0.7</v>
      </c>
      <c r="T403" s="47">
        <f t="shared" si="112"/>
        <v>0.7</v>
      </c>
      <c r="U403" s="47">
        <f t="shared" si="109"/>
        <v>332.4</v>
      </c>
      <c r="V403" s="47">
        <f t="shared" si="110"/>
        <v>332.4</v>
      </c>
      <c r="W403" s="98">
        <f t="shared" si="113"/>
        <v>332.4</v>
      </c>
      <c r="X403" s="98">
        <f t="shared" si="114"/>
        <v>0.7</v>
      </c>
      <c r="AB403" s="42" t="s">
        <v>187</v>
      </c>
      <c r="BG403"/>
      <c r="BH403"/>
      <c r="BI403"/>
      <c r="BJ403"/>
      <c r="BK403"/>
      <c r="BL403"/>
      <c r="BM403"/>
      <c r="BN403"/>
      <c r="BO403"/>
      <c r="BP403"/>
      <c r="BQ403"/>
      <c r="BR403"/>
      <c r="BS403"/>
    </row>
    <row r="404" spans="1:71" ht="16.5" x14ac:dyDescent="0.3">
      <c r="A404" s="38" t="s">
        <v>281</v>
      </c>
      <c r="B404" s="36">
        <v>402</v>
      </c>
      <c r="C404" s="71" t="str">
        <f t="shared" ca="1" si="103"/>
        <v>5년 이내</v>
      </c>
      <c r="D404" s="79">
        <v>44558</v>
      </c>
      <c r="E404" s="72" t="str">
        <f t="shared" si="104"/>
        <v/>
      </c>
      <c r="F404" s="8" t="s">
        <v>1</v>
      </c>
      <c r="G404" s="59" t="s">
        <v>309</v>
      </c>
      <c r="H404" s="59" t="s">
        <v>363</v>
      </c>
      <c r="I404" s="80" t="s">
        <v>616</v>
      </c>
      <c r="J404" s="81" t="s">
        <v>4</v>
      </c>
      <c r="K404" s="75" t="s">
        <v>187</v>
      </c>
      <c r="L404" s="76">
        <v>0.35</v>
      </c>
      <c r="M404" s="58">
        <v>218.4</v>
      </c>
      <c r="N404" s="58">
        <v>76.400000000000006</v>
      </c>
      <c r="O404" s="47">
        <f t="shared" si="105"/>
        <v>0.35</v>
      </c>
      <c r="P404" s="47">
        <f t="shared" si="106"/>
        <v>0.35</v>
      </c>
      <c r="Q404" s="47">
        <f t="shared" si="107"/>
        <v>218.4</v>
      </c>
      <c r="R404" s="47">
        <f t="shared" si="108"/>
        <v>218.4</v>
      </c>
      <c r="S404" s="47" t="str">
        <f t="shared" si="111"/>
        <v/>
      </c>
      <c r="T404" s="47" t="str">
        <f t="shared" si="112"/>
        <v/>
      </c>
      <c r="U404" s="47" t="str">
        <f t="shared" si="109"/>
        <v/>
      </c>
      <c r="V404" s="47" t="str">
        <f t="shared" si="110"/>
        <v/>
      </c>
      <c r="W404" s="98">
        <f t="shared" si="113"/>
        <v>76.400000000000006</v>
      </c>
      <c r="X404" s="98">
        <f t="shared" si="114"/>
        <v>0.35</v>
      </c>
      <c r="AB404" s="42" t="s">
        <v>187</v>
      </c>
      <c r="BG404"/>
      <c r="BH404"/>
      <c r="BI404"/>
      <c r="BJ404"/>
      <c r="BK404"/>
      <c r="BL404"/>
      <c r="BM404"/>
      <c r="BN404"/>
      <c r="BO404"/>
      <c r="BP404"/>
      <c r="BQ404"/>
      <c r="BR404"/>
      <c r="BS404"/>
    </row>
    <row r="405" spans="1:71" ht="16.5" x14ac:dyDescent="0.3">
      <c r="A405" s="38" t="s">
        <v>281</v>
      </c>
      <c r="B405" s="36">
        <v>403</v>
      </c>
      <c r="C405" s="71" t="str">
        <f t="shared" ca="1" si="103"/>
        <v>5년 이내</v>
      </c>
      <c r="D405" s="79">
        <v>44560</v>
      </c>
      <c r="E405" s="72">
        <f t="shared" si="104"/>
        <v>2</v>
      </c>
      <c r="F405" s="8" t="s">
        <v>1</v>
      </c>
      <c r="G405" s="59" t="s">
        <v>309</v>
      </c>
      <c r="H405" s="59" t="s">
        <v>363</v>
      </c>
      <c r="I405" s="80" t="s">
        <v>769</v>
      </c>
      <c r="J405" s="81" t="s">
        <v>4</v>
      </c>
      <c r="K405" s="75" t="s">
        <v>187</v>
      </c>
      <c r="L405" s="76">
        <v>0.47</v>
      </c>
      <c r="M405" s="58">
        <v>1192</v>
      </c>
      <c r="N405" s="58">
        <v>560.20000000000005</v>
      </c>
      <c r="O405" s="47">
        <f t="shared" si="105"/>
        <v>0.47</v>
      </c>
      <c r="P405" s="47">
        <f t="shared" si="106"/>
        <v>0.47</v>
      </c>
      <c r="Q405" s="47">
        <f t="shared" si="107"/>
        <v>1192</v>
      </c>
      <c r="R405" s="47">
        <f t="shared" si="108"/>
        <v>1192</v>
      </c>
      <c r="S405" s="47">
        <f t="shared" si="111"/>
        <v>0.47</v>
      </c>
      <c r="T405" s="47">
        <f t="shared" si="112"/>
        <v>0.47</v>
      </c>
      <c r="U405" s="47">
        <f t="shared" si="109"/>
        <v>560.20000000000005</v>
      </c>
      <c r="V405" s="47">
        <f t="shared" si="110"/>
        <v>560.20000000000005</v>
      </c>
      <c r="W405" s="98">
        <f t="shared" si="113"/>
        <v>560.20000000000005</v>
      </c>
      <c r="X405" s="98">
        <f t="shared" si="114"/>
        <v>0.47</v>
      </c>
      <c r="AB405" s="42" t="s">
        <v>187</v>
      </c>
      <c r="AE405" s="42" t="s">
        <v>24</v>
      </c>
      <c r="BG405"/>
      <c r="BH405"/>
      <c r="BI405"/>
      <c r="BJ405"/>
      <c r="BK405"/>
      <c r="BL405"/>
      <c r="BM405"/>
      <c r="BN405"/>
      <c r="BO405"/>
      <c r="BP405"/>
      <c r="BQ405"/>
      <c r="BR405"/>
      <c r="BS405"/>
    </row>
    <row r="406" spans="1:71" ht="16.5" x14ac:dyDescent="0.3">
      <c r="A406" s="38" t="s">
        <v>281</v>
      </c>
      <c r="B406" s="36">
        <v>404</v>
      </c>
      <c r="C406" s="71" t="str">
        <f t="shared" ca="1" si="103"/>
        <v>5년 이내</v>
      </c>
      <c r="D406" s="79">
        <v>44563</v>
      </c>
      <c r="E406" s="72">
        <f t="shared" si="104"/>
        <v>2</v>
      </c>
      <c r="F406" s="8" t="s">
        <v>1</v>
      </c>
      <c r="G406" s="59" t="s">
        <v>68</v>
      </c>
      <c r="H406" s="59" t="s">
        <v>475</v>
      </c>
      <c r="I406" s="80" t="s">
        <v>647</v>
      </c>
      <c r="J406" s="81" t="s">
        <v>4</v>
      </c>
      <c r="K406" s="75" t="s">
        <v>187</v>
      </c>
      <c r="L406" s="76">
        <v>0.89</v>
      </c>
      <c r="M406" s="58">
        <v>1006.6</v>
      </c>
      <c r="N406" s="58">
        <v>895.8</v>
      </c>
      <c r="O406" s="47">
        <f t="shared" si="105"/>
        <v>0.89</v>
      </c>
      <c r="P406" s="47">
        <f t="shared" si="106"/>
        <v>0.89</v>
      </c>
      <c r="Q406" s="47">
        <f t="shared" si="107"/>
        <v>1006.6</v>
      </c>
      <c r="R406" s="47">
        <f t="shared" si="108"/>
        <v>1006.6</v>
      </c>
      <c r="S406" s="47">
        <f t="shared" si="111"/>
        <v>0.89</v>
      </c>
      <c r="T406" s="47">
        <f t="shared" si="112"/>
        <v>0.89</v>
      </c>
      <c r="U406" s="47">
        <f t="shared" si="109"/>
        <v>895.8</v>
      </c>
      <c r="V406" s="47">
        <f t="shared" si="110"/>
        <v>895.8</v>
      </c>
      <c r="W406" s="98">
        <f t="shared" si="113"/>
        <v>895.8</v>
      </c>
      <c r="X406" s="98">
        <f t="shared" si="114"/>
        <v>0.89</v>
      </c>
      <c r="AB406" s="42" t="s">
        <v>187</v>
      </c>
      <c r="BG406"/>
      <c r="BH406"/>
      <c r="BI406"/>
      <c r="BJ406"/>
      <c r="BK406"/>
      <c r="BL406"/>
      <c r="BM406"/>
      <c r="BN406"/>
      <c r="BO406"/>
      <c r="BP406"/>
      <c r="BQ406"/>
      <c r="BR406"/>
      <c r="BS406"/>
    </row>
    <row r="407" spans="1:71" ht="16.5" x14ac:dyDescent="0.3">
      <c r="A407" s="38" t="s">
        <v>281</v>
      </c>
      <c r="B407" s="36">
        <v>405</v>
      </c>
      <c r="C407" s="71" t="str">
        <f t="shared" ca="1" si="103"/>
        <v>5년 이내</v>
      </c>
      <c r="D407" s="79">
        <v>44612</v>
      </c>
      <c r="E407" s="72">
        <f t="shared" si="104"/>
        <v>2</v>
      </c>
      <c r="F407" s="8" t="s">
        <v>1</v>
      </c>
      <c r="G407" s="59" t="s">
        <v>17</v>
      </c>
      <c r="H407" s="66" t="s">
        <v>139</v>
      </c>
      <c r="I407" s="80" t="s">
        <v>689</v>
      </c>
      <c r="J407" s="81" t="s">
        <v>4</v>
      </c>
      <c r="K407" s="75" t="s">
        <v>187</v>
      </c>
      <c r="L407" s="76">
        <v>0.51</v>
      </c>
      <c r="M407" s="58">
        <v>550.1</v>
      </c>
      <c r="N407" s="58">
        <v>279</v>
      </c>
      <c r="O407" s="47">
        <f t="shared" si="105"/>
        <v>0.51</v>
      </c>
      <c r="P407" s="47">
        <f t="shared" si="106"/>
        <v>0.51</v>
      </c>
      <c r="Q407" s="47">
        <f t="shared" si="107"/>
        <v>550.1</v>
      </c>
      <c r="R407" s="47">
        <f t="shared" si="108"/>
        <v>550.1</v>
      </c>
      <c r="S407" s="47">
        <f t="shared" si="111"/>
        <v>0.51</v>
      </c>
      <c r="T407" s="47">
        <f t="shared" si="112"/>
        <v>0.51</v>
      </c>
      <c r="U407" s="47">
        <f t="shared" si="109"/>
        <v>279</v>
      </c>
      <c r="V407" s="47">
        <f t="shared" si="110"/>
        <v>279</v>
      </c>
      <c r="W407" s="98">
        <f t="shared" si="113"/>
        <v>279</v>
      </c>
      <c r="X407" s="98">
        <f t="shared" si="114"/>
        <v>0.51</v>
      </c>
      <c r="AB407" s="42" t="s">
        <v>187</v>
      </c>
      <c r="BG407"/>
      <c r="BH407"/>
      <c r="BI407"/>
      <c r="BJ407"/>
      <c r="BK407"/>
      <c r="BL407"/>
      <c r="BM407"/>
      <c r="BN407"/>
      <c r="BO407"/>
      <c r="BP407"/>
      <c r="BQ407"/>
      <c r="BR407"/>
      <c r="BS407"/>
    </row>
    <row r="408" spans="1:71" ht="16.5" x14ac:dyDescent="0.3">
      <c r="A408" s="38" t="s">
        <v>281</v>
      </c>
      <c r="B408" s="36">
        <v>406</v>
      </c>
      <c r="C408" s="71" t="str">
        <f t="shared" ca="1" si="103"/>
        <v>5년 이내</v>
      </c>
      <c r="D408" s="79">
        <v>44666</v>
      </c>
      <c r="E408" s="72">
        <f t="shared" si="104"/>
        <v>2</v>
      </c>
      <c r="F408" s="8" t="s">
        <v>1</v>
      </c>
      <c r="G408" s="59" t="s">
        <v>68</v>
      </c>
      <c r="H408" s="59" t="s">
        <v>676</v>
      </c>
      <c r="I408" s="80" t="s">
        <v>677</v>
      </c>
      <c r="J408" s="81" t="s">
        <v>4</v>
      </c>
      <c r="K408" s="75" t="s">
        <v>187</v>
      </c>
      <c r="L408" s="76">
        <v>0.7</v>
      </c>
      <c r="M408" s="58">
        <v>500</v>
      </c>
      <c r="N408" s="58">
        <v>350</v>
      </c>
      <c r="O408" s="47">
        <f t="shared" si="105"/>
        <v>0.7</v>
      </c>
      <c r="P408" s="47">
        <f t="shared" si="106"/>
        <v>0.7</v>
      </c>
      <c r="Q408" s="47">
        <f t="shared" si="107"/>
        <v>500</v>
      </c>
      <c r="R408" s="47">
        <f t="shared" si="108"/>
        <v>500</v>
      </c>
      <c r="S408" s="47">
        <f t="shared" si="111"/>
        <v>0.7</v>
      </c>
      <c r="T408" s="47">
        <f t="shared" si="112"/>
        <v>0.7</v>
      </c>
      <c r="U408" s="47">
        <f t="shared" si="109"/>
        <v>350</v>
      </c>
      <c r="V408" s="47">
        <f t="shared" si="110"/>
        <v>350</v>
      </c>
      <c r="W408" s="98">
        <f t="shared" si="113"/>
        <v>350</v>
      </c>
      <c r="X408" s="98">
        <f t="shared" si="114"/>
        <v>0.7</v>
      </c>
      <c r="AB408" s="42" t="s">
        <v>187</v>
      </c>
      <c r="BG408"/>
      <c r="BH408"/>
      <c r="BI408"/>
      <c r="BJ408"/>
      <c r="BK408"/>
      <c r="BL408"/>
      <c r="BM408"/>
      <c r="BN408"/>
      <c r="BO408"/>
      <c r="BP408"/>
      <c r="BQ408"/>
      <c r="BR408"/>
      <c r="BS408"/>
    </row>
    <row r="409" spans="1:71" ht="16.5" x14ac:dyDescent="0.3">
      <c r="A409" s="38" t="s">
        <v>281</v>
      </c>
      <c r="B409" s="36">
        <v>407</v>
      </c>
      <c r="C409" s="71" t="str">
        <f t="shared" ca="1" si="103"/>
        <v>5년 이내</v>
      </c>
      <c r="D409" s="79">
        <v>44667</v>
      </c>
      <c r="E409" s="72">
        <f t="shared" si="104"/>
        <v>2</v>
      </c>
      <c r="F409" s="8" t="s">
        <v>1</v>
      </c>
      <c r="G409" s="59" t="s">
        <v>383</v>
      </c>
      <c r="H409" s="59" t="s">
        <v>678</v>
      </c>
      <c r="I409" s="80" t="s">
        <v>677</v>
      </c>
      <c r="J409" s="81" t="s">
        <v>4</v>
      </c>
      <c r="K409" s="75" t="s">
        <v>187</v>
      </c>
      <c r="L409" s="76">
        <v>0.7</v>
      </c>
      <c r="M409" s="58">
        <v>500</v>
      </c>
      <c r="N409" s="58">
        <v>350</v>
      </c>
      <c r="O409" s="47">
        <f t="shared" si="105"/>
        <v>0.7</v>
      </c>
      <c r="P409" s="47">
        <f t="shared" si="106"/>
        <v>0.7</v>
      </c>
      <c r="Q409" s="47">
        <f t="shared" si="107"/>
        <v>500</v>
      </c>
      <c r="R409" s="47">
        <f t="shared" si="108"/>
        <v>500</v>
      </c>
      <c r="S409" s="47">
        <f t="shared" si="111"/>
        <v>0.7</v>
      </c>
      <c r="T409" s="47">
        <f t="shared" si="112"/>
        <v>0.7</v>
      </c>
      <c r="U409" s="47">
        <f t="shared" si="109"/>
        <v>350</v>
      </c>
      <c r="V409" s="47">
        <f t="shared" si="110"/>
        <v>350</v>
      </c>
      <c r="W409" s="98">
        <f t="shared" si="113"/>
        <v>350</v>
      </c>
      <c r="X409" s="98">
        <f t="shared" si="114"/>
        <v>0.7</v>
      </c>
      <c r="AB409" s="42" t="s">
        <v>187</v>
      </c>
      <c r="BG409"/>
      <c r="BH409"/>
      <c r="BI409"/>
      <c r="BJ409"/>
      <c r="BK409"/>
      <c r="BL409"/>
      <c r="BM409"/>
      <c r="BN409"/>
      <c r="BO409"/>
      <c r="BP409"/>
      <c r="BQ409"/>
      <c r="BR409"/>
      <c r="BS409"/>
    </row>
    <row r="410" spans="1:71" ht="16.5" x14ac:dyDescent="0.3">
      <c r="A410" s="38" t="s">
        <v>281</v>
      </c>
      <c r="B410" s="36">
        <v>408</v>
      </c>
      <c r="C410" s="71" t="str">
        <f t="shared" ca="1" si="103"/>
        <v>5년 이내</v>
      </c>
      <c r="D410" s="79">
        <v>44673</v>
      </c>
      <c r="E410" s="72">
        <f t="shared" si="104"/>
        <v>2</v>
      </c>
      <c r="F410" s="8" t="s">
        <v>1</v>
      </c>
      <c r="G410" s="59" t="s">
        <v>68</v>
      </c>
      <c r="H410" s="59" t="s">
        <v>468</v>
      </c>
      <c r="I410" s="80" t="s">
        <v>660</v>
      </c>
      <c r="J410" s="81" t="s">
        <v>4</v>
      </c>
      <c r="K410" s="75" t="s">
        <v>187</v>
      </c>
      <c r="L410" s="76">
        <v>0.66</v>
      </c>
      <c r="M410" s="58">
        <v>685.9</v>
      </c>
      <c r="N410" s="58">
        <v>452.7</v>
      </c>
      <c r="O410" s="47">
        <f t="shared" si="105"/>
        <v>0.66</v>
      </c>
      <c r="P410" s="47">
        <f t="shared" si="106"/>
        <v>0.66</v>
      </c>
      <c r="Q410" s="47">
        <f t="shared" si="107"/>
        <v>685.9</v>
      </c>
      <c r="R410" s="47">
        <f t="shared" si="108"/>
        <v>685.9</v>
      </c>
      <c r="S410" s="47">
        <f t="shared" si="111"/>
        <v>0.66</v>
      </c>
      <c r="T410" s="47">
        <f t="shared" si="112"/>
        <v>0.66</v>
      </c>
      <c r="U410" s="47">
        <f t="shared" si="109"/>
        <v>452.7</v>
      </c>
      <c r="V410" s="47">
        <f t="shared" si="110"/>
        <v>452.7</v>
      </c>
      <c r="W410" s="98">
        <f t="shared" si="113"/>
        <v>452.7</v>
      </c>
      <c r="X410" s="98">
        <f t="shared" si="114"/>
        <v>0.66</v>
      </c>
      <c r="AB410" s="42" t="s">
        <v>187</v>
      </c>
      <c r="BG410"/>
      <c r="BH410"/>
      <c r="BI410"/>
      <c r="BJ410"/>
      <c r="BK410"/>
      <c r="BL410"/>
      <c r="BM410"/>
      <c r="BN410"/>
      <c r="BO410"/>
      <c r="BP410"/>
      <c r="BQ410"/>
      <c r="BR410"/>
      <c r="BS410"/>
    </row>
    <row r="411" spans="1:71" ht="16.5" x14ac:dyDescent="0.3">
      <c r="A411" s="38" t="s">
        <v>281</v>
      </c>
      <c r="B411" s="36">
        <v>409</v>
      </c>
      <c r="C411" s="71" t="str">
        <f t="shared" ca="1" si="103"/>
        <v>5년 이내</v>
      </c>
      <c r="D411" s="79">
        <v>44677</v>
      </c>
      <c r="E411" s="72">
        <f t="shared" si="104"/>
        <v>1</v>
      </c>
      <c r="F411" s="8" t="s">
        <v>1</v>
      </c>
      <c r="G411" s="59" t="s">
        <v>309</v>
      </c>
      <c r="H411" s="59" t="s">
        <v>363</v>
      </c>
      <c r="I411" s="80" t="s">
        <v>727</v>
      </c>
      <c r="J411" s="81" t="s">
        <v>4</v>
      </c>
      <c r="K411" s="75" t="s">
        <v>187</v>
      </c>
      <c r="L411" s="76">
        <v>0.49</v>
      </c>
      <c r="M411" s="58">
        <v>259.7</v>
      </c>
      <c r="N411" s="58">
        <v>127.2</v>
      </c>
      <c r="O411" s="47">
        <f t="shared" si="105"/>
        <v>0.49</v>
      </c>
      <c r="P411" s="47">
        <f t="shared" si="106"/>
        <v>0.49</v>
      </c>
      <c r="Q411" s="47">
        <f t="shared" si="107"/>
        <v>259.7</v>
      </c>
      <c r="R411" s="47">
        <f t="shared" si="108"/>
        <v>259.7</v>
      </c>
      <c r="S411" s="47">
        <f t="shared" si="111"/>
        <v>0.49</v>
      </c>
      <c r="T411" s="47" t="str">
        <f t="shared" si="112"/>
        <v/>
      </c>
      <c r="U411" s="47">
        <f t="shared" si="109"/>
        <v>127.2</v>
      </c>
      <c r="V411" s="47" t="str">
        <f t="shared" si="110"/>
        <v/>
      </c>
      <c r="W411" s="98">
        <f t="shared" si="113"/>
        <v>127.2</v>
      </c>
      <c r="X411" s="98">
        <f t="shared" si="114"/>
        <v>0.49</v>
      </c>
      <c r="AB411" s="42" t="s">
        <v>187</v>
      </c>
      <c r="AE411" s="42" t="s">
        <v>24</v>
      </c>
      <c r="BG411"/>
      <c r="BH411"/>
      <c r="BI411"/>
      <c r="BJ411"/>
      <c r="BK411"/>
      <c r="BL411"/>
      <c r="BM411"/>
      <c r="BN411"/>
      <c r="BO411"/>
      <c r="BP411"/>
      <c r="BQ411"/>
      <c r="BR411"/>
      <c r="BS411"/>
    </row>
    <row r="412" spans="1:71" ht="16.5" x14ac:dyDescent="0.3">
      <c r="A412" s="38" t="s">
        <v>281</v>
      </c>
      <c r="B412" s="36">
        <v>410</v>
      </c>
      <c r="C412" s="71" t="str">
        <f t="shared" ca="1" si="103"/>
        <v>5년 이내</v>
      </c>
      <c r="D412" s="79">
        <v>44677</v>
      </c>
      <c r="E412" s="72">
        <f t="shared" si="104"/>
        <v>1</v>
      </c>
      <c r="F412" s="8" t="s">
        <v>1</v>
      </c>
      <c r="G412" s="59" t="s">
        <v>231</v>
      </c>
      <c r="H412" s="59" t="s">
        <v>232</v>
      </c>
      <c r="I412" s="80" t="s">
        <v>727</v>
      </c>
      <c r="J412" s="81" t="s">
        <v>4</v>
      </c>
      <c r="K412" s="75" t="s">
        <v>187</v>
      </c>
      <c r="L412" s="76">
        <v>0.49</v>
      </c>
      <c r="M412" s="58">
        <v>259.7</v>
      </c>
      <c r="N412" s="58">
        <v>127.2</v>
      </c>
      <c r="O412" s="47">
        <f t="shared" si="105"/>
        <v>0.49</v>
      </c>
      <c r="P412" s="47">
        <f t="shared" si="106"/>
        <v>0.49</v>
      </c>
      <c r="Q412" s="47">
        <f t="shared" si="107"/>
        <v>259.7</v>
      </c>
      <c r="R412" s="47">
        <f t="shared" si="108"/>
        <v>259.7</v>
      </c>
      <c r="S412" s="47">
        <f t="shared" si="111"/>
        <v>0.49</v>
      </c>
      <c r="T412" s="47" t="str">
        <f t="shared" si="112"/>
        <v/>
      </c>
      <c r="U412" s="47">
        <f t="shared" si="109"/>
        <v>127.2</v>
      </c>
      <c r="V412" s="47" t="str">
        <f t="shared" si="110"/>
        <v/>
      </c>
      <c r="W412" s="98">
        <f t="shared" si="113"/>
        <v>127.2</v>
      </c>
      <c r="X412" s="98">
        <f t="shared" si="114"/>
        <v>0.49</v>
      </c>
      <c r="AB412" s="42" t="s">
        <v>187</v>
      </c>
      <c r="AE412" s="42" t="s">
        <v>24</v>
      </c>
      <c r="BG412"/>
      <c r="BH412"/>
      <c r="BI412"/>
      <c r="BJ412"/>
      <c r="BK412"/>
      <c r="BL412"/>
      <c r="BM412"/>
      <c r="BN412"/>
      <c r="BO412"/>
      <c r="BP412"/>
      <c r="BQ412"/>
      <c r="BR412"/>
      <c r="BS412"/>
    </row>
    <row r="413" spans="1:71" ht="16.5" x14ac:dyDescent="0.3">
      <c r="A413" s="38" t="s">
        <v>281</v>
      </c>
      <c r="B413" s="36">
        <v>411</v>
      </c>
      <c r="C413" s="71" t="str">
        <f t="shared" ca="1" si="103"/>
        <v>5년 이내</v>
      </c>
      <c r="D413" s="79">
        <v>44678</v>
      </c>
      <c r="E413" s="72">
        <f t="shared" si="104"/>
        <v>2</v>
      </c>
      <c r="F413" s="8" t="s">
        <v>1</v>
      </c>
      <c r="G413" s="59" t="s">
        <v>253</v>
      </c>
      <c r="H413" s="59" t="s">
        <v>529</v>
      </c>
      <c r="I413" s="80" t="s">
        <v>691</v>
      </c>
      <c r="J413" s="81" t="s">
        <v>4</v>
      </c>
      <c r="K413" s="75" t="s">
        <v>187</v>
      </c>
      <c r="L413" s="76">
        <v>1</v>
      </c>
      <c r="M413" s="58">
        <v>1076.9000000000001</v>
      </c>
      <c r="N413" s="58">
        <v>1076.9000000000001</v>
      </c>
      <c r="O413" s="47">
        <f t="shared" si="105"/>
        <v>1</v>
      </c>
      <c r="P413" s="47">
        <f t="shared" si="106"/>
        <v>1</v>
      </c>
      <c r="Q413" s="47">
        <f t="shared" si="107"/>
        <v>1076.9000000000001</v>
      </c>
      <c r="R413" s="47">
        <f t="shared" si="108"/>
        <v>1076.9000000000001</v>
      </c>
      <c r="S413" s="47">
        <f t="shared" si="111"/>
        <v>1</v>
      </c>
      <c r="T413" s="47">
        <f t="shared" si="112"/>
        <v>1</v>
      </c>
      <c r="U413" s="47">
        <f t="shared" si="109"/>
        <v>1076.9000000000001</v>
      </c>
      <c r="V413" s="47">
        <f t="shared" si="110"/>
        <v>1076.9000000000001</v>
      </c>
      <c r="W413" s="98">
        <f t="shared" si="113"/>
        <v>1076.9000000000001</v>
      </c>
      <c r="X413" s="98">
        <f t="shared" si="114"/>
        <v>1</v>
      </c>
      <c r="AB413" s="42" t="s">
        <v>187</v>
      </c>
      <c r="BG413"/>
      <c r="BH413"/>
      <c r="BI413"/>
      <c r="BJ413"/>
      <c r="BK413"/>
      <c r="BL413"/>
      <c r="BM413"/>
      <c r="BN413"/>
      <c r="BO413"/>
      <c r="BP413"/>
      <c r="BQ413"/>
      <c r="BR413"/>
      <c r="BS413"/>
    </row>
    <row r="414" spans="1:71" ht="16.5" x14ac:dyDescent="0.3">
      <c r="A414" s="38" t="s">
        <v>281</v>
      </c>
      <c r="B414" s="36">
        <v>412</v>
      </c>
      <c r="C414" s="71" t="str">
        <f t="shared" ca="1" si="103"/>
        <v>5년 이내</v>
      </c>
      <c r="D414" s="79">
        <v>44721</v>
      </c>
      <c r="E414" s="72">
        <f t="shared" si="104"/>
        <v>2</v>
      </c>
      <c r="F414" s="8" t="s">
        <v>1</v>
      </c>
      <c r="G414" s="59" t="s">
        <v>68</v>
      </c>
      <c r="H414" s="59" t="s">
        <v>475</v>
      </c>
      <c r="I414" s="80" t="s">
        <v>730</v>
      </c>
      <c r="J414" s="81" t="s">
        <v>4</v>
      </c>
      <c r="K414" s="75" t="s">
        <v>187</v>
      </c>
      <c r="L414" s="76">
        <v>0.7</v>
      </c>
      <c r="M414" s="58">
        <v>1735</v>
      </c>
      <c r="N414" s="58">
        <v>1048.4000000000001</v>
      </c>
      <c r="O414" s="47">
        <f t="shared" si="105"/>
        <v>0.7</v>
      </c>
      <c r="P414" s="47">
        <f t="shared" si="106"/>
        <v>0.7</v>
      </c>
      <c r="Q414" s="47">
        <f t="shared" si="107"/>
        <v>1735</v>
      </c>
      <c r="R414" s="47">
        <f t="shared" si="108"/>
        <v>1735</v>
      </c>
      <c r="S414" s="47">
        <f t="shared" si="111"/>
        <v>0.7</v>
      </c>
      <c r="T414" s="47">
        <f t="shared" si="112"/>
        <v>0.7</v>
      </c>
      <c r="U414" s="47">
        <f t="shared" si="109"/>
        <v>1048.4000000000001</v>
      </c>
      <c r="V414" s="47">
        <f t="shared" si="110"/>
        <v>1048.4000000000001</v>
      </c>
      <c r="W414" s="98">
        <f t="shared" si="113"/>
        <v>1048.4000000000001</v>
      </c>
      <c r="X414" s="98">
        <f t="shared" si="114"/>
        <v>0.7</v>
      </c>
      <c r="AB414" s="42" t="s">
        <v>187</v>
      </c>
      <c r="AE414" s="42" t="s">
        <v>24</v>
      </c>
      <c r="BG414"/>
      <c r="BH414"/>
      <c r="BI414"/>
      <c r="BJ414"/>
      <c r="BK414"/>
      <c r="BL414"/>
      <c r="BM414"/>
      <c r="BN414"/>
      <c r="BO414"/>
      <c r="BP414"/>
      <c r="BQ414"/>
      <c r="BR414"/>
      <c r="BS414"/>
    </row>
    <row r="415" spans="1:71" ht="16.5" x14ac:dyDescent="0.3">
      <c r="A415" s="38" t="s">
        <v>281</v>
      </c>
      <c r="B415" s="36">
        <v>413</v>
      </c>
      <c r="C415" s="71" t="str">
        <f t="shared" ca="1" si="103"/>
        <v>5년 이내</v>
      </c>
      <c r="D415" s="79">
        <v>44722</v>
      </c>
      <c r="E415" s="72">
        <f t="shared" si="104"/>
        <v>2</v>
      </c>
      <c r="F415" s="8" t="s">
        <v>1</v>
      </c>
      <c r="G415" s="59" t="s">
        <v>68</v>
      </c>
      <c r="H415" s="59" t="s">
        <v>711</v>
      </c>
      <c r="I415" s="80" t="s">
        <v>731</v>
      </c>
      <c r="J415" s="81" t="s">
        <v>4</v>
      </c>
      <c r="K415" s="75" t="s">
        <v>187</v>
      </c>
      <c r="L415" s="76">
        <v>0.7</v>
      </c>
      <c r="M415" s="58">
        <v>1735</v>
      </c>
      <c r="N415" s="58">
        <v>1048.4000000000001</v>
      </c>
      <c r="O415" s="47">
        <f t="shared" si="105"/>
        <v>0.7</v>
      </c>
      <c r="P415" s="47">
        <f t="shared" si="106"/>
        <v>0.7</v>
      </c>
      <c r="Q415" s="47">
        <f t="shared" si="107"/>
        <v>1735</v>
      </c>
      <c r="R415" s="47">
        <f t="shared" si="108"/>
        <v>1735</v>
      </c>
      <c r="S415" s="47">
        <f t="shared" si="111"/>
        <v>0.7</v>
      </c>
      <c r="T415" s="47">
        <f t="shared" si="112"/>
        <v>0.7</v>
      </c>
      <c r="U415" s="47">
        <f t="shared" si="109"/>
        <v>1048.4000000000001</v>
      </c>
      <c r="V415" s="47">
        <f t="shared" si="110"/>
        <v>1048.4000000000001</v>
      </c>
      <c r="W415" s="98">
        <f t="shared" si="113"/>
        <v>1048.4000000000001</v>
      </c>
      <c r="X415" s="98">
        <f t="shared" si="114"/>
        <v>0.7</v>
      </c>
      <c r="AB415" s="42" t="s">
        <v>187</v>
      </c>
      <c r="AE415" s="42" t="s">
        <v>24</v>
      </c>
      <c r="BG415"/>
      <c r="BH415"/>
      <c r="BI415"/>
      <c r="BJ415"/>
      <c r="BK415"/>
      <c r="BL415"/>
      <c r="BM415"/>
      <c r="BN415"/>
      <c r="BO415"/>
      <c r="BP415"/>
      <c r="BQ415"/>
      <c r="BR415"/>
      <c r="BS415"/>
    </row>
    <row r="416" spans="1:71" ht="16.5" x14ac:dyDescent="0.3">
      <c r="A416" s="38" t="s">
        <v>281</v>
      </c>
      <c r="B416" s="36">
        <v>414</v>
      </c>
      <c r="C416" s="71" t="str">
        <f t="shared" ca="1" si="103"/>
        <v>5년 이내</v>
      </c>
      <c r="D416" s="79">
        <v>44736</v>
      </c>
      <c r="E416" s="72">
        <f t="shared" si="104"/>
        <v>2</v>
      </c>
      <c r="F416" s="8" t="s">
        <v>1</v>
      </c>
      <c r="G416" s="59" t="s">
        <v>78</v>
      </c>
      <c r="H416" s="59" t="s">
        <v>609</v>
      </c>
      <c r="I416" s="80" t="s">
        <v>610</v>
      </c>
      <c r="J416" s="81" t="s">
        <v>4</v>
      </c>
      <c r="K416" s="75" t="s">
        <v>187</v>
      </c>
      <c r="L416" s="76">
        <v>0.65</v>
      </c>
      <c r="M416" s="58">
        <v>314.39999999999998</v>
      </c>
      <c r="N416" s="58">
        <v>204.3</v>
      </c>
      <c r="O416" s="47">
        <f t="shared" si="105"/>
        <v>0.65</v>
      </c>
      <c r="P416" s="47">
        <f t="shared" si="106"/>
        <v>0.65</v>
      </c>
      <c r="Q416" s="47">
        <f t="shared" si="107"/>
        <v>314.39999999999998</v>
      </c>
      <c r="R416" s="47">
        <f t="shared" si="108"/>
        <v>314.39999999999998</v>
      </c>
      <c r="S416" s="47">
        <f t="shared" si="111"/>
        <v>0.65</v>
      </c>
      <c r="T416" s="47">
        <f t="shared" si="112"/>
        <v>0.65</v>
      </c>
      <c r="U416" s="47">
        <f t="shared" si="109"/>
        <v>204.3</v>
      </c>
      <c r="V416" s="47">
        <f t="shared" si="110"/>
        <v>204.3</v>
      </c>
      <c r="W416" s="98">
        <f t="shared" si="113"/>
        <v>204.3</v>
      </c>
      <c r="X416" s="98">
        <f t="shared" si="114"/>
        <v>0.65</v>
      </c>
      <c r="AB416" s="42" t="s">
        <v>187</v>
      </c>
      <c r="BG416"/>
      <c r="BH416"/>
      <c r="BI416"/>
      <c r="BJ416"/>
      <c r="BK416"/>
      <c r="BL416"/>
      <c r="BM416"/>
      <c r="BN416"/>
      <c r="BO416"/>
      <c r="BP416"/>
      <c r="BQ416"/>
      <c r="BR416"/>
      <c r="BS416"/>
    </row>
    <row r="417" spans="1:71" ht="16.5" x14ac:dyDescent="0.3">
      <c r="A417" s="38" t="s">
        <v>281</v>
      </c>
      <c r="B417" s="36">
        <v>415</v>
      </c>
      <c r="C417" s="71" t="str">
        <f t="shared" ca="1" si="103"/>
        <v>5년 이내</v>
      </c>
      <c r="D417" s="79">
        <v>44736</v>
      </c>
      <c r="E417" s="72">
        <f t="shared" si="104"/>
        <v>2</v>
      </c>
      <c r="F417" s="8" t="s">
        <v>1</v>
      </c>
      <c r="G417" s="59" t="s">
        <v>568</v>
      </c>
      <c r="H417" s="59" t="s">
        <v>611</v>
      </c>
      <c r="I417" s="80" t="s">
        <v>610</v>
      </c>
      <c r="J417" s="81" t="s">
        <v>4</v>
      </c>
      <c r="K417" s="75" t="s">
        <v>187</v>
      </c>
      <c r="L417" s="76">
        <v>0.65</v>
      </c>
      <c r="M417" s="58">
        <v>314.39999999999998</v>
      </c>
      <c r="N417" s="58">
        <v>204.3</v>
      </c>
      <c r="O417" s="47">
        <f t="shared" si="105"/>
        <v>0.65</v>
      </c>
      <c r="P417" s="47">
        <f t="shared" si="106"/>
        <v>0.65</v>
      </c>
      <c r="Q417" s="47">
        <f t="shared" si="107"/>
        <v>314.39999999999998</v>
      </c>
      <c r="R417" s="47">
        <f t="shared" si="108"/>
        <v>314.39999999999998</v>
      </c>
      <c r="S417" s="47">
        <f t="shared" si="111"/>
        <v>0.65</v>
      </c>
      <c r="T417" s="47">
        <f t="shared" si="112"/>
        <v>0.65</v>
      </c>
      <c r="U417" s="47">
        <f t="shared" si="109"/>
        <v>204.3</v>
      </c>
      <c r="V417" s="47">
        <f t="shared" si="110"/>
        <v>204.3</v>
      </c>
      <c r="W417" s="98">
        <f t="shared" si="113"/>
        <v>204.3</v>
      </c>
      <c r="X417" s="98">
        <f t="shared" si="114"/>
        <v>0.65</v>
      </c>
      <c r="AB417" s="42" t="s">
        <v>187</v>
      </c>
      <c r="BG417"/>
      <c r="BH417"/>
      <c r="BI417"/>
      <c r="BJ417"/>
      <c r="BK417"/>
      <c r="BL417"/>
      <c r="BM417"/>
      <c r="BN417"/>
      <c r="BO417"/>
      <c r="BP417"/>
      <c r="BQ417"/>
      <c r="BR417"/>
      <c r="BS417"/>
    </row>
    <row r="418" spans="1:71" ht="16.5" x14ac:dyDescent="0.3">
      <c r="A418" s="38" t="s">
        <v>281</v>
      </c>
      <c r="B418" s="36">
        <v>416</v>
      </c>
      <c r="C418" s="71" t="str">
        <f t="shared" ca="1" si="103"/>
        <v>5년 이내</v>
      </c>
      <c r="D418" s="79">
        <v>44769</v>
      </c>
      <c r="E418" s="72">
        <f t="shared" si="104"/>
        <v>2</v>
      </c>
      <c r="F418" s="8" t="s">
        <v>1</v>
      </c>
      <c r="G418" s="59" t="s">
        <v>39</v>
      </c>
      <c r="H418" s="59" t="s">
        <v>55</v>
      </c>
      <c r="I418" s="80" t="s">
        <v>684</v>
      </c>
      <c r="J418" s="81" t="s">
        <v>4</v>
      </c>
      <c r="K418" s="75" t="s">
        <v>187</v>
      </c>
      <c r="L418" s="76">
        <v>0.95</v>
      </c>
      <c r="M418" s="58">
        <v>821.7</v>
      </c>
      <c r="N418" s="58">
        <v>751.3</v>
      </c>
      <c r="O418" s="47">
        <f t="shared" si="105"/>
        <v>0.95</v>
      </c>
      <c r="P418" s="47">
        <f t="shared" si="106"/>
        <v>0.95</v>
      </c>
      <c r="Q418" s="47">
        <f t="shared" si="107"/>
        <v>821.7</v>
      </c>
      <c r="R418" s="47">
        <f t="shared" si="108"/>
        <v>821.7</v>
      </c>
      <c r="S418" s="47">
        <f t="shared" si="111"/>
        <v>0.95</v>
      </c>
      <c r="T418" s="47">
        <f t="shared" si="112"/>
        <v>0.95</v>
      </c>
      <c r="U418" s="47">
        <f t="shared" si="109"/>
        <v>751.3</v>
      </c>
      <c r="V418" s="47">
        <f t="shared" si="110"/>
        <v>751.3</v>
      </c>
      <c r="W418" s="98">
        <f t="shared" si="113"/>
        <v>751.3</v>
      </c>
      <c r="X418" s="98">
        <f t="shared" si="114"/>
        <v>0.95</v>
      </c>
      <c r="AB418" s="42" t="s">
        <v>187</v>
      </c>
      <c r="BG418"/>
      <c r="BH418"/>
      <c r="BI418"/>
      <c r="BJ418"/>
      <c r="BK418"/>
      <c r="BL418"/>
      <c r="BM418"/>
      <c r="BN418"/>
      <c r="BO418"/>
      <c r="BP418"/>
      <c r="BQ418"/>
      <c r="BR418"/>
      <c r="BS418"/>
    </row>
    <row r="419" spans="1:71" ht="16.5" x14ac:dyDescent="0.3">
      <c r="A419" s="38" t="s">
        <v>281</v>
      </c>
      <c r="B419" s="36">
        <v>417</v>
      </c>
      <c r="C419" s="71" t="str">
        <f t="shared" ca="1" si="103"/>
        <v>5년 이내</v>
      </c>
      <c r="D419" s="79">
        <v>44769</v>
      </c>
      <c r="E419" s="72">
        <f t="shared" si="104"/>
        <v>2</v>
      </c>
      <c r="F419" s="8" t="s">
        <v>1</v>
      </c>
      <c r="G419" s="59" t="s">
        <v>39</v>
      </c>
      <c r="H419" s="59" t="s">
        <v>47</v>
      </c>
      <c r="I419" s="80" t="s">
        <v>684</v>
      </c>
      <c r="J419" s="81" t="s">
        <v>4</v>
      </c>
      <c r="K419" s="75" t="s">
        <v>187</v>
      </c>
      <c r="L419" s="76">
        <v>0.95</v>
      </c>
      <c r="M419" s="58">
        <v>821.7</v>
      </c>
      <c r="N419" s="58">
        <v>751.3</v>
      </c>
      <c r="O419" s="47">
        <f t="shared" si="105"/>
        <v>0.95</v>
      </c>
      <c r="P419" s="47">
        <f t="shared" si="106"/>
        <v>0.95</v>
      </c>
      <c r="Q419" s="47">
        <f t="shared" si="107"/>
        <v>821.7</v>
      </c>
      <c r="R419" s="47">
        <f t="shared" si="108"/>
        <v>821.7</v>
      </c>
      <c r="S419" s="47">
        <f t="shared" si="111"/>
        <v>0.95</v>
      </c>
      <c r="T419" s="47">
        <f t="shared" si="112"/>
        <v>0.95</v>
      </c>
      <c r="U419" s="47">
        <f t="shared" si="109"/>
        <v>751.3</v>
      </c>
      <c r="V419" s="47">
        <f t="shared" si="110"/>
        <v>751.3</v>
      </c>
      <c r="W419" s="98">
        <f t="shared" si="113"/>
        <v>751.3</v>
      </c>
      <c r="X419" s="98">
        <f t="shared" si="114"/>
        <v>0.95</v>
      </c>
      <c r="AB419" s="42" t="s">
        <v>187</v>
      </c>
      <c r="BG419"/>
      <c r="BH419"/>
      <c r="BI419"/>
      <c r="BJ419"/>
      <c r="BK419"/>
      <c r="BL419"/>
      <c r="BM419"/>
      <c r="BN419"/>
      <c r="BO419"/>
      <c r="BP419"/>
      <c r="BQ419"/>
      <c r="BR419"/>
      <c r="BS419"/>
    </row>
    <row r="420" spans="1:71" ht="16.5" x14ac:dyDescent="0.3">
      <c r="A420" s="38" t="s">
        <v>281</v>
      </c>
      <c r="B420" s="36">
        <v>418</v>
      </c>
      <c r="C420" s="71" t="str">
        <f t="shared" ca="1" si="103"/>
        <v>5년 이내</v>
      </c>
      <c r="D420" s="79">
        <v>44769</v>
      </c>
      <c r="E420" s="72">
        <f t="shared" si="104"/>
        <v>2</v>
      </c>
      <c r="F420" s="8" t="s">
        <v>1</v>
      </c>
      <c r="G420" s="59" t="s">
        <v>685</v>
      </c>
      <c r="H420" s="59" t="s">
        <v>686</v>
      </c>
      <c r="I420" s="80" t="s">
        <v>684</v>
      </c>
      <c r="J420" s="81" t="s">
        <v>4</v>
      </c>
      <c r="K420" s="75" t="s">
        <v>187</v>
      </c>
      <c r="L420" s="76">
        <v>0.95</v>
      </c>
      <c r="M420" s="58">
        <v>821.7</v>
      </c>
      <c r="N420" s="58">
        <v>751.3</v>
      </c>
      <c r="O420" s="47">
        <f t="shared" si="105"/>
        <v>0.95</v>
      </c>
      <c r="P420" s="47">
        <f t="shared" si="106"/>
        <v>0.95</v>
      </c>
      <c r="Q420" s="47">
        <f t="shared" si="107"/>
        <v>821.7</v>
      </c>
      <c r="R420" s="47">
        <f t="shared" si="108"/>
        <v>821.7</v>
      </c>
      <c r="S420" s="47">
        <f t="shared" si="111"/>
        <v>0.95</v>
      </c>
      <c r="T420" s="47">
        <f t="shared" si="112"/>
        <v>0.95</v>
      </c>
      <c r="U420" s="47">
        <f t="shared" si="109"/>
        <v>751.3</v>
      </c>
      <c r="V420" s="47">
        <f t="shared" si="110"/>
        <v>751.3</v>
      </c>
      <c r="W420" s="98">
        <f t="shared" si="113"/>
        <v>751.3</v>
      </c>
      <c r="X420" s="98">
        <f t="shared" si="114"/>
        <v>0.95</v>
      </c>
      <c r="AB420" s="42" t="s">
        <v>187</v>
      </c>
      <c r="BG420"/>
      <c r="BH420"/>
      <c r="BI420"/>
      <c r="BJ420"/>
      <c r="BK420"/>
      <c r="BL420"/>
      <c r="BM420"/>
      <c r="BN420"/>
      <c r="BO420"/>
      <c r="BP420"/>
      <c r="BQ420"/>
      <c r="BR420"/>
      <c r="BS420"/>
    </row>
    <row r="421" spans="1:71" ht="16.5" x14ac:dyDescent="0.3">
      <c r="A421" s="38" t="s">
        <v>281</v>
      </c>
      <c r="B421" s="36">
        <v>419</v>
      </c>
      <c r="C421" s="71" t="str">
        <f t="shared" ca="1" si="103"/>
        <v>5년 이내</v>
      </c>
      <c r="D421" s="79">
        <v>44871</v>
      </c>
      <c r="E421" s="72">
        <f t="shared" si="104"/>
        <v>2</v>
      </c>
      <c r="F421" s="8" t="s">
        <v>1</v>
      </c>
      <c r="G421" s="59" t="s">
        <v>68</v>
      </c>
      <c r="H421" s="59" t="s">
        <v>475</v>
      </c>
      <c r="I421" s="80" t="s">
        <v>822</v>
      </c>
      <c r="J421" s="81" t="s">
        <v>4</v>
      </c>
      <c r="K421" s="75" t="s">
        <v>187</v>
      </c>
      <c r="L421" s="76">
        <v>0.5</v>
      </c>
      <c r="M421" s="58">
        <v>1101.5</v>
      </c>
      <c r="N421" s="58">
        <v>550.70000000000005</v>
      </c>
      <c r="O421" s="47">
        <f t="shared" si="105"/>
        <v>0.5</v>
      </c>
      <c r="P421" s="47">
        <f t="shared" si="106"/>
        <v>0.5</v>
      </c>
      <c r="Q421" s="47">
        <f t="shared" si="107"/>
        <v>1101.5</v>
      </c>
      <c r="R421" s="47">
        <f t="shared" si="108"/>
        <v>1101.5</v>
      </c>
      <c r="S421" s="47">
        <f t="shared" si="111"/>
        <v>0.5</v>
      </c>
      <c r="T421" s="47">
        <f t="shared" si="112"/>
        <v>0.5</v>
      </c>
      <c r="U421" s="47">
        <f t="shared" si="109"/>
        <v>550.70000000000005</v>
      </c>
      <c r="V421" s="47">
        <f t="shared" si="110"/>
        <v>550.70000000000005</v>
      </c>
      <c r="W421" s="98">
        <f t="shared" si="113"/>
        <v>550.70000000000005</v>
      </c>
      <c r="X421" s="98">
        <f t="shared" si="114"/>
        <v>0.5</v>
      </c>
      <c r="AB421" s="42" t="s">
        <v>187</v>
      </c>
      <c r="BG421"/>
      <c r="BH421"/>
      <c r="BI421"/>
      <c r="BJ421"/>
      <c r="BK421"/>
      <c r="BL421"/>
      <c r="BM421"/>
      <c r="BN421"/>
      <c r="BO421"/>
      <c r="BP421"/>
      <c r="BQ421"/>
      <c r="BR421"/>
      <c r="BS421"/>
    </row>
    <row r="422" spans="1:71" ht="16.5" x14ac:dyDescent="0.3">
      <c r="A422" s="38" t="s">
        <v>281</v>
      </c>
      <c r="B422" s="36">
        <v>420</v>
      </c>
      <c r="C422" s="71" t="str">
        <f t="shared" ca="1" si="103"/>
        <v>5년 이내</v>
      </c>
      <c r="D422" s="79">
        <v>44871</v>
      </c>
      <c r="E422" s="72">
        <f t="shared" si="104"/>
        <v>2</v>
      </c>
      <c r="F422" s="8" t="s">
        <v>1</v>
      </c>
      <c r="G422" s="59" t="s">
        <v>68</v>
      </c>
      <c r="H422" s="59" t="s">
        <v>468</v>
      </c>
      <c r="I422" s="80" t="s">
        <v>823</v>
      </c>
      <c r="J422" s="81" t="s">
        <v>4</v>
      </c>
      <c r="K422" s="75" t="s">
        <v>187</v>
      </c>
      <c r="L422" s="76">
        <v>0.5</v>
      </c>
      <c r="M422" s="58">
        <v>1101.5</v>
      </c>
      <c r="N422" s="58">
        <v>550.70000000000005</v>
      </c>
      <c r="O422" s="47">
        <f t="shared" si="105"/>
        <v>0.5</v>
      </c>
      <c r="P422" s="47">
        <f t="shared" si="106"/>
        <v>0.5</v>
      </c>
      <c r="Q422" s="47">
        <f t="shared" si="107"/>
        <v>1101.5</v>
      </c>
      <c r="R422" s="47">
        <f t="shared" si="108"/>
        <v>1101.5</v>
      </c>
      <c r="S422" s="47">
        <f t="shared" si="111"/>
        <v>0.5</v>
      </c>
      <c r="T422" s="47">
        <f t="shared" si="112"/>
        <v>0.5</v>
      </c>
      <c r="U422" s="47">
        <f t="shared" si="109"/>
        <v>550.70000000000005</v>
      </c>
      <c r="V422" s="47">
        <f t="shared" si="110"/>
        <v>550.70000000000005</v>
      </c>
      <c r="W422" s="98">
        <f t="shared" si="113"/>
        <v>550.70000000000005</v>
      </c>
      <c r="X422" s="98">
        <f t="shared" si="114"/>
        <v>0.5</v>
      </c>
      <c r="AB422" s="42" t="s">
        <v>187</v>
      </c>
      <c r="BG422"/>
      <c r="BH422"/>
      <c r="BI422"/>
      <c r="BJ422"/>
      <c r="BK422"/>
      <c r="BL422"/>
      <c r="BM422"/>
      <c r="BN422"/>
      <c r="BO422"/>
      <c r="BP422"/>
      <c r="BQ422"/>
      <c r="BR422"/>
      <c r="BS422"/>
    </row>
    <row r="423" spans="1:71" ht="16.5" x14ac:dyDescent="0.3">
      <c r="A423" s="38" t="s">
        <v>281</v>
      </c>
      <c r="B423" s="36">
        <v>421</v>
      </c>
      <c r="C423" s="71" t="str">
        <f t="shared" ca="1" si="103"/>
        <v>5년 이내</v>
      </c>
      <c r="D423" s="79">
        <v>44883</v>
      </c>
      <c r="E423" s="72">
        <f t="shared" si="104"/>
        <v>2</v>
      </c>
      <c r="F423" s="8" t="s">
        <v>1</v>
      </c>
      <c r="G423" s="59" t="s">
        <v>68</v>
      </c>
      <c r="H423" s="59" t="s">
        <v>74</v>
      </c>
      <c r="I423" s="41" t="s">
        <v>715</v>
      </c>
      <c r="J423" s="81" t="s">
        <v>4</v>
      </c>
      <c r="K423" s="75" t="s">
        <v>187</v>
      </c>
      <c r="L423" s="76">
        <v>0.53280000000000005</v>
      </c>
      <c r="M423" s="58">
        <v>596.29999999999995</v>
      </c>
      <c r="N423" s="58">
        <v>317.7</v>
      </c>
      <c r="O423" s="47">
        <f t="shared" si="105"/>
        <v>0.53280000000000005</v>
      </c>
      <c r="P423" s="47">
        <f t="shared" si="106"/>
        <v>0.53280000000000005</v>
      </c>
      <c r="Q423" s="47">
        <f t="shared" si="107"/>
        <v>596.29999999999995</v>
      </c>
      <c r="R423" s="47">
        <f t="shared" si="108"/>
        <v>596.29999999999995</v>
      </c>
      <c r="S423" s="47">
        <f t="shared" si="111"/>
        <v>0.53280000000000005</v>
      </c>
      <c r="T423" s="47">
        <f t="shared" si="112"/>
        <v>0.53280000000000005</v>
      </c>
      <c r="U423" s="47">
        <f t="shared" si="109"/>
        <v>317.7</v>
      </c>
      <c r="V423" s="47">
        <f t="shared" si="110"/>
        <v>317.7</v>
      </c>
      <c r="W423" s="98">
        <f t="shared" si="113"/>
        <v>317.7</v>
      </c>
      <c r="X423" s="98">
        <f t="shared" si="114"/>
        <v>0.53280000000000005</v>
      </c>
      <c r="AB423" s="42" t="s">
        <v>187</v>
      </c>
      <c r="AE423" s="42" t="s">
        <v>24</v>
      </c>
      <c r="BG423"/>
      <c r="BH423"/>
      <c r="BI423"/>
      <c r="BJ423"/>
      <c r="BK423"/>
      <c r="BL423"/>
      <c r="BM423"/>
      <c r="BN423"/>
      <c r="BO423"/>
      <c r="BP423"/>
      <c r="BQ423"/>
      <c r="BR423"/>
      <c r="BS423"/>
    </row>
    <row r="424" spans="1:71" ht="16.5" x14ac:dyDescent="0.3">
      <c r="A424" s="38" t="s">
        <v>281</v>
      </c>
      <c r="B424" s="36">
        <v>422</v>
      </c>
      <c r="C424" s="71" t="str">
        <f t="shared" ca="1" si="103"/>
        <v>5년 이내</v>
      </c>
      <c r="D424" s="79">
        <v>44890</v>
      </c>
      <c r="E424" s="72">
        <f t="shared" si="104"/>
        <v>2</v>
      </c>
      <c r="F424" s="8" t="s">
        <v>1</v>
      </c>
      <c r="G424" s="59" t="s">
        <v>68</v>
      </c>
      <c r="H424" s="59" t="s">
        <v>84</v>
      </c>
      <c r="I424" s="80" t="s">
        <v>671</v>
      </c>
      <c r="J424" s="81" t="s">
        <v>4</v>
      </c>
      <c r="K424" s="75" t="s">
        <v>187</v>
      </c>
      <c r="L424" s="76">
        <v>0.5</v>
      </c>
      <c r="M424" s="58">
        <v>924.3</v>
      </c>
      <c r="N424" s="58">
        <v>462.1</v>
      </c>
      <c r="O424" s="47">
        <f t="shared" si="105"/>
        <v>0.5</v>
      </c>
      <c r="P424" s="47">
        <f t="shared" si="106"/>
        <v>0.5</v>
      </c>
      <c r="Q424" s="47">
        <f t="shared" si="107"/>
        <v>924.3</v>
      </c>
      <c r="R424" s="47">
        <f t="shared" si="108"/>
        <v>924.3</v>
      </c>
      <c r="S424" s="47">
        <f t="shared" si="111"/>
        <v>0.5</v>
      </c>
      <c r="T424" s="47">
        <f t="shared" si="112"/>
        <v>0.5</v>
      </c>
      <c r="U424" s="47">
        <f t="shared" si="109"/>
        <v>462.1</v>
      </c>
      <c r="V424" s="47">
        <f t="shared" si="110"/>
        <v>462.1</v>
      </c>
      <c r="W424" s="98">
        <f t="shared" si="113"/>
        <v>462.1</v>
      </c>
      <c r="X424" s="98">
        <f t="shared" si="114"/>
        <v>0.5</v>
      </c>
      <c r="AB424" s="42" t="s">
        <v>187</v>
      </c>
      <c r="BG424"/>
      <c r="BH424"/>
      <c r="BI424"/>
      <c r="BJ424"/>
      <c r="BK424"/>
      <c r="BL424"/>
      <c r="BM424"/>
      <c r="BN424"/>
      <c r="BO424"/>
      <c r="BP424"/>
      <c r="BQ424"/>
      <c r="BR424"/>
      <c r="BS424"/>
    </row>
    <row r="425" spans="1:71" ht="16.5" x14ac:dyDescent="0.3">
      <c r="A425" s="38" t="s">
        <v>281</v>
      </c>
      <c r="B425" s="36">
        <v>423</v>
      </c>
      <c r="C425" s="71" t="str">
        <f t="shared" ca="1" si="103"/>
        <v>5년 이내</v>
      </c>
      <c r="D425" s="79">
        <v>44890</v>
      </c>
      <c r="E425" s="72">
        <f t="shared" si="104"/>
        <v>2</v>
      </c>
      <c r="F425" s="8" t="s">
        <v>1</v>
      </c>
      <c r="G425" s="59" t="s">
        <v>661</v>
      </c>
      <c r="H425" s="59" t="s">
        <v>672</v>
      </c>
      <c r="I425" s="80" t="s">
        <v>671</v>
      </c>
      <c r="J425" s="81" t="s">
        <v>4</v>
      </c>
      <c r="K425" s="75" t="s">
        <v>187</v>
      </c>
      <c r="L425" s="76">
        <v>0.5</v>
      </c>
      <c r="M425" s="58">
        <v>924.3</v>
      </c>
      <c r="N425" s="58">
        <v>462.1</v>
      </c>
      <c r="O425" s="47">
        <f t="shared" si="105"/>
        <v>0.5</v>
      </c>
      <c r="P425" s="47">
        <f t="shared" si="106"/>
        <v>0.5</v>
      </c>
      <c r="Q425" s="47">
        <f t="shared" si="107"/>
        <v>924.3</v>
      </c>
      <c r="R425" s="47">
        <f t="shared" si="108"/>
        <v>924.3</v>
      </c>
      <c r="S425" s="47">
        <f t="shared" si="111"/>
        <v>0.5</v>
      </c>
      <c r="T425" s="47">
        <f t="shared" si="112"/>
        <v>0.5</v>
      </c>
      <c r="U425" s="47">
        <f t="shared" si="109"/>
        <v>462.1</v>
      </c>
      <c r="V425" s="47">
        <f t="shared" si="110"/>
        <v>462.1</v>
      </c>
      <c r="W425" s="98">
        <f t="shared" si="113"/>
        <v>462.1</v>
      </c>
      <c r="X425" s="98">
        <f t="shared" si="114"/>
        <v>0.5</v>
      </c>
      <c r="AB425" s="42" t="s">
        <v>187</v>
      </c>
      <c r="BG425"/>
      <c r="BH425"/>
      <c r="BI425"/>
      <c r="BJ425"/>
      <c r="BK425"/>
      <c r="BL425"/>
      <c r="BM425"/>
      <c r="BN425"/>
      <c r="BO425"/>
      <c r="BP425"/>
      <c r="BQ425"/>
      <c r="BR425"/>
      <c r="BS425"/>
    </row>
    <row r="426" spans="1:71" ht="16.5" x14ac:dyDescent="0.3">
      <c r="A426" s="38" t="s">
        <v>281</v>
      </c>
      <c r="B426" s="36">
        <v>424</v>
      </c>
      <c r="C426" s="71" t="str">
        <f t="shared" ca="1" si="103"/>
        <v>5년 이내</v>
      </c>
      <c r="D426" s="79">
        <v>44890</v>
      </c>
      <c r="E426" s="72">
        <f t="shared" si="104"/>
        <v>2</v>
      </c>
      <c r="F426" s="8" t="s">
        <v>1</v>
      </c>
      <c r="G426" s="59" t="s">
        <v>253</v>
      </c>
      <c r="H426" s="59" t="s">
        <v>673</v>
      </c>
      <c r="I426" s="80" t="s">
        <v>671</v>
      </c>
      <c r="J426" s="81" t="s">
        <v>4</v>
      </c>
      <c r="K426" s="75" t="s">
        <v>187</v>
      </c>
      <c r="L426" s="76">
        <v>0.5</v>
      </c>
      <c r="M426" s="58">
        <v>924.3</v>
      </c>
      <c r="N426" s="58">
        <v>462.1</v>
      </c>
      <c r="O426" s="47">
        <f t="shared" si="105"/>
        <v>0.5</v>
      </c>
      <c r="P426" s="47">
        <f t="shared" si="106"/>
        <v>0.5</v>
      </c>
      <c r="Q426" s="47">
        <f t="shared" si="107"/>
        <v>924.3</v>
      </c>
      <c r="R426" s="47">
        <f t="shared" si="108"/>
        <v>924.3</v>
      </c>
      <c r="S426" s="47">
        <f t="shared" si="111"/>
        <v>0.5</v>
      </c>
      <c r="T426" s="47">
        <f t="shared" si="112"/>
        <v>0.5</v>
      </c>
      <c r="U426" s="47">
        <f t="shared" si="109"/>
        <v>462.1</v>
      </c>
      <c r="V426" s="47">
        <f t="shared" si="110"/>
        <v>462.1</v>
      </c>
      <c r="W426" s="98">
        <f t="shared" si="113"/>
        <v>462.1</v>
      </c>
      <c r="X426" s="98">
        <f t="shared" si="114"/>
        <v>0.5</v>
      </c>
      <c r="AB426" s="42" t="s">
        <v>187</v>
      </c>
      <c r="BG426"/>
      <c r="BH426"/>
      <c r="BI426"/>
      <c r="BJ426"/>
      <c r="BK426"/>
      <c r="BL426"/>
      <c r="BM426"/>
      <c r="BN426"/>
      <c r="BO426"/>
      <c r="BP426"/>
      <c r="BQ426"/>
      <c r="BR426"/>
      <c r="BS426"/>
    </row>
    <row r="427" spans="1:71" ht="16.5" x14ac:dyDescent="0.3">
      <c r="A427" s="38" t="s">
        <v>281</v>
      </c>
      <c r="B427" s="36">
        <v>425</v>
      </c>
      <c r="C427" s="71" t="str">
        <f t="shared" ca="1" si="103"/>
        <v>5년 이내</v>
      </c>
      <c r="D427" s="79">
        <v>44902</v>
      </c>
      <c r="E427" s="72">
        <f t="shared" si="104"/>
        <v>2</v>
      </c>
      <c r="F427" s="8" t="s">
        <v>1</v>
      </c>
      <c r="G427" s="59" t="s">
        <v>68</v>
      </c>
      <c r="H427" s="59" t="s">
        <v>475</v>
      </c>
      <c r="I427" s="80" t="s">
        <v>634</v>
      </c>
      <c r="J427" s="81" t="s">
        <v>4</v>
      </c>
      <c r="K427" s="75" t="s">
        <v>187</v>
      </c>
      <c r="L427" s="76">
        <v>0.9</v>
      </c>
      <c r="M427" s="58">
        <v>1127.7</v>
      </c>
      <c r="N427" s="58">
        <v>1015</v>
      </c>
      <c r="O427" s="47">
        <f t="shared" si="105"/>
        <v>0.9</v>
      </c>
      <c r="P427" s="47">
        <f t="shared" si="106"/>
        <v>0.9</v>
      </c>
      <c r="Q427" s="47">
        <f t="shared" si="107"/>
        <v>1127.7</v>
      </c>
      <c r="R427" s="47">
        <f t="shared" si="108"/>
        <v>1127.7</v>
      </c>
      <c r="S427" s="47">
        <f t="shared" si="111"/>
        <v>0.9</v>
      </c>
      <c r="T427" s="47">
        <f t="shared" si="112"/>
        <v>0.9</v>
      </c>
      <c r="U427" s="47">
        <f t="shared" si="109"/>
        <v>1015</v>
      </c>
      <c r="V427" s="47">
        <f t="shared" si="110"/>
        <v>1015</v>
      </c>
      <c r="W427" s="98">
        <f t="shared" si="113"/>
        <v>1015</v>
      </c>
      <c r="X427" s="98">
        <f t="shared" si="114"/>
        <v>0.9</v>
      </c>
      <c r="AB427" s="42" t="s">
        <v>187</v>
      </c>
      <c r="BG427"/>
      <c r="BH427"/>
      <c r="BI427"/>
      <c r="BJ427"/>
      <c r="BK427"/>
      <c r="BL427"/>
      <c r="BM427"/>
      <c r="BN427"/>
      <c r="BO427"/>
      <c r="BP427"/>
      <c r="BQ427"/>
      <c r="BR427"/>
      <c r="BS427"/>
    </row>
    <row r="428" spans="1:71" ht="16.5" x14ac:dyDescent="0.3">
      <c r="A428" s="38" t="s">
        <v>281</v>
      </c>
      <c r="B428" s="36">
        <v>426</v>
      </c>
      <c r="C428" s="71" t="str">
        <f t="shared" ca="1" si="103"/>
        <v>5년 이내</v>
      </c>
      <c r="D428" s="79">
        <v>44904</v>
      </c>
      <c r="E428" s="72">
        <f t="shared" si="104"/>
        <v>1</v>
      </c>
      <c r="F428" s="8" t="s">
        <v>1</v>
      </c>
      <c r="G428" s="59" t="s">
        <v>17</v>
      </c>
      <c r="H428" s="63" t="s">
        <v>137</v>
      </c>
      <c r="I428" s="80" t="s">
        <v>701</v>
      </c>
      <c r="J428" s="81" t="s">
        <v>4</v>
      </c>
      <c r="K428" s="75" t="s">
        <v>187</v>
      </c>
      <c r="L428" s="76">
        <v>0.4</v>
      </c>
      <c r="M428" s="58">
        <v>366.4</v>
      </c>
      <c r="N428" s="58">
        <v>146.5</v>
      </c>
      <c r="O428" s="47">
        <f t="shared" si="105"/>
        <v>0.4</v>
      </c>
      <c r="P428" s="47">
        <f t="shared" si="106"/>
        <v>0.4</v>
      </c>
      <c r="Q428" s="47">
        <f t="shared" si="107"/>
        <v>366.4</v>
      </c>
      <c r="R428" s="47">
        <f t="shared" si="108"/>
        <v>366.4</v>
      </c>
      <c r="S428" s="47">
        <f t="shared" si="111"/>
        <v>0.4</v>
      </c>
      <c r="T428" s="47" t="str">
        <f t="shared" si="112"/>
        <v/>
      </c>
      <c r="U428" s="47">
        <f t="shared" si="109"/>
        <v>146.5</v>
      </c>
      <c r="V428" s="47" t="str">
        <f t="shared" si="110"/>
        <v/>
      </c>
      <c r="W428" s="98">
        <f t="shared" si="113"/>
        <v>146.5</v>
      </c>
      <c r="X428" s="98">
        <f t="shared" si="114"/>
        <v>0.4</v>
      </c>
      <c r="AB428" s="42" t="s">
        <v>187</v>
      </c>
      <c r="BG428"/>
      <c r="BH428"/>
      <c r="BI428"/>
      <c r="BJ428"/>
      <c r="BK428"/>
      <c r="BL428"/>
      <c r="BM428"/>
      <c r="BN428"/>
      <c r="BO428"/>
      <c r="BP428"/>
      <c r="BQ428"/>
      <c r="BR428"/>
      <c r="BS428"/>
    </row>
    <row r="429" spans="1:71" ht="16.5" x14ac:dyDescent="0.3">
      <c r="A429" s="38" t="s">
        <v>281</v>
      </c>
      <c r="B429" s="36">
        <v>427</v>
      </c>
      <c r="C429" s="71" t="str">
        <f t="shared" ca="1" si="103"/>
        <v>5년 이내</v>
      </c>
      <c r="D429" s="79">
        <v>44911</v>
      </c>
      <c r="E429" s="72">
        <f t="shared" si="104"/>
        <v>2</v>
      </c>
      <c r="F429" s="8" t="s">
        <v>1</v>
      </c>
      <c r="G429" s="59" t="s">
        <v>17</v>
      </c>
      <c r="H429" s="66" t="s">
        <v>139</v>
      </c>
      <c r="I429" s="80" t="s">
        <v>692</v>
      </c>
      <c r="J429" s="81" t="s">
        <v>4</v>
      </c>
      <c r="K429" s="75" t="s">
        <v>187</v>
      </c>
      <c r="L429" s="76">
        <v>1</v>
      </c>
      <c r="M429" s="58">
        <v>419</v>
      </c>
      <c r="N429" s="58">
        <v>419</v>
      </c>
      <c r="O429" s="47">
        <f t="shared" si="105"/>
        <v>1</v>
      </c>
      <c r="P429" s="47">
        <f t="shared" si="106"/>
        <v>1</v>
      </c>
      <c r="Q429" s="47">
        <f t="shared" si="107"/>
        <v>419</v>
      </c>
      <c r="R429" s="47">
        <f t="shared" si="108"/>
        <v>419</v>
      </c>
      <c r="S429" s="47">
        <f t="shared" si="111"/>
        <v>1</v>
      </c>
      <c r="T429" s="47">
        <f t="shared" si="112"/>
        <v>1</v>
      </c>
      <c r="U429" s="47">
        <f t="shared" si="109"/>
        <v>419</v>
      </c>
      <c r="V429" s="47">
        <f t="shared" si="110"/>
        <v>419</v>
      </c>
      <c r="W429" s="98">
        <f t="shared" si="113"/>
        <v>419</v>
      </c>
      <c r="X429" s="98">
        <f t="shared" si="114"/>
        <v>1</v>
      </c>
      <c r="AB429" s="42" t="s">
        <v>187</v>
      </c>
      <c r="BG429"/>
      <c r="BH429"/>
      <c r="BI429"/>
      <c r="BJ429"/>
      <c r="BK429"/>
      <c r="BL429"/>
      <c r="BM429"/>
      <c r="BN429"/>
      <c r="BO429"/>
      <c r="BP429"/>
      <c r="BQ429"/>
      <c r="BR429"/>
      <c r="BS429"/>
    </row>
    <row r="430" spans="1:71" ht="16.5" x14ac:dyDescent="0.3">
      <c r="A430" s="38" t="s">
        <v>281</v>
      </c>
      <c r="B430" s="36">
        <v>428</v>
      </c>
      <c r="C430" s="71" t="str">
        <f t="shared" ca="1" si="103"/>
        <v>5년 이내</v>
      </c>
      <c r="D430" s="79">
        <v>44914</v>
      </c>
      <c r="E430" s="72">
        <f t="shared" si="104"/>
        <v>2</v>
      </c>
      <c r="F430" s="8" t="s">
        <v>1</v>
      </c>
      <c r="G430" s="59" t="s">
        <v>17</v>
      </c>
      <c r="H430" s="66" t="s">
        <v>138</v>
      </c>
      <c r="I430" s="80" t="s">
        <v>814</v>
      </c>
      <c r="J430" s="81" t="s">
        <v>4</v>
      </c>
      <c r="K430" s="75" t="s">
        <v>187</v>
      </c>
      <c r="L430" s="76">
        <v>0.82</v>
      </c>
      <c r="M430" s="58">
        <v>415.9</v>
      </c>
      <c r="N430" s="58">
        <v>341</v>
      </c>
      <c r="O430" s="47">
        <f t="shared" si="105"/>
        <v>0.82</v>
      </c>
      <c r="P430" s="47">
        <f t="shared" si="106"/>
        <v>0.82</v>
      </c>
      <c r="Q430" s="47">
        <f t="shared" si="107"/>
        <v>415.9</v>
      </c>
      <c r="R430" s="47">
        <f t="shared" si="108"/>
        <v>415.9</v>
      </c>
      <c r="S430" s="47">
        <f t="shared" si="111"/>
        <v>0.82</v>
      </c>
      <c r="T430" s="47">
        <f t="shared" si="112"/>
        <v>0.82</v>
      </c>
      <c r="U430" s="47">
        <f t="shared" si="109"/>
        <v>341</v>
      </c>
      <c r="V430" s="47">
        <f t="shared" si="110"/>
        <v>341</v>
      </c>
      <c r="W430" s="98">
        <f t="shared" si="113"/>
        <v>341</v>
      </c>
      <c r="X430" s="98">
        <f t="shared" si="114"/>
        <v>0.82</v>
      </c>
      <c r="AB430" s="42" t="s">
        <v>187</v>
      </c>
      <c r="AE430" s="42" t="s">
        <v>24</v>
      </c>
      <c r="BG430"/>
      <c r="BH430"/>
      <c r="BI430"/>
      <c r="BJ430"/>
      <c r="BK430"/>
      <c r="BL430"/>
      <c r="BM430"/>
      <c r="BN430"/>
      <c r="BO430"/>
      <c r="BP430"/>
      <c r="BQ430"/>
      <c r="BR430"/>
      <c r="BS430"/>
    </row>
    <row r="431" spans="1:71" ht="16.5" x14ac:dyDescent="0.3">
      <c r="A431" s="38" t="s">
        <v>281</v>
      </c>
      <c r="B431" s="36">
        <v>429</v>
      </c>
      <c r="C431" s="71" t="str">
        <f t="shared" ca="1" si="103"/>
        <v>5년 이내</v>
      </c>
      <c r="D431" s="79">
        <v>44915</v>
      </c>
      <c r="E431" s="72">
        <f t="shared" si="104"/>
        <v>2</v>
      </c>
      <c r="F431" s="8" t="s">
        <v>1</v>
      </c>
      <c r="G431" s="59" t="s">
        <v>309</v>
      </c>
      <c r="H431" s="59" t="s">
        <v>363</v>
      </c>
      <c r="I431" s="80" t="s">
        <v>670</v>
      </c>
      <c r="J431" s="81" t="s">
        <v>4</v>
      </c>
      <c r="K431" s="75" t="s">
        <v>187</v>
      </c>
      <c r="L431" s="76">
        <v>1</v>
      </c>
      <c r="M431" s="58">
        <v>489</v>
      </c>
      <c r="N431" s="58">
        <v>489</v>
      </c>
      <c r="O431" s="47">
        <f t="shared" si="105"/>
        <v>1</v>
      </c>
      <c r="P431" s="47">
        <f t="shared" si="106"/>
        <v>1</v>
      </c>
      <c r="Q431" s="47">
        <f t="shared" si="107"/>
        <v>489</v>
      </c>
      <c r="R431" s="47">
        <f t="shared" si="108"/>
        <v>489</v>
      </c>
      <c r="S431" s="47">
        <f t="shared" si="111"/>
        <v>1</v>
      </c>
      <c r="T431" s="47">
        <f t="shared" si="112"/>
        <v>1</v>
      </c>
      <c r="U431" s="47">
        <f t="shared" si="109"/>
        <v>489</v>
      </c>
      <c r="V431" s="47">
        <f t="shared" si="110"/>
        <v>489</v>
      </c>
      <c r="W431" s="98">
        <f t="shared" si="113"/>
        <v>489</v>
      </c>
      <c r="X431" s="98">
        <f t="shared" si="114"/>
        <v>1</v>
      </c>
      <c r="AB431" s="42" t="s">
        <v>187</v>
      </c>
      <c r="BG431"/>
      <c r="BH431"/>
      <c r="BI431"/>
      <c r="BJ431"/>
      <c r="BK431"/>
      <c r="BL431"/>
      <c r="BM431"/>
      <c r="BN431"/>
      <c r="BO431"/>
      <c r="BP431"/>
      <c r="BQ431"/>
      <c r="BR431"/>
      <c r="BS431"/>
    </row>
    <row r="432" spans="1:71" ht="16.5" x14ac:dyDescent="0.3">
      <c r="A432" s="38" t="s">
        <v>281</v>
      </c>
      <c r="B432" s="36">
        <v>430</v>
      </c>
      <c r="C432" s="71" t="str">
        <f t="shared" ca="1" si="103"/>
        <v>5년 이내</v>
      </c>
      <c r="D432" s="79">
        <v>44921</v>
      </c>
      <c r="E432" s="72">
        <f t="shared" si="104"/>
        <v>1</v>
      </c>
      <c r="F432" s="8" t="s">
        <v>1</v>
      </c>
      <c r="G432" s="59" t="s">
        <v>17</v>
      </c>
      <c r="H432" s="66" t="s">
        <v>139</v>
      </c>
      <c r="I432" s="80" t="s">
        <v>703</v>
      </c>
      <c r="J432" s="81" t="s">
        <v>4</v>
      </c>
      <c r="K432" s="75" t="s">
        <v>187</v>
      </c>
      <c r="L432" s="76">
        <v>0.35</v>
      </c>
      <c r="M432" s="58">
        <v>388.1</v>
      </c>
      <c r="N432" s="58">
        <v>111.7</v>
      </c>
      <c r="O432" s="47">
        <f t="shared" si="105"/>
        <v>0.35</v>
      </c>
      <c r="P432" s="47">
        <f t="shared" si="106"/>
        <v>0.35</v>
      </c>
      <c r="Q432" s="47">
        <f t="shared" si="107"/>
        <v>388.1</v>
      </c>
      <c r="R432" s="47">
        <f t="shared" si="108"/>
        <v>388.1</v>
      </c>
      <c r="S432" s="47">
        <f t="shared" si="111"/>
        <v>0.35</v>
      </c>
      <c r="T432" s="47" t="str">
        <f t="shared" si="112"/>
        <v/>
      </c>
      <c r="U432" s="47">
        <f t="shared" si="109"/>
        <v>111.7</v>
      </c>
      <c r="V432" s="47" t="str">
        <f t="shared" si="110"/>
        <v/>
      </c>
      <c r="W432" s="98">
        <f t="shared" si="113"/>
        <v>111.7</v>
      </c>
      <c r="X432" s="98">
        <f t="shared" si="114"/>
        <v>0.35</v>
      </c>
      <c r="AB432" s="42" t="s">
        <v>187</v>
      </c>
      <c r="BG432"/>
      <c r="BH432"/>
      <c r="BI432"/>
      <c r="BJ432"/>
      <c r="BK432"/>
      <c r="BL432"/>
      <c r="BM432"/>
      <c r="BN432"/>
      <c r="BO432"/>
      <c r="BP432"/>
      <c r="BQ432"/>
      <c r="BR432"/>
      <c r="BS432"/>
    </row>
    <row r="433" spans="1:71" ht="16.5" x14ac:dyDescent="0.3">
      <c r="A433" s="38" t="s">
        <v>281</v>
      </c>
      <c r="B433" s="36">
        <v>431</v>
      </c>
      <c r="C433" s="71" t="str">
        <f t="shared" ca="1" si="103"/>
        <v>5년 이내</v>
      </c>
      <c r="D433" s="79">
        <v>44922</v>
      </c>
      <c r="E433" s="72">
        <f t="shared" si="104"/>
        <v>2</v>
      </c>
      <c r="F433" s="8" t="s">
        <v>1</v>
      </c>
      <c r="G433" s="59" t="s">
        <v>10</v>
      </c>
      <c r="H433" s="67" t="s">
        <v>48</v>
      </c>
      <c r="I433" s="80" t="s">
        <v>679</v>
      </c>
      <c r="J433" s="81" t="s">
        <v>4</v>
      </c>
      <c r="K433" s="75" t="s">
        <v>187</v>
      </c>
      <c r="L433" s="76">
        <v>0.6</v>
      </c>
      <c r="M433" s="58">
        <v>926.5</v>
      </c>
      <c r="N433" s="58">
        <v>529.70000000000005</v>
      </c>
      <c r="O433" s="47">
        <f t="shared" si="105"/>
        <v>0.6</v>
      </c>
      <c r="P433" s="47">
        <f t="shared" si="106"/>
        <v>0.6</v>
      </c>
      <c r="Q433" s="47">
        <f t="shared" si="107"/>
        <v>926.5</v>
      </c>
      <c r="R433" s="47">
        <f t="shared" si="108"/>
        <v>926.5</v>
      </c>
      <c r="S433" s="47">
        <f t="shared" si="111"/>
        <v>0.6</v>
      </c>
      <c r="T433" s="47">
        <f t="shared" si="112"/>
        <v>0.6</v>
      </c>
      <c r="U433" s="47">
        <f t="shared" si="109"/>
        <v>529.70000000000005</v>
      </c>
      <c r="V433" s="47">
        <f t="shared" si="110"/>
        <v>529.70000000000005</v>
      </c>
      <c r="W433" s="98">
        <f t="shared" si="113"/>
        <v>529.70000000000005</v>
      </c>
      <c r="X433" s="98">
        <f t="shared" si="114"/>
        <v>0.6</v>
      </c>
      <c r="AB433" s="42" t="s">
        <v>187</v>
      </c>
      <c r="BG433"/>
      <c r="BH433"/>
      <c r="BI433"/>
      <c r="BJ433"/>
      <c r="BK433"/>
      <c r="BL433"/>
      <c r="BM433"/>
      <c r="BN433"/>
      <c r="BO433"/>
      <c r="BP433"/>
      <c r="BQ433"/>
      <c r="BR433"/>
      <c r="BS433"/>
    </row>
    <row r="434" spans="1:71" ht="16.5" x14ac:dyDescent="0.3">
      <c r="A434" s="38" t="s">
        <v>281</v>
      </c>
      <c r="B434" s="36">
        <v>432</v>
      </c>
      <c r="C434" s="71" t="str">
        <f t="shared" ca="1" si="103"/>
        <v>5년 이내</v>
      </c>
      <c r="D434" s="79">
        <v>44922</v>
      </c>
      <c r="E434" s="72">
        <f t="shared" si="104"/>
        <v>2</v>
      </c>
      <c r="F434" s="8" t="s">
        <v>1</v>
      </c>
      <c r="G434" s="59" t="s">
        <v>68</v>
      </c>
      <c r="H434" s="59" t="s">
        <v>445</v>
      </c>
      <c r="I434" s="80" t="s">
        <v>679</v>
      </c>
      <c r="J434" s="81" t="s">
        <v>4</v>
      </c>
      <c r="K434" s="75" t="s">
        <v>187</v>
      </c>
      <c r="L434" s="76">
        <v>0.6</v>
      </c>
      <c r="M434" s="58">
        <v>926.5</v>
      </c>
      <c r="N434" s="58">
        <v>529.70000000000005</v>
      </c>
      <c r="O434" s="47">
        <f t="shared" si="105"/>
        <v>0.6</v>
      </c>
      <c r="P434" s="47">
        <f t="shared" si="106"/>
        <v>0.6</v>
      </c>
      <c r="Q434" s="47">
        <f t="shared" si="107"/>
        <v>926.5</v>
      </c>
      <c r="R434" s="47">
        <f t="shared" si="108"/>
        <v>926.5</v>
      </c>
      <c r="S434" s="47">
        <f t="shared" si="111"/>
        <v>0.6</v>
      </c>
      <c r="T434" s="47">
        <f t="shared" si="112"/>
        <v>0.6</v>
      </c>
      <c r="U434" s="47">
        <f t="shared" si="109"/>
        <v>529.70000000000005</v>
      </c>
      <c r="V434" s="47">
        <f t="shared" si="110"/>
        <v>529.70000000000005</v>
      </c>
      <c r="W434" s="98">
        <f t="shared" si="113"/>
        <v>529.70000000000005</v>
      </c>
      <c r="X434" s="98">
        <f t="shared" si="114"/>
        <v>0.6</v>
      </c>
      <c r="AB434" s="42" t="s">
        <v>187</v>
      </c>
      <c r="BG434"/>
      <c r="BH434"/>
      <c r="BI434"/>
      <c r="BJ434"/>
      <c r="BK434"/>
      <c r="BL434"/>
      <c r="BM434"/>
      <c r="BN434"/>
      <c r="BO434"/>
      <c r="BP434"/>
      <c r="BQ434"/>
      <c r="BR434"/>
      <c r="BS434"/>
    </row>
    <row r="435" spans="1:71" ht="16.5" x14ac:dyDescent="0.3">
      <c r="A435" s="38" t="s">
        <v>281</v>
      </c>
      <c r="B435" s="36">
        <v>433</v>
      </c>
      <c r="C435" s="71" t="str">
        <f t="shared" ca="1" si="103"/>
        <v>5년 이내</v>
      </c>
      <c r="D435" s="79">
        <v>45096</v>
      </c>
      <c r="E435" s="72" t="str">
        <f t="shared" si="104"/>
        <v/>
      </c>
      <c r="F435" s="8" t="s">
        <v>1</v>
      </c>
      <c r="G435" s="59" t="s">
        <v>68</v>
      </c>
      <c r="H435" s="59" t="s">
        <v>75</v>
      </c>
      <c r="I435" s="80" t="s">
        <v>704</v>
      </c>
      <c r="J435" s="81" t="s">
        <v>4</v>
      </c>
      <c r="K435" s="75" t="s">
        <v>187</v>
      </c>
      <c r="L435" s="76">
        <v>1</v>
      </c>
      <c r="M435" s="58">
        <v>21.6</v>
      </c>
      <c r="N435" s="58">
        <v>21.6</v>
      </c>
      <c r="O435" s="47" t="str">
        <f t="shared" si="105"/>
        <v/>
      </c>
      <c r="P435" s="47" t="str">
        <f t="shared" si="106"/>
        <v/>
      </c>
      <c r="Q435" s="47" t="str">
        <f t="shared" si="107"/>
        <v/>
      </c>
      <c r="R435" s="47" t="str">
        <f t="shared" si="108"/>
        <v/>
      </c>
      <c r="S435" s="47" t="str">
        <f t="shared" si="111"/>
        <v/>
      </c>
      <c r="T435" s="47" t="str">
        <f t="shared" si="112"/>
        <v/>
      </c>
      <c r="U435" s="47" t="str">
        <f t="shared" si="109"/>
        <v/>
      </c>
      <c r="V435" s="47" t="str">
        <f t="shared" si="110"/>
        <v/>
      </c>
      <c r="W435" s="98">
        <f t="shared" si="113"/>
        <v>21.6</v>
      </c>
      <c r="X435" s="98">
        <f t="shared" si="114"/>
        <v>1</v>
      </c>
      <c r="AB435" s="42" t="s">
        <v>187</v>
      </c>
      <c r="BG435"/>
      <c r="BH435"/>
      <c r="BI435"/>
      <c r="BJ435"/>
      <c r="BK435"/>
      <c r="BL435"/>
      <c r="BM435"/>
      <c r="BN435"/>
      <c r="BO435"/>
      <c r="BP435"/>
      <c r="BQ435"/>
      <c r="BR435"/>
      <c r="BS435"/>
    </row>
    <row r="436" spans="1:71" ht="16.5" x14ac:dyDescent="0.3">
      <c r="A436" s="38" t="s">
        <v>281</v>
      </c>
      <c r="B436" s="36">
        <v>434</v>
      </c>
      <c r="C436" s="71" t="str">
        <f t="shared" ca="1" si="103"/>
        <v>5년 이내</v>
      </c>
      <c r="D436" s="79">
        <v>45103</v>
      </c>
      <c r="E436" s="72" t="str">
        <f t="shared" si="104"/>
        <v/>
      </c>
      <c r="F436" s="8" t="s">
        <v>1</v>
      </c>
      <c r="I436" s="60" t="s">
        <v>714</v>
      </c>
      <c r="J436" s="81" t="s">
        <v>4</v>
      </c>
      <c r="K436" s="75" t="s">
        <v>187</v>
      </c>
      <c r="L436" s="76">
        <v>8</v>
      </c>
      <c r="O436" s="47" t="str">
        <f t="shared" si="105"/>
        <v/>
      </c>
      <c r="P436" s="47" t="str">
        <f t="shared" si="106"/>
        <v/>
      </c>
      <c r="Q436" s="47" t="str">
        <f t="shared" si="107"/>
        <v/>
      </c>
      <c r="R436" s="47" t="str">
        <f t="shared" si="108"/>
        <v/>
      </c>
      <c r="S436" s="47" t="str">
        <f t="shared" si="111"/>
        <v/>
      </c>
      <c r="T436" s="47" t="str">
        <f t="shared" si="112"/>
        <v/>
      </c>
      <c r="U436" s="47" t="str">
        <f t="shared" si="109"/>
        <v/>
      </c>
      <c r="V436" s="47" t="str">
        <f t="shared" si="110"/>
        <v/>
      </c>
      <c r="W436" s="98">
        <f t="shared" si="113"/>
        <v>0</v>
      </c>
      <c r="X436" s="98" t="str">
        <f t="shared" si="114"/>
        <v/>
      </c>
      <c r="AB436" s="42" t="s">
        <v>187</v>
      </c>
      <c r="BG436"/>
      <c r="BH436"/>
      <c r="BI436"/>
      <c r="BJ436"/>
      <c r="BK436"/>
      <c r="BL436"/>
      <c r="BM436"/>
      <c r="BN436"/>
      <c r="BO436"/>
      <c r="BP436"/>
      <c r="BQ436"/>
      <c r="BR436"/>
      <c r="BS436"/>
    </row>
    <row r="437" spans="1:71" ht="16.5" x14ac:dyDescent="0.3">
      <c r="A437" s="38" t="s">
        <v>281</v>
      </c>
      <c r="B437" s="36">
        <v>435</v>
      </c>
      <c r="C437" s="71" t="str">
        <f t="shared" ca="1" si="103"/>
        <v>5년 이내</v>
      </c>
      <c r="D437" s="79">
        <v>45215</v>
      </c>
      <c r="E437" s="72">
        <f t="shared" si="104"/>
        <v>2</v>
      </c>
      <c r="F437" s="8" t="s">
        <v>1</v>
      </c>
      <c r="G437" s="59" t="s">
        <v>68</v>
      </c>
      <c r="H437" s="59" t="s">
        <v>588</v>
      </c>
      <c r="I437" s="80" t="s">
        <v>589</v>
      </c>
      <c r="J437" s="81" t="s">
        <v>4</v>
      </c>
      <c r="K437" s="75" t="s">
        <v>187</v>
      </c>
      <c r="L437" s="76">
        <v>0.39</v>
      </c>
      <c r="M437" s="58">
        <v>1090.5999999999999</v>
      </c>
      <c r="N437" s="58">
        <v>329.1</v>
      </c>
      <c r="O437" s="47">
        <f t="shared" si="105"/>
        <v>0.39</v>
      </c>
      <c r="P437" s="47">
        <f t="shared" si="106"/>
        <v>0.39</v>
      </c>
      <c r="Q437" s="47">
        <f t="shared" si="107"/>
        <v>1090.5999999999999</v>
      </c>
      <c r="R437" s="47">
        <f t="shared" si="108"/>
        <v>1090.5999999999999</v>
      </c>
      <c r="S437" s="47">
        <f t="shared" si="111"/>
        <v>0.39</v>
      </c>
      <c r="T437" s="47">
        <f t="shared" si="112"/>
        <v>0.39</v>
      </c>
      <c r="U437" s="47">
        <f t="shared" si="109"/>
        <v>329.1</v>
      </c>
      <c r="V437" s="47">
        <f t="shared" si="110"/>
        <v>329.1</v>
      </c>
      <c r="W437" s="98">
        <f t="shared" si="113"/>
        <v>329.1</v>
      </c>
      <c r="X437" s="98">
        <f t="shared" si="114"/>
        <v>0.39</v>
      </c>
      <c r="AB437" s="42" t="s">
        <v>187</v>
      </c>
      <c r="BG437"/>
      <c r="BH437"/>
      <c r="BI437"/>
      <c r="BJ437"/>
      <c r="BK437"/>
      <c r="BL437"/>
      <c r="BM437"/>
      <c r="BN437"/>
      <c r="BO437"/>
      <c r="BP437"/>
      <c r="BQ437"/>
      <c r="BR437"/>
      <c r="BS437"/>
    </row>
    <row r="438" spans="1:71" ht="16.5" x14ac:dyDescent="0.3">
      <c r="A438" s="38" t="s">
        <v>281</v>
      </c>
      <c r="B438" s="36">
        <v>436</v>
      </c>
      <c r="C438" s="71" t="str">
        <f t="shared" ca="1" si="103"/>
        <v>5년 이내</v>
      </c>
      <c r="D438" s="79">
        <v>45215</v>
      </c>
      <c r="E438" s="72">
        <f t="shared" si="104"/>
        <v>2</v>
      </c>
      <c r="F438" s="8" t="s">
        <v>1</v>
      </c>
      <c r="G438" s="59" t="s">
        <v>562</v>
      </c>
      <c r="H438" s="59" t="s">
        <v>590</v>
      </c>
      <c r="I438" s="80" t="s">
        <v>591</v>
      </c>
      <c r="J438" s="81" t="s">
        <v>4</v>
      </c>
      <c r="K438" s="75" t="s">
        <v>187</v>
      </c>
      <c r="L438" s="76">
        <v>0.39</v>
      </c>
      <c r="M438" s="58">
        <v>1090.5999999999999</v>
      </c>
      <c r="N438" s="58">
        <v>329.1</v>
      </c>
      <c r="O438" s="47">
        <f t="shared" si="105"/>
        <v>0.39</v>
      </c>
      <c r="P438" s="47">
        <f t="shared" si="106"/>
        <v>0.39</v>
      </c>
      <c r="Q438" s="47">
        <f t="shared" si="107"/>
        <v>1090.5999999999999</v>
      </c>
      <c r="R438" s="47">
        <f t="shared" si="108"/>
        <v>1090.5999999999999</v>
      </c>
      <c r="S438" s="47">
        <f t="shared" si="111"/>
        <v>0.39</v>
      </c>
      <c r="T438" s="47">
        <f t="shared" si="112"/>
        <v>0.39</v>
      </c>
      <c r="U438" s="47">
        <f t="shared" si="109"/>
        <v>329.1</v>
      </c>
      <c r="V438" s="47">
        <f t="shared" si="110"/>
        <v>329.1</v>
      </c>
      <c r="W438" s="98">
        <f t="shared" si="113"/>
        <v>329.1</v>
      </c>
      <c r="X438" s="98">
        <f t="shared" si="114"/>
        <v>0.39</v>
      </c>
      <c r="AB438" s="42" t="s">
        <v>187</v>
      </c>
      <c r="BG438"/>
      <c r="BH438"/>
      <c r="BI438"/>
      <c r="BJ438"/>
      <c r="BK438"/>
      <c r="BL438"/>
      <c r="BM438"/>
      <c r="BN438"/>
      <c r="BO438"/>
      <c r="BP438"/>
      <c r="BQ438"/>
      <c r="BR438"/>
      <c r="BS438"/>
    </row>
    <row r="439" spans="1:71" ht="16.5" x14ac:dyDescent="0.3">
      <c r="A439" s="38" t="s">
        <v>281</v>
      </c>
      <c r="B439" s="36">
        <v>437</v>
      </c>
      <c r="C439" s="71" t="str">
        <f t="shared" ca="1" si="103"/>
        <v>5년 이내</v>
      </c>
      <c r="D439" s="79">
        <v>45247</v>
      </c>
      <c r="E439" s="72">
        <f t="shared" si="104"/>
        <v>2</v>
      </c>
      <c r="F439" s="8" t="s">
        <v>1</v>
      </c>
      <c r="G439" s="59" t="s">
        <v>17</v>
      </c>
      <c r="H439" s="66" t="s">
        <v>441</v>
      </c>
      <c r="I439" s="80" t="s">
        <v>818</v>
      </c>
      <c r="J439" s="81" t="s">
        <v>4</v>
      </c>
      <c r="K439" s="75" t="s">
        <v>187</v>
      </c>
      <c r="L439" s="76">
        <v>0.5</v>
      </c>
      <c r="M439" s="58">
        <v>938.4</v>
      </c>
      <c r="N439" s="58">
        <v>437.3</v>
      </c>
      <c r="O439" s="47">
        <f t="shared" si="105"/>
        <v>0.5</v>
      </c>
      <c r="P439" s="47">
        <f t="shared" si="106"/>
        <v>0.5</v>
      </c>
      <c r="Q439" s="47">
        <f t="shared" si="107"/>
        <v>938.4</v>
      </c>
      <c r="R439" s="47">
        <f t="shared" si="108"/>
        <v>938.4</v>
      </c>
      <c r="S439" s="47">
        <f t="shared" si="111"/>
        <v>0.5</v>
      </c>
      <c r="T439" s="47">
        <f t="shared" si="112"/>
        <v>0.5</v>
      </c>
      <c r="U439" s="47">
        <f t="shared" si="109"/>
        <v>437.3</v>
      </c>
      <c r="V439" s="47">
        <f t="shared" si="110"/>
        <v>437.3</v>
      </c>
      <c r="W439" s="98">
        <f t="shared" si="113"/>
        <v>437.3</v>
      </c>
      <c r="X439" s="98">
        <f t="shared" si="114"/>
        <v>0.5</v>
      </c>
      <c r="AB439" s="42" t="s">
        <v>187</v>
      </c>
      <c r="BG439"/>
      <c r="BH439"/>
      <c r="BI439"/>
      <c r="BJ439"/>
      <c r="BK439"/>
      <c r="BL439"/>
      <c r="BM439"/>
      <c r="BN439"/>
      <c r="BO439"/>
      <c r="BP439"/>
      <c r="BQ439"/>
      <c r="BR439"/>
      <c r="BS439"/>
    </row>
    <row r="440" spans="1:71" ht="16.5" x14ac:dyDescent="0.3">
      <c r="A440" s="38" t="s">
        <v>281</v>
      </c>
      <c r="B440" s="36">
        <v>438</v>
      </c>
      <c r="C440" s="71" t="str">
        <f t="shared" ca="1" si="103"/>
        <v>5년 이내</v>
      </c>
      <c r="D440" s="79">
        <v>45330</v>
      </c>
      <c r="E440" s="72">
        <f t="shared" si="104"/>
        <v>2</v>
      </c>
      <c r="F440" s="8" t="s">
        <v>1</v>
      </c>
      <c r="G440" s="59" t="s">
        <v>68</v>
      </c>
      <c r="H440" s="59" t="s">
        <v>468</v>
      </c>
      <c r="I440" s="80" t="s">
        <v>833</v>
      </c>
      <c r="J440" s="81" t="s">
        <v>4</v>
      </c>
      <c r="K440" s="75" t="s">
        <v>187</v>
      </c>
      <c r="L440" s="76">
        <v>0.74673999999999996</v>
      </c>
      <c r="M440" s="58">
        <v>905.1</v>
      </c>
      <c r="N440" s="58">
        <v>675.9</v>
      </c>
      <c r="O440" s="47">
        <f t="shared" si="105"/>
        <v>0.74673999999999996</v>
      </c>
      <c r="P440" s="47">
        <f t="shared" si="106"/>
        <v>0.74673999999999996</v>
      </c>
      <c r="Q440" s="47">
        <f t="shared" si="107"/>
        <v>905.1</v>
      </c>
      <c r="R440" s="47">
        <f t="shared" si="108"/>
        <v>905.1</v>
      </c>
      <c r="S440" s="47">
        <f t="shared" si="111"/>
        <v>0.74673999999999996</v>
      </c>
      <c r="T440" s="47">
        <f t="shared" si="112"/>
        <v>0.74673999999999996</v>
      </c>
      <c r="U440" s="47">
        <f t="shared" si="109"/>
        <v>675.9</v>
      </c>
      <c r="V440" s="47">
        <f t="shared" si="110"/>
        <v>675.9</v>
      </c>
      <c r="W440" s="98">
        <f t="shared" si="113"/>
        <v>675.9</v>
      </c>
      <c r="X440" s="98">
        <f t="shared" si="114"/>
        <v>0.74673999999999996</v>
      </c>
      <c r="AB440" s="42" t="s">
        <v>187</v>
      </c>
      <c r="BG440"/>
      <c r="BH440"/>
      <c r="BI440"/>
      <c r="BJ440"/>
      <c r="BK440"/>
      <c r="BL440"/>
      <c r="BM440"/>
      <c r="BN440"/>
      <c r="BO440"/>
      <c r="BP440"/>
      <c r="BQ440"/>
      <c r="BR440"/>
      <c r="BS440"/>
    </row>
    <row r="441" spans="1:71" ht="16.5" x14ac:dyDescent="0.3">
      <c r="A441" s="38" t="s">
        <v>281</v>
      </c>
      <c r="B441" s="36">
        <v>439</v>
      </c>
      <c r="C441" s="71" t="str">
        <f t="shared" ca="1" si="103"/>
        <v>5년 이내</v>
      </c>
      <c r="D441" s="79">
        <v>45391</v>
      </c>
      <c r="E441" s="72">
        <f t="shared" si="104"/>
        <v>1</v>
      </c>
      <c r="F441" s="8" t="s">
        <v>1</v>
      </c>
      <c r="G441" s="59" t="s">
        <v>39</v>
      </c>
      <c r="H441" s="59" t="s">
        <v>160</v>
      </c>
      <c r="I441" s="80" t="s">
        <v>831</v>
      </c>
      <c r="J441" s="81" t="s">
        <v>4</v>
      </c>
      <c r="K441" s="75" t="s">
        <v>187</v>
      </c>
      <c r="L441" s="76">
        <v>0.65</v>
      </c>
      <c r="M441" s="58">
        <v>199.6</v>
      </c>
      <c r="N441" s="58">
        <v>123.2</v>
      </c>
      <c r="O441" s="47">
        <f t="shared" si="105"/>
        <v>0.65</v>
      </c>
      <c r="P441" s="47" t="str">
        <f t="shared" si="106"/>
        <v/>
      </c>
      <c r="Q441" s="47">
        <f t="shared" si="107"/>
        <v>199.6</v>
      </c>
      <c r="R441" s="47" t="str">
        <f t="shared" si="108"/>
        <v/>
      </c>
      <c r="S441" s="47">
        <f t="shared" si="111"/>
        <v>0.65</v>
      </c>
      <c r="T441" s="47" t="str">
        <f t="shared" si="112"/>
        <v/>
      </c>
      <c r="U441" s="47">
        <f t="shared" si="109"/>
        <v>123.2</v>
      </c>
      <c r="V441" s="47" t="str">
        <f t="shared" si="110"/>
        <v/>
      </c>
      <c r="W441" s="98">
        <f t="shared" si="113"/>
        <v>123.2</v>
      </c>
      <c r="X441" s="98">
        <f t="shared" si="114"/>
        <v>0.65</v>
      </c>
      <c r="AB441" s="42" t="s">
        <v>187</v>
      </c>
      <c r="BG441"/>
      <c r="BH441"/>
      <c r="BI441"/>
      <c r="BJ441"/>
      <c r="BK441"/>
      <c r="BL441"/>
      <c r="BM441"/>
      <c r="BN441"/>
      <c r="BO441"/>
      <c r="BP441"/>
      <c r="BQ441"/>
      <c r="BR441"/>
      <c r="BS441"/>
    </row>
    <row r="442" spans="1:71" ht="16.5" x14ac:dyDescent="0.3">
      <c r="A442" s="38" t="s">
        <v>281</v>
      </c>
      <c r="B442" s="36">
        <v>440</v>
      </c>
      <c r="C442" s="71" t="str">
        <f t="shared" ca="1" si="103"/>
        <v>5년 이내</v>
      </c>
      <c r="D442" s="79">
        <v>45391</v>
      </c>
      <c r="E442" s="72">
        <f t="shared" si="104"/>
        <v>1</v>
      </c>
      <c r="F442" s="8" t="s">
        <v>1</v>
      </c>
      <c r="G442" s="59" t="s">
        <v>68</v>
      </c>
      <c r="H442" s="59" t="s">
        <v>832</v>
      </c>
      <c r="I442" s="80" t="s">
        <v>831</v>
      </c>
      <c r="J442" s="81" t="s">
        <v>4</v>
      </c>
      <c r="K442" s="75" t="s">
        <v>187</v>
      </c>
      <c r="L442" s="76">
        <v>0.65</v>
      </c>
      <c r="M442" s="58">
        <v>199.6</v>
      </c>
      <c r="N442" s="58">
        <v>123.2</v>
      </c>
      <c r="O442" s="47">
        <f t="shared" si="105"/>
        <v>0.65</v>
      </c>
      <c r="P442" s="47" t="str">
        <f t="shared" si="106"/>
        <v/>
      </c>
      <c r="Q442" s="47">
        <f t="shared" si="107"/>
        <v>199.6</v>
      </c>
      <c r="R442" s="47" t="str">
        <f t="shared" si="108"/>
        <v/>
      </c>
      <c r="S442" s="47">
        <f t="shared" si="111"/>
        <v>0.65</v>
      </c>
      <c r="T442" s="47" t="str">
        <f t="shared" si="112"/>
        <v/>
      </c>
      <c r="U442" s="47">
        <f t="shared" si="109"/>
        <v>123.2</v>
      </c>
      <c r="V442" s="47" t="str">
        <f t="shared" si="110"/>
        <v/>
      </c>
      <c r="W442" s="98">
        <f t="shared" si="113"/>
        <v>123.2</v>
      </c>
      <c r="X442" s="98">
        <f t="shared" si="114"/>
        <v>0.65</v>
      </c>
      <c r="AB442" s="42" t="s">
        <v>187</v>
      </c>
      <c r="BG442"/>
      <c r="BH442"/>
      <c r="BI442"/>
      <c r="BJ442"/>
      <c r="BK442"/>
      <c r="BL442"/>
      <c r="BM442"/>
      <c r="BN442"/>
      <c r="BO442"/>
      <c r="BP442"/>
      <c r="BQ442"/>
      <c r="BR442"/>
      <c r="BS442"/>
    </row>
    <row r="443" spans="1:71" x14ac:dyDescent="0.3">
      <c r="A443" s="53" t="s">
        <v>280</v>
      </c>
      <c r="B443" s="36">
        <v>441</v>
      </c>
      <c r="C443" s="39" t="str">
        <f t="shared" ca="1" si="103"/>
        <v>10년 초과</v>
      </c>
      <c r="D443" s="7">
        <v>42536</v>
      </c>
      <c r="E443" s="5">
        <f t="shared" si="104"/>
        <v>2</v>
      </c>
      <c r="F443" s="1" t="s">
        <v>1</v>
      </c>
      <c r="G443" s="33" t="s">
        <v>85</v>
      </c>
      <c r="H443" s="33" t="s">
        <v>400</v>
      </c>
      <c r="I443" s="54" t="s">
        <v>398</v>
      </c>
      <c r="J443" s="54" t="s">
        <v>399</v>
      </c>
      <c r="K443" s="54"/>
      <c r="L443" s="55">
        <v>0.7</v>
      </c>
      <c r="M443" s="16">
        <v>355.7</v>
      </c>
      <c r="N443" s="16">
        <v>249</v>
      </c>
      <c r="O443" s="47">
        <f t="shared" si="105"/>
        <v>0.7</v>
      </c>
      <c r="P443" s="47">
        <f t="shared" si="106"/>
        <v>0.7</v>
      </c>
      <c r="Q443" s="47">
        <f t="shared" si="107"/>
        <v>355.7</v>
      </c>
      <c r="R443" s="47">
        <f t="shared" si="108"/>
        <v>355.7</v>
      </c>
      <c r="S443" s="47">
        <f t="shared" si="111"/>
        <v>0.7</v>
      </c>
      <c r="T443" s="47">
        <f t="shared" si="112"/>
        <v>0.7</v>
      </c>
      <c r="U443" s="47">
        <f t="shared" si="109"/>
        <v>249</v>
      </c>
      <c r="V443" s="47">
        <f t="shared" si="110"/>
        <v>249</v>
      </c>
      <c r="W443" s="47">
        <f t="shared" si="113"/>
        <v>249</v>
      </c>
      <c r="X443" s="47">
        <f t="shared" si="114"/>
        <v>0.7</v>
      </c>
      <c r="Y443" s="41"/>
      <c r="Z443" s="42" t="s">
        <v>402</v>
      </c>
      <c r="AA443" s="42" t="s">
        <v>403</v>
      </c>
      <c r="AC443" s="42" t="s">
        <v>404</v>
      </c>
      <c r="AD443" s="42" t="s">
        <v>405</v>
      </c>
      <c r="AG443" s="42" t="s">
        <v>406</v>
      </c>
      <c r="AK443" s="42" t="s">
        <v>407</v>
      </c>
    </row>
    <row r="444" spans="1:71" x14ac:dyDescent="0.3">
      <c r="A444" s="53" t="s">
        <v>280</v>
      </c>
      <c r="B444" s="36">
        <v>442</v>
      </c>
      <c r="C444" s="39" t="str">
        <f t="shared" ca="1" si="103"/>
        <v>10년 초과</v>
      </c>
      <c r="D444" s="7">
        <v>42536</v>
      </c>
      <c r="E444" s="5">
        <f t="shared" si="104"/>
        <v>2</v>
      </c>
      <c r="F444" s="1" t="s">
        <v>1</v>
      </c>
      <c r="G444" s="33" t="s">
        <v>68</v>
      </c>
      <c r="H444" s="33" t="s">
        <v>401</v>
      </c>
      <c r="I444" s="54" t="s">
        <v>398</v>
      </c>
      <c r="J444" s="54" t="s">
        <v>399</v>
      </c>
      <c r="K444" s="54"/>
      <c r="L444" s="55">
        <v>0.7</v>
      </c>
      <c r="M444" s="16">
        <v>355.7</v>
      </c>
      <c r="N444" s="16">
        <v>249</v>
      </c>
      <c r="O444" s="47">
        <f t="shared" si="105"/>
        <v>0.7</v>
      </c>
      <c r="P444" s="47">
        <f t="shared" si="106"/>
        <v>0.7</v>
      </c>
      <c r="Q444" s="47">
        <f t="shared" si="107"/>
        <v>355.7</v>
      </c>
      <c r="R444" s="47">
        <f t="shared" si="108"/>
        <v>355.7</v>
      </c>
      <c r="S444" s="47">
        <f t="shared" si="111"/>
        <v>0.7</v>
      </c>
      <c r="T444" s="47">
        <f t="shared" si="112"/>
        <v>0.7</v>
      </c>
      <c r="U444" s="47">
        <f t="shared" si="109"/>
        <v>249</v>
      </c>
      <c r="V444" s="47">
        <f t="shared" si="110"/>
        <v>249</v>
      </c>
      <c r="W444" s="47">
        <f t="shared" si="113"/>
        <v>249</v>
      </c>
      <c r="X444" s="47">
        <f t="shared" si="114"/>
        <v>0.7</v>
      </c>
      <c r="Y444" s="41"/>
      <c r="Z444" s="42" t="s">
        <v>402</v>
      </c>
      <c r="AA444" s="42" t="s">
        <v>403</v>
      </c>
      <c r="AC444" s="42" t="s">
        <v>404</v>
      </c>
      <c r="AD444" s="42" t="s">
        <v>405</v>
      </c>
      <c r="AG444" s="42" t="s">
        <v>406</v>
      </c>
      <c r="AK444" s="42" t="s">
        <v>407</v>
      </c>
    </row>
    <row r="445" spans="1:71" x14ac:dyDescent="0.3">
      <c r="A445" s="53" t="s">
        <v>280</v>
      </c>
      <c r="B445" s="36">
        <v>443</v>
      </c>
      <c r="C445" s="39" t="str">
        <f t="shared" ca="1" si="103"/>
        <v>10년 초과</v>
      </c>
      <c r="D445" s="7">
        <v>42536</v>
      </c>
      <c r="E445" s="5">
        <f t="shared" si="104"/>
        <v>2</v>
      </c>
      <c r="F445" s="1" t="s">
        <v>1</v>
      </c>
      <c r="G445" s="33" t="s">
        <v>97</v>
      </c>
      <c r="H445" s="33" t="s">
        <v>98</v>
      </c>
      <c r="I445" s="54" t="s">
        <v>398</v>
      </c>
      <c r="J445" s="54" t="s">
        <v>399</v>
      </c>
      <c r="K445" s="54"/>
      <c r="L445" s="55">
        <v>0.7</v>
      </c>
      <c r="M445" s="16">
        <v>355.7</v>
      </c>
      <c r="N445" s="16">
        <v>249</v>
      </c>
      <c r="O445" s="47">
        <f t="shared" si="105"/>
        <v>0.7</v>
      </c>
      <c r="P445" s="47">
        <f t="shared" si="106"/>
        <v>0.7</v>
      </c>
      <c r="Q445" s="47">
        <f t="shared" si="107"/>
        <v>355.7</v>
      </c>
      <c r="R445" s="47">
        <f t="shared" si="108"/>
        <v>355.7</v>
      </c>
      <c r="S445" s="47">
        <f t="shared" si="111"/>
        <v>0.7</v>
      </c>
      <c r="T445" s="47">
        <f t="shared" si="112"/>
        <v>0.7</v>
      </c>
      <c r="U445" s="47">
        <f t="shared" si="109"/>
        <v>249</v>
      </c>
      <c r="V445" s="47">
        <f t="shared" si="110"/>
        <v>249</v>
      </c>
      <c r="W445" s="47">
        <f t="shared" si="113"/>
        <v>249</v>
      </c>
      <c r="X445" s="47">
        <f t="shared" si="114"/>
        <v>0.7</v>
      </c>
      <c r="Y445" s="41"/>
      <c r="Z445" s="42" t="s">
        <v>402</v>
      </c>
      <c r="AA445" s="42" t="s">
        <v>403</v>
      </c>
      <c r="AC445" s="42" t="s">
        <v>404</v>
      </c>
      <c r="AD445" s="42" t="s">
        <v>405</v>
      </c>
      <c r="AG445" s="42" t="s">
        <v>406</v>
      </c>
      <c r="AK445" s="42" t="s">
        <v>407</v>
      </c>
    </row>
    <row r="446" spans="1:71" x14ac:dyDescent="0.3">
      <c r="A446" s="53" t="s">
        <v>280</v>
      </c>
      <c r="B446" s="36">
        <v>444</v>
      </c>
      <c r="C446" s="39" t="str">
        <f t="shared" ca="1" si="103"/>
        <v>10년~5년 사이</v>
      </c>
      <c r="D446" s="7">
        <v>42712</v>
      </c>
      <c r="E446" s="5">
        <f t="shared" si="104"/>
        <v>2</v>
      </c>
      <c r="F446" s="1" t="s">
        <v>1</v>
      </c>
      <c r="G446" s="33" t="s">
        <v>17</v>
      </c>
      <c r="H446" s="33" t="s">
        <v>438</v>
      </c>
      <c r="I446" s="54" t="s">
        <v>408</v>
      </c>
      <c r="J446" s="54" t="s">
        <v>399</v>
      </c>
      <c r="K446" s="54"/>
      <c r="L446" s="55">
        <v>0.7</v>
      </c>
      <c r="M446" s="16">
        <v>326.5</v>
      </c>
      <c r="N446" s="16">
        <v>228.5</v>
      </c>
      <c r="O446" s="47">
        <f t="shared" si="105"/>
        <v>0.7</v>
      </c>
      <c r="P446" s="47">
        <f t="shared" si="106"/>
        <v>0.7</v>
      </c>
      <c r="Q446" s="47">
        <f t="shared" si="107"/>
        <v>326.5</v>
      </c>
      <c r="R446" s="47">
        <f t="shared" si="108"/>
        <v>326.5</v>
      </c>
      <c r="S446" s="47">
        <f t="shared" si="111"/>
        <v>0.7</v>
      </c>
      <c r="T446" s="47">
        <f t="shared" si="112"/>
        <v>0.7</v>
      </c>
      <c r="U446" s="47">
        <f t="shared" si="109"/>
        <v>228.5</v>
      </c>
      <c r="V446" s="47">
        <f t="shared" si="110"/>
        <v>228.5</v>
      </c>
      <c r="W446" s="47">
        <f t="shared" si="113"/>
        <v>228.5</v>
      </c>
      <c r="X446" s="47">
        <f t="shared" si="114"/>
        <v>0.7</v>
      </c>
      <c r="Y446" s="41"/>
      <c r="Z446" s="42" t="s">
        <v>402</v>
      </c>
      <c r="AC446" s="42" t="s">
        <v>119</v>
      </c>
      <c r="AD446" s="42" t="s">
        <v>405</v>
      </c>
      <c r="AG446" s="42" t="s">
        <v>406</v>
      </c>
    </row>
    <row r="447" spans="1:71" x14ac:dyDescent="0.3">
      <c r="A447" s="53" t="s">
        <v>280</v>
      </c>
      <c r="B447" s="36">
        <v>445</v>
      </c>
      <c r="C447" s="39" t="str">
        <f t="shared" ref="C447:C510" ca="1" si="115">IF(TODAY()-10*365&gt;D447,"10년 초과",IF(TODAY()-5*365&gt;D447,"10년~5년 사이","5년 이내"))</f>
        <v>10년~5년 사이</v>
      </c>
      <c r="D447" s="7">
        <v>42712</v>
      </c>
      <c r="E447" s="5">
        <f t="shared" ref="E447:E510" si="116">IF((N447&gt;200),2,IF(N447&gt;100,1,IF((N447&lt;99.9),"")))</f>
        <v>2</v>
      </c>
      <c r="F447" s="1" t="s">
        <v>1</v>
      </c>
      <c r="G447" s="33" t="s">
        <v>68</v>
      </c>
      <c r="H447" s="33" t="s">
        <v>75</v>
      </c>
      <c r="I447" s="54" t="s">
        <v>408</v>
      </c>
      <c r="J447" s="54" t="s">
        <v>399</v>
      </c>
      <c r="K447" s="54"/>
      <c r="L447" s="55">
        <v>0.7</v>
      </c>
      <c r="M447" s="16">
        <v>326.5</v>
      </c>
      <c r="N447" s="16">
        <v>228.5</v>
      </c>
      <c r="O447" s="47">
        <f t="shared" si="105"/>
        <v>0.7</v>
      </c>
      <c r="P447" s="47">
        <f t="shared" si="106"/>
        <v>0.7</v>
      </c>
      <c r="Q447" s="47">
        <f t="shared" si="107"/>
        <v>326.5</v>
      </c>
      <c r="R447" s="47">
        <f t="shared" si="108"/>
        <v>326.5</v>
      </c>
      <c r="S447" s="47">
        <f t="shared" si="111"/>
        <v>0.7</v>
      </c>
      <c r="T447" s="47">
        <f t="shared" si="112"/>
        <v>0.7</v>
      </c>
      <c r="U447" s="47">
        <f t="shared" si="109"/>
        <v>228.5</v>
      </c>
      <c r="V447" s="47">
        <f t="shared" si="110"/>
        <v>228.5</v>
      </c>
      <c r="W447" s="47">
        <f t="shared" si="113"/>
        <v>228.5</v>
      </c>
      <c r="X447" s="47">
        <f t="shared" si="114"/>
        <v>0.7</v>
      </c>
      <c r="Y447" s="41"/>
      <c r="Z447" s="42" t="s">
        <v>402</v>
      </c>
      <c r="AC447" s="42" t="s">
        <v>119</v>
      </c>
      <c r="AD447" s="42" t="s">
        <v>405</v>
      </c>
      <c r="AG447" s="42" t="s">
        <v>406</v>
      </c>
    </row>
    <row r="448" spans="1:71" x14ac:dyDescent="0.3">
      <c r="A448" s="53" t="s">
        <v>280</v>
      </c>
      <c r="B448" s="36">
        <v>446</v>
      </c>
      <c r="C448" s="39" t="str">
        <f t="shared" ca="1" si="115"/>
        <v>10년~5년 사이</v>
      </c>
      <c r="D448" s="7">
        <v>42726</v>
      </c>
      <c r="E448" s="5" t="str">
        <f t="shared" si="116"/>
        <v/>
      </c>
      <c r="F448" s="1" t="s">
        <v>1</v>
      </c>
      <c r="G448" s="33" t="s">
        <v>68</v>
      </c>
      <c r="H448" s="33" t="s">
        <v>77</v>
      </c>
      <c r="I448" s="54" t="s">
        <v>409</v>
      </c>
      <c r="J448" s="54" t="s">
        <v>399</v>
      </c>
      <c r="K448" s="54"/>
      <c r="L448" s="55">
        <v>1</v>
      </c>
      <c r="M448" s="16">
        <v>52.7</v>
      </c>
      <c r="N448" s="16">
        <v>52.7</v>
      </c>
      <c r="O448" s="47" t="str">
        <f t="shared" si="105"/>
        <v/>
      </c>
      <c r="P448" s="47" t="str">
        <f t="shared" si="106"/>
        <v/>
      </c>
      <c r="Q448" s="47" t="str">
        <f t="shared" si="107"/>
        <v/>
      </c>
      <c r="R448" s="47" t="str">
        <f t="shared" si="108"/>
        <v/>
      </c>
      <c r="S448" s="47" t="str">
        <f t="shared" si="111"/>
        <v/>
      </c>
      <c r="T448" s="47" t="str">
        <f t="shared" si="112"/>
        <v/>
      </c>
      <c r="U448" s="47" t="str">
        <f t="shared" si="109"/>
        <v/>
      </c>
      <c r="V448" s="47" t="str">
        <f t="shared" si="110"/>
        <v/>
      </c>
      <c r="W448" s="47">
        <f t="shared" si="113"/>
        <v>52.7</v>
      </c>
      <c r="X448" s="47">
        <f t="shared" si="114"/>
        <v>1</v>
      </c>
      <c r="Y448" s="41"/>
      <c r="AA448" s="42" t="s">
        <v>403</v>
      </c>
      <c r="AD448" s="42" t="s">
        <v>18</v>
      </c>
      <c r="AF448" s="42" t="s">
        <v>5</v>
      </c>
    </row>
    <row r="449" spans="1:33" x14ac:dyDescent="0.3">
      <c r="A449" s="53" t="s">
        <v>280</v>
      </c>
      <c r="B449" s="36">
        <v>447</v>
      </c>
      <c r="C449" s="39" t="str">
        <f t="shared" ca="1" si="115"/>
        <v>10년~5년 사이</v>
      </c>
      <c r="D449" s="7">
        <v>42726</v>
      </c>
      <c r="E449" s="5" t="str">
        <f t="shared" si="116"/>
        <v/>
      </c>
      <c r="F449" s="1" t="s">
        <v>1</v>
      </c>
      <c r="G449" s="33" t="s">
        <v>17</v>
      </c>
      <c r="H449" s="33" t="s">
        <v>139</v>
      </c>
      <c r="I449" s="54" t="s">
        <v>409</v>
      </c>
      <c r="J449" s="54" t="s">
        <v>399</v>
      </c>
      <c r="K449" s="54"/>
      <c r="L449" s="55">
        <v>1</v>
      </c>
      <c r="M449" s="16">
        <v>52.7</v>
      </c>
      <c r="N449" s="16">
        <v>52.7</v>
      </c>
      <c r="O449" s="47" t="str">
        <f t="shared" si="105"/>
        <v/>
      </c>
      <c r="P449" s="47" t="str">
        <f t="shared" si="106"/>
        <v/>
      </c>
      <c r="Q449" s="47" t="str">
        <f t="shared" si="107"/>
        <v/>
      </c>
      <c r="R449" s="47" t="str">
        <f t="shared" si="108"/>
        <v/>
      </c>
      <c r="S449" s="47" t="str">
        <f t="shared" si="111"/>
        <v/>
      </c>
      <c r="T449" s="47" t="str">
        <f t="shared" si="112"/>
        <v/>
      </c>
      <c r="U449" s="47" t="str">
        <f t="shared" si="109"/>
        <v/>
      </c>
      <c r="V449" s="47" t="str">
        <f t="shared" si="110"/>
        <v/>
      </c>
      <c r="W449" s="47">
        <f t="shared" si="113"/>
        <v>52.7</v>
      </c>
      <c r="X449" s="47">
        <f t="shared" si="114"/>
        <v>1</v>
      </c>
      <c r="Y449" s="41"/>
      <c r="AA449" s="42" t="s">
        <v>403</v>
      </c>
      <c r="AD449" s="42" t="s">
        <v>18</v>
      </c>
      <c r="AF449" s="42" t="s">
        <v>5</v>
      </c>
    </row>
    <row r="450" spans="1:33" x14ac:dyDescent="0.3">
      <c r="A450" s="53" t="s">
        <v>280</v>
      </c>
      <c r="B450" s="36">
        <v>448</v>
      </c>
      <c r="C450" s="39" t="str">
        <f t="shared" ca="1" si="115"/>
        <v>10년~5년 사이</v>
      </c>
      <c r="D450" s="7">
        <v>42749</v>
      </c>
      <c r="E450" s="5">
        <f t="shared" si="116"/>
        <v>2</v>
      </c>
      <c r="F450" s="1" t="s">
        <v>1</v>
      </c>
      <c r="G450" s="33" t="s">
        <v>10</v>
      </c>
      <c r="H450" s="33" t="s">
        <v>48</v>
      </c>
      <c r="I450" s="54" t="s">
        <v>410</v>
      </c>
      <c r="J450" s="54" t="s">
        <v>399</v>
      </c>
      <c r="K450" s="54"/>
      <c r="L450" s="55">
        <v>0.3</v>
      </c>
      <c r="M450" s="16">
        <v>995.2</v>
      </c>
      <c r="N450" s="16">
        <v>298.5</v>
      </c>
      <c r="O450" s="47">
        <f t="shared" si="105"/>
        <v>0.3</v>
      </c>
      <c r="P450" s="47">
        <f t="shared" si="106"/>
        <v>0.3</v>
      </c>
      <c r="Q450" s="47">
        <f t="shared" si="107"/>
        <v>995.2</v>
      </c>
      <c r="R450" s="47">
        <f t="shared" si="108"/>
        <v>995.2</v>
      </c>
      <c r="S450" s="47">
        <f t="shared" si="111"/>
        <v>0.3</v>
      </c>
      <c r="T450" s="47">
        <f t="shared" si="112"/>
        <v>0.3</v>
      </c>
      <c r="U450" s="47">
        <f t="shared" si="109"/>
        <v>298.5</v>
      </c>
      <c r="V450" s="47">
        <f t="shared" si="110"/>
        <v>298.5</v>
      </c>
      <c r="W450" s="47">
        <f t="shared" si="113"/>
        <v>298.5</v>
      </c>
      <c r="X450" s="47">
        <f t="shared" si="114"/>
        <v>0.3</v>
      </c>
      <c r="Y450" s="41"/>
      <c r="Z450" s="42" t="s">
        <v>402</v>
      </c>
      <c r="AA450" s="42" t="s">
        <v>403</v>
      </c>
      <c r="AC450" s="42" t="s">
        <v>119</v>
      </c>
      <c r="AD450" s="42" t="s">
        <v>18</v>
      </c>
    </row>
    <row r="451" spans="1:33" x14ac:dyDescent="0.3">
      <c r="A451" s="53" t="s">
        <v>280</v>
      </c>
      <c r="B451" s="36">
        <v>449</v>
      </c>
      <c r="C451" s="39" t="str">
        <f t="shared" ca="1" si="115"/>
        <v>10년~5년 사이</v>
      </c>
      <c r="D451" s="7">
        <v>42749</v>
      </c>
      <c r="E451" s="5">
        <f t="shared" si="116"/>
        <v>2</v>
      </c>
      <c r="F451" s="1" t="s">
        <v>1</v>
      </c>
      <c r="G451" s="33" t="s">
        <v>68</v>
      </c>
      <c r="H451" s="33" t="s">
        <v>75</v>
      </c>
      <c r="I451" s="54" t="s">
        <v>410</v>
      </c>
      <c r="J451" s="54" t="s">
        <v>399</v>
      </c>
      <c r="K451" s="54"/>
      <c r="L451" s="55">
        <v>0.3</v>
      </c>
      <c r="M451" s="16">
        <v>995.2</v>
      </c>
      <c r="N451" s="16">
        <v>298.5</v>
      </c>
      <c r="O451" s="47">
        <f t="shared" si="105"/>
        <v>0.3</v>
      </c>
      <c r="P451" s="47">
        <f t="shared" si="106"/>
        <v>0.3</v>
      </c>
      <c r="Q451" s="47">
        <f t="shared" si="107"/>
        <v>995.2</v>
      </c>
      <c r="R451" s="47">
        <f t="shared" si="108"/>
        <v>995.2</v>
      </c>
      <c r="S451" s="47">
        <f t="shared" si="111"/>
        <v>0.3</v>
      </c>
      <c r="T451" s="47">
        <f t="shared" si="112"/>
        <v>0.3</v>
      </c>
      <c r="U451" s="47">
        <f t="shared" si="109"/>
        <v>298.5</v>
      </c>
      <c r="V451" s="47">
        <f t="shared" si="110"/>
        <v>298.5</v>
      </c>
      <c r="W451" s="47">
        <f t="shared" si="113"/>
        <v>298.5</v>
      </c>
      <c r="X451" s="47">
        <f t="shared" si="114"/>
        <v>0.3</v>
      </c>
      <c r="Y451" s="41"/>
      <c r="Z451" s="42" t="s">
        <v>402</v>
      </c>
      <c r="AA451" s="42" t="s">
        <v>403</v>
      </c>
      <c r="AC451" s="42" t="s">
        <v>119</v>
      </c>
      <c r="AD451" s="42" t="s">
        <v>18</v>
      </c>
    </row>
    <row r="452" spans="1:33" x14ac:dyDescent="0.3">
      <c r="A452" s="53" t="s">
        <v>280</v>
      </c>
      <c r="B452" s="36">
        <v>450</v>
      </c>
      <c r="C452" s="39" t="str">
        <f t="shared" ca="1" si="115"/>
        <v>10년~5년 사이</v>
      </c>
      <c r="D452" s="7">
        <v>42823</v>
      </c>
      <c r="E452" s="5">
        <f t="shared" si="116"/>
        <v>2</v>
      </c>
      <c r="F452" s="1" t="s">
        <v>1</v>
      </c>
      <c r="G452" s="33" t="s">
        <v>10</v>
      </c>
      <c r="H452" s="33" t="s">
        <v>48</v>
      </c>
      <c r="I452" s="54" t="s">
        <v>411</v>
      </c>
      <c r="J452" s="54" t="s">
        <v>399</v>
      </c>
      <c r="K452" s="54"/>
      <c r="L452" s="55">
        <v>0.51</v>
      </c>
      <c r="M452" s="16">
        <v>453.9</v>
      </c>
      <c r="N452" s="16">
        <v>233.7</v>
      </c>
      <c r="O452" s="47">
        <f t="shared" si="105"/>
        <v>0.51</v>
      </c>
      <c r="P452" s="47">
        <f t="shared" si="106"/>
        <v>0.51</v>
      </c>
      <c r="Q452" s="47">
        <f t="shared" si="107"/>
        <v>453.9</v>
      </c>
      <c r="R452" s="47">
        <f t="shared" si="108"/>
        <v>453.9</v>
      </c>
      <c r="S452" s="47">
        <f t="shared" si="111"/>
        <v>0.51</v>
      </c>
      <c r="T452" s="47">
        <f t="shared" si="112"/>
        <v>0.51</v>
      </c>
      <c r="U452" s="47">
        <f t="shared" si="109"/>
        <v>233.7</v>
      </c>
      <c r="V452" s="47">
        <f t="shared" si="110"/>
        <v>233.7</v>
      </c>
      <c r="W452" s="47">
        <f t="shared" si="113"/>
        <v>233.7</v>
      </c>
      <c r="X452" s="47">
        <f t="shared" si="114"/>
        <v>0.51</v>
      </c>
      <c r="Y452" s="41"/>
    </row>
    <row r="453" spans="1:33" x14ac:dyDescent="0.3">
      <c r="A453" s="53" t="s">
        <v>280</v>
      </c>
      <c r="B453" s="36">
        <v>451</v>
      </c>
      <c r="C453" s="39" t="str">
        <f t="shared" ca="1" si="115"/>
        <v>10년~5년 사이</v>
      </c>
      <c r="D453" s="7">
        <v>42823</v>
      </c>
      <c r="E453" s="5">
        <f t="shared" si="116"/>
        <v>2</v>
      </c>
      <c r="F453" s="1" t="s">
        <v>1</v>
      </c>
      <c r="G453" s="33" t="s">
        <v>17</v>
      </c>
      <c r="H453" s="33" t="s">
        <v>76</v>
      </c>
      <c r="I453" s="54" t="s">
        <v>411</v>
      </c>
      <c r="J453" s="54" t="s">
        <v>399</v>
      </c>
      <c r="K453" s="54"/>
      <c r="L453" s="55">
        <v>0.51</v>
      </c>
      <c r="M453" s="16">
        <v>453.9</v>
      </c>
      <c r="N453" s="16">
        <v>233.7</v>
      </c>
      <c r="O453" s="47">
        <f t="shared" ref="O453:O516" si="117">IF(M453&gt;100,L453,"")</f>
        <v>0.51</v>
      </c>
      <c r="P453" s="47">
        <f t="shared" ref="P453:P516" si="118">IF(M453&gt;200,L453,"")</f>
        <v>0.51</v>
      </c>
      <c r="Q453" s="47">
        <f t="shared" ref="Q453:Q516" si="119">IF(M453&gt;100,M453,"")</f>
        <v>453.9</v>
      </c>
      <c r="R453" s="47">
        <f t="shared" ref="R453:R516" si="120">IF(M453&gt;200,M453,"")</f>
        <v>453.9</v>
      </c>
      <c r="S453" s="47">
        <f t="shared" si="111"/>
        <v>0.51</v>
      </c>
      <c r="T453" s="47">
        <f t="shared" si="112"/>
        <v>0.51</v>
      </c>
      <c r="U453" s="47">
        <f t="shared" ref="U453:U516" si="121">IF(N453&gt;100,N453,"")</f>
        <v>233.7</v>
      </c>
      <c r="V453" s="47">
        <f t="shared" ref="V453:V516" si="122">IF(N453&gt;200,N453,"")</f>
        <v>233.7</v>
      </c>
      <c r="W453" s="47">
        <f t="shared" si="113"/>
        <v>233.7</v>
      </c>
      <c r="X453" s="47">
        <f t="shared" si="114"/>
        <v>0.51</v>
      </c>
      <c r="Y453" s="41"/>
    </row>
    <row r="454" spans="1:33" x14ac:dyDescent="0.3">
      <c r="A454" s="53" t="s">
        <v>280</v>
      </c>
      <c r="B454" s="36">
        <v>452</v>
      </c>
      <c r="C454" s="39" t="str">
        <f t="shared" ca="1" si="115"/>
        <v>10년~5년 사이</v>
      </c>
      <c r="D454" s="7">
        <v>42829</v>
      </c>
      <c r="E454" s="5" t="str">
        <f t="shared" si="116"/>
        <v/>
      </c>
      <c r="F454" s="1" t="s">
        <v>1</v>
      </c>
      <c r="G454" s="33" t="s">
        <v>10</v>
      </c>
      <c r="H454" s="33" t="s">
        <v>48</v>
      </c>
      <c r="I454" s="54" t="s">
        <v>412</v>
      </c>
      <c r="J454" s="54" t="s">
        <v>399</v>
      </c>
      <c r="K454" s="54"/>
      <c r="L454" s="55">
        <v>1</v>
      </c>
      <c r="M454" s="16">
        <v>17.600000000000001</v>
      </c>
      <c r="N454" s="16">
        <v>17.600000000000001</v>
      </c>
      <c r="O454" s="47" t="str">
        <f t="shared" si="117"/>
        <v/>
      </c>
      <c r="P454" s="47" t="str">
        <f t="shared" si="118"/>
        <v/>
      </c>
      <c r="Q454" s="47" t="str">
        <f t="shared" si="119"/>
        <v/>
      </c>
      <c r="R454" s="47" t="str">
        <f t="shared" si="120"/>
        <v/>
      </c>
      <c r="S454" s="47" t="str">
        <f t="shared" si="111"/>
        <v/>
      </c>
      <c r="T454" s="47" t="str">
        <f t="shared" si="112"/>
        <v/>
      </c>
      <c r="U454" s="47" t="str">
        <f t="shared" si="121"/>
        <v/>
      </c>
      <c r="V454" s="47" t="str">
        <f t="shared" si="122"/>
        <v/>
      </c>
      <c r="W454" s="47">
        <f t="shared" si="113"/>
        <v>17.600000000000001</v>
      </c>
      <c r="X454" s="47">
        <f t="shared" si="114"/>
        <v>1</v>
      </c>
      <c r="Y454" s="41"/>
      <c r="AC454" s="42" t="s">
        <v>404</v>
      </c>
      <c r="AF454" s="42" t="s">
        <v>413</v>
      </c>
      <c r="AG454" s="42" t="s">
        <v>406</v>
      </c>
    </row>
    <row r="455" spans="1:33" x14ac:dyDescent="0.3">
      <c r="A455" s="53" t="s">
        <v>280</v>
      </c>
      <c r="B455" s="36">
        <v>453</v>
      </c>
      <c r="C455" s="39" t="str">
        <f t="shared" ca="1" si="115"/>
        <v>10년~5년 사이</v>
      </c>
      <c r="D455" s="7">
        <v>42869</v>
      </c>
      <c r="E455" s="5" t="str">
        <f t="shared" si="116"/>
        <v/>
      </c>
      <c r="F455" s="1" t="s">
        <v>1</v>
      </c>
      <c r="G455" s="33" t="s">
        <v>68</v>
      </c>
      <c r="H455" s="33" t="s">
        <v>77</v>
      </c>
      <c r="I455" s="54" t="s">
        <v>414</v>
      </c>
      <c r="J455" s="54" t="s">
        <v>399</v>
      </c>
      <c r="K455" s="54"/>
      <c r="L455" s="55">
        <v>1</v>
      </c>
      <c r="M455" s="16">
        <v>18</v>
      </c>
      <c r="N455" s="16">
        <v>18</v>
      </c>
      <c r="O455" s="47" t="str">
        <f t="shared" si="117"/>
        <v/>
      </c>
      <c r="P455" s="47" t="str">
        <f t="shared" si="118"/>
        <v/>
      </c>
      <c r="Q455" s="47" t="str">
        <f t="shared" si="119"/>
        <v/>
      </c>
      <c r="R455" s="47" t="str">
        <f t="shared" si="120"/>
        <v/>
      </c>
      <c r="S455" s="47" t="str">
        <f t="shared" si="111"/>
        <v/>
      </c>
      <c r="T455" s="47" t="str">
        <f t="shared" si="112"/>
        <v/>
      </c>
      <c r="U455" s="47" t="str">
        <f t="shared" si="121"/>
        <v/>
      </c>
      <c r="V455" s="47" t="str">
        <f t="shared" si="122"/>
        <v/>
      </c>
      <c r="W455" s="47">
        <f t="shared" si="113"/>
        <v>18</v>
      </c>
      <c r="X455" s="47">
        <f t="shared" si="114"/>
        <v>1</v>
      </c>
      <c r="Y455" s="41"/>
      <c r="AC455" s="42" t="s">
        <v>404</v>
      </c>
      <c r="AD455" s="42" t="s">
        <v>405</v>
      </c>
      <c r="AF455" s="42" t="s">
        <v>413</v>
      </c>
      <c r="AG455" s="42" t="s">
        <v>406</v>
      </c>
    </row>
    <row r="456" spans="1:33" x14ac:dyDescent="0.3">
      <c r="A456" s="53" t="s">
        <v>280</v>
      </c>
      <c r="B456" s="36">
        <v>454</v>
      </c>
      <c r="C456" s="39" t="str">
        <f t="shared" ca="1" si="115"/>
        <v>10년~5년 사이</v>
      </c>
      <c r="D456" s="7">
        <v>42869</v>
      </c>
      <c r="E456" s="5" t="str">
        <f t="shared" si="116"/>
        <v/>
      </c>
      <c r="F456" s="1" t="s">
        <v>1</v>
      </c>
      <c r="G456" s="33" t="s">
        <v>68</v>
      </c>
      <c r="H456" s="33" t="s">
        <v>75</v>
      </c>
      <c r="I456" s="54" t="s">
        <v>414</v>
      </c>
      <c r="J456" s="54" t="s">
        <v>399</v>
      </c>
      <c r="K456" s="54"/>
      <c r="L456" s="55">
        <v>1</v>
      </c>
      <c r="M456" s="16">
        <v>18</v>
      </c>
      <c r="N456" s="16">
        <v>18</v>
      </c>
      <c r="O456" s="47" t="str">
        <f t="shared" si="117"/>
        <v/>
      </c>
      <c r="P456" s="47" t="str">
        <f t="shared" si="118"/>
        <v/>
      </c>
      <c r="Q456" s="47" t="str">
        <f t="shared" si="119"/>
        <v/>
      </c>
      <c r="R456" s="47" t="str">
        <f t="shared" si="120"/>
        <v/>
      </c>
      <c r="S456" s="47" t="str">
        <f t="shared" ref="S456:S519" si="123">IF(N456&gt;100,L456,"")</f>
        <v/>
      </c>
      <c r="T456" s="47" t="str">
        <f t="shared" ref="T456:T519" si="124">IF(N456&gt;200,L456,"")</f>
        <v/>
      </c>
      <c r="U456" s="47" t="str">
        <f t="shared" si="121"/>
        <v/>
      </c>
      <c r="V456" s="47" t="str">
        <f t="shared" si="122"/>
        <v/>
      </c>
      <c r="W456" s="47">
        <f t="shared" si="113"/>
        <v>18</v>
      </c>
      <c r="X456" s="47">
        <f t="shared" si="114"/>
        <v>1</v>
      </c>
      <c r="Y456" s="41"/>
      <c r="AC456" s="42" t="s">
        <v>404</v>
      </c>
      <c r="AD456" s="42" t="s">
        <v>405</v>
      </c>
      <c r="AF456" s="42" t="s">
        <v>413</v>
      </c>
      <c r="AG456" s="42" t="s">
        <v>406</v>
      </c>
    </row>
    <row r="457" spans="1:33" x14ac:dyDescent="0.3">
      <c r="A457" s="53" t="s">
        <v>280</v>
      </c>
      <c r="B457" s="36">
        <v>455</v>
      </c>
      <c r="C457" s="39" t="str">
        <f t="shared" ca="1" si="115"/>
        <v>10년~5년 사이</v>
      </c>
      <c r="D457" s="7">
        <v>42869</v>
      </c>
      <c r="E457" s="5" t="str">
        <f t="shared" si="116"/>
        <v/>
      </c>
      <c r="F457" s="1" t="s">
        <v>1</v>
      </c>
      <c r="G457" s="33" t="s">
        <v>68</v>
      </c>
      <c r="H457" s="33" t="s">
        <v>95</v>
      </c>
      <c r="I457" s="54" t="s">
        <v>414</v>
      </c>
      <c r="J457" s="54" t="s">
        <v>399</v>
      </c>
      <c r="K457" s="54"/>
      <c r="L457" s="55">
        <v>1</v>
      </c>
      <c r="M457" s="16">
        <v>18</v>
      </c>
      <c r="N457" s="16">
        <v>18</v>
      </c>
      <c r="O457" s="47" t="str">
        <f t="shared" si="117"/>
        <v/>
      </c>
      <c r="P457" s="47" t="str">
        <f t="shared" si="118"/>
        <v/>
      </c>
      <c r="Q457" s="47" t="str">
        <f t="shared" si="119"/>
        <v/>
      </c>
      <c r="R457" s="47" t="str">
        <f t="shared" si="120"/>
        <v/>
      </c>
      <c r="S457" s="47" t="str">
        <f t="shared" si="123"/>
        <v/>
      </c>
      <c r="T457" s="47" t="str">
        <f t="shared" si="124"/>
        <v/>
      </c>
      <c r="U457" s="47" t="str">
        <f t="shared" si="121"/>
        <v/>
      </c>
      <c r="V457" s="47" t="str">
        <f t="shared" si="122"/>
        <v/>
      </c>
      <c r="W457" s="47">
        <f t="shared" si="113"/>
        <v>18</v>
      </c>
      <c r="X457" s="47">
        <f t="shared" si="114"/>
        <v>1</v>
      </c>
      <c r="Y457" s="41"/>
      <c r="AC457" s="42" t="s">
        <v>404</v>
      </c>
      <c r="AD457" s="42" t="s">
        <v>405</v>
      </c>
      <c r="AF457" s="42" t="s">
        <v>413</v>
      </c>
      <c r="AG457" s="42" t="s">
        <v>406</v>
      </c>
    </row>
    <row r="458" spans="1:33" x14ac:dyDescent="0.3">
      <c r="A458" s="53" t="s">
        <v>280</v>
      </c>
      <c r="B458" s="36">
        <v>456</v>
      </c>
      <c r="C458" s="39" t="str">
        <f t="shared" ca="1" si="115"/>
        <v>10년~5년 사이</v>
      </c>
      <c r="D458" s="7">
        <v>42869</v>
      </c>
      <c r="E458" s="5" t="str">
        <f t="shared" si="116"/>
        <v/>
      </c>
      <c r="F458" s="1" t="s">
        <v>1</v>
      </c>
      <c r="G458" s="33" t="s">
        <v>39</v>
      </c>
      <c r="H458" s="33" t="s">
        <v>47</v>
      </c>
      <c r="I458" s="54" t="s">
        <v>414</v>
      </c>
      <c r="J458" s="54" t="s">
        <v>399</v>
      </c>
      <c r="K458" s="54"/>
      <c r="L458" s="55">
        <v>1</v>
      </c>
      <c r="M458" s="16">
        <v>18</v>
      </c>
      <c r="N458" s="16">
        <v>18</v>
      </c>
      <c r="O458" s="47" t="str">
        <f t="shared" si="117"/>
        <v/>
      </c>
      <c r="P458" s="47" t="str">
        <f t="shared" si="118"/>
        <v/>
      </c>
      <c r="Q458" s="47" t="str">
        <f t="shared" si="119"/>
        <v/>
      </c>
      <c r="R458" s="47" t="str">
        <f t="shared" si="120"/>
        <v/>
      </c>
      <c r="S458" s="47" t="str">
        <f t="shared" si="123"/>
        <v/>
      </c>
      <c r="T458" s="47" t="str">
        <f t="shared" si="124"/>
        <v/>
      </c>
      <c r="U458" s="47" t="str">
        <f t="shared" si="121"/>
        <v/>
      </c>
      <c r="V458" s="47" t="str">
        <f t="shared" si="122"/>
        <v/>
      </c>
      <c r="W458" s="47">
        <f t="shared" si="113"/>
        <v>18</v>
      </c>
      <c r="X458" s="47">
        <f t="shared" si="114"/>
        <v>1</v>
      </c>
      <c r="Y458" s="41"/>
      <c r="AC458" s="42" t="s">
        <v>404</v>
      </c>
      <c r="AD458" s="42" t="s">
        <v>405</v>
      </c>
      <c r="AF458" s="42" t="s">
        <v>413</v>
      </c>
      <c r="AG458" s="42" t="s">
        <v>406</v>
      </c>
    </row>
    <row r="459" spans="1:33" x14ac:dyDescent="0.3">
      <c r="A459" s="53" t="s">
        <v>280</v>
      </c>
      <c r="B459" s="36">
        <v>457</v>
      </c>
      <c r="C459" s="39" t="str">
        <f t="shared" ca="1" si="115"/>
        <v>10년~5년 사이</v>
      </c>
      <c r="D459" s="7">
        <v>42920</v>
      </c>
      <c r="E459" s="5" t="str">
        <f t="shared" si="116"/>
        <v/>
      </c>
      <c r="F459" s="1" t="s">
        <v>1</v>
      </c>
      <c r="G459" s="33" t="s">
        <v>10</v>
      </c>
      <c r="H459" s="33" t="s">
        <v>48</v>
      </c>
      <c r="I459" s="54" t="s">
        <v>415</v>
      </c>
      <c r="J459" s="54" t="s">
        <v>399</v>
      </c>
      <c r="K459" s="54"/>
      <c r="L459" s="55">
        <v>1</v>
      </c>
      <c r="M459" s="16">
        <v>71.5</v>
      </c>
      <c r="N459" s="16">
        <v>71.5</v>
      </c>
      <c r="O459" s="47" t="str">
        <f t="shared" si="117"/>
        <v/>
      </c>
      <c r="P459" s="47" t="str">
        <f t="shared" si="118"/>
        <v/>
      </c>
      <c r="Q459" s="47" t="str">
        <f t="shared" si="119"/>
        <v/>
      </c>
      <c r="R459" s="47" t="str">
        <f t="shared" si="120"/>
        <v/>
      </c>
      <c r="S459" s="47" t="str">
        <f t="shared" si="123"/>
        <v/>
      </c>
      <c r="T459" s="47" t="str">
        <f t="shared" si="124"/>
        <v/>
      </c>
      <c r="U459" s="47" t="str">
        <f t="shared" si="121"/>
        <v/>
      </c>
      <c r="V459" s="47" t="str">
        <f t="shared" si="122"/>
        <v/>
      </c>
      <c r="W459" s="47">
        <f t="shared" si="113"/>
        <v>71.5</v>
      </c>
      <c r="X459" s="47">
        <f t="shared" si="114"/>
        <v>1</v>
      </c>
      <c r="Y459" s="41"/>
      <c r="AD459" s="42" t="s">
        <v>405</v>
      </c>
      <c r="AG459" s="42" t="s">
        <v>406</v>
      </c>
    </row>
    <row r="460" spans="1:33" x14ac:dyDescent="0.3">
      <c r="A460" s="53" t="s">
        <v>280</v>
      </c>
      <c r="B460" s="36">
        <v>458</v>
      </c>
      <c r="C460" s="39" t="str">
        <f t="shared" ca="1" si="115"/>
        <v>10년~5년 사이</v>
      </c>
      <c r="D460" s="7">
        <v>42920</v>
      </c>
      <c r="E460" s="5" t="str">
        <f t="shared" si="116"/>
        <v/>
      </c>
      <c r="F460" s="1" t="s">
        <v>1</v>
      </c>
      <c r="G460" s="33" t="s">
        <v>17</v>
      </c>
      <c r="H460" s="33" t="s">
        <v>76</v>
      </c>
      <c r="I460" s="54" t="s">
        <v>415</v>
      </c>
      <c r="J460" s="54" t="s">
        <v>399</v>
      </c>
      <c r="K460" s="54"/>
      <c r="L460" s="55">
        <v>1</v>
      </c>
      <c r="M460" s="16">
        <v>71.5</v>
      </c>
      <c r="N460" s="16">
        <v>71.5</v>
      </c>
      <c r="O460" s="47" t="str">
        <f t="shared" si="117"/>
        <v/>
      </c>
      <c r="P460" s="47" t="str">
        <f t="shared" si="118"/>
        <v/>
      </c>
      <c r="Q460" s="47" t="str">
        <f t="shared" si="119"/>
        <v/>
      </c>
      <c r="R460" s="47" t="str">
        <f t="shared" si="120"/>
        <v/>
      </c>
      <c r="S460" s="47" t="str">
        <f t="shared" si="123"/>
        <v/>
      </c>
      <c r="T460" s="47" t="str">
        <f t="shared" si="124"/>
        <v/>
      </c>
      <c r="U460" s="47" t="str">
        <f t="shared" si="121"/>
        <v/>
      </c>
      <c r="V460" s="47" t="str">
        <f t="shared" si="122"/>
        <v/>
      </c>
      <c r="W460" s="47">
        <f t="shared" si="113"/>
        <v>71.5</v>
      </c>
      <c r="X460" s="47">
        <f t="shared" si="114"/>
        <v>1</v>
      </c>
      <c r="Y460" s="41"/>
      <c r="AD460" s="42" t="s">
        <v>405</v>
      </c>
      <c r="AG460" s="42" t="s">
        <v>406</v>
      </c>
    </row>
    <row r="461" spans="1:33" x14ac:dyDescent="0.3">
      <c r="A461" s="53" t="s">
        <v>280</v>
      </c>
      <c r="B461" s="36">
        <v>459</v>
      </c>
      <c r="C461" s="39" t="str">
        <f t="shared" ca="1" si="115"/>
        <v>10년~5년 사이</v>
      </c>
      <c r="D461" s="7">
        <v>42968</v>
      </c>
      <c r="E461" s="5">
        <f t="shared" si="116"/>
        <v>2</v>
      </c>
      <c r="F461" s="1" t="s">
        <v>1</v>
      </c>
      <c r="G461" s="33" t="s">
        <v>10</v>
      </c>
      <c r="H461" s="33" t="s">
        <v>48</v>
      </c>
      <c r="I461" s="54" t="s">
        <v>416</v>
      </c>
      <c r="J461" s="54" t="s">
        <v>399</v>
      </c>
      <c r="K461" s="54"/>
      <c r="L461" s="55">
        <v>0.3</v>
      </c>
      <c r="M461" s="16">
        <v>2021.2</v>
      </c>
      <c r="N461" s="16">
        <v>606.29999999999995</v>
      </c>
      <c r="O461" s="47">
        <f t="shared" si="117"/>
        <v>0.3</v>
      </c>
      <c r="P461" s="47">
        <f t="shared" si="118"/>
        <v>0.3</v>
      </c>
      <c r="Q461" s="47">
        <f t="shared" si="119"/>
        <v>2021.2</v>
      </c>
      <c r="R461" s="47">
        <f t="shared" si="120"/>
        <v>2021.2</v>
      </c>
      <c r="S461" s="47">
        <f t="shared" si="123"/>
        <v>0.3</v>
      </c>
      <c r="T461" s="47">
        <f t="shared" si="124"/>
        <v>0.3</v>
      </c>
      <c r="U461" s="47">
        <f t="shared" si="121"/>
        <v>606.29999999999995</v>
      </c>
      <c r="V461" s="47">
        <f t="shared" si="122"/>
        <v>606.29999999999995</v>
      </c>
      <c r="W461" s="47">
        <f t="shared" si="113"/>
        <v>606.29999999999995</v>
      </c>
      <c r="X461" s="47">
        <f t="shared" si="114"/>
        <v>0.3</v>
      </c>
      <c r="Y461" s="41"/>
      <c r="Z461" s="42" t="s">
        <v>402</v>
      </c>
      <c r="AA461" s="42" t="s">
        <v>403</v>
      </c>
      <c r="AC461" s="42" t="s">
        <v>404</v>
      </c>
      <c r="AD461" s="42" t="s">
        <v>405</v>
      </c>
      <c r="AE461" s="42" t="s">
        <v>417</v>
      </c>
      <c r="AF461" s="42" t="s">
        <v>413</v>
      </c>
    </row>
    <row r="462" spans="1:33" x14ac:dyDescent="0.3">
      <c r="A462" s="53" t="s">
        <v>280</v>
      </c>
      <c r="B462" s="36">
        <v>460</v>
      </c>
      <c r="C462" s="39" t="str">
        <f t="shared" ca="1" si="115"/>
        <v>10년~5년 사이</v>
      </c>
      <c r="D462" s="7">
        <v>42968</v>
      </c>
      <c r="E462" s="5">
        <f t="shared" si="116"/>
        <v>2</v>
      </c>
      <c r="F462" s="1" t="s">
        <v>1</v>
      </c>
      <c r="G462" s="33" t="s">
        <v>68</v>
      </c>
      <c r="H462" s="33" t="s">
        <v>75</v>
      </c>
      <c r="I462" s="54" t="s">
        <v>416</v>
      </c>
      <c r="J462" s="54" t="s">
        <v>399</v>
      </c>
      <c r="K462" s="54"/>
      <c r="L462" s="55">
        <v>0.3</v>
      </c>
      <c r="M462" s="16">
        <v>2021.2</v>
      </c>
      <c r="N462" s="16">
        <v>606.29999999999995</v>
      </c>
      <c r="O462" s="47">
        <f t="shared" si="117"/>
        <v>0.3</v>
      </c>
      <c r="P462" s="47">
        <f t="shared" si="118"/>
        <v>0.3</v>
      </c>
      <c r="Q462" s="47">
        <f t="shared" si="119"/>
        <v>2021.2</v>
      </c>
      <c r="R462" s="47">
        <f t="shared" si="120"/>
        <v>2021.2</v>
      </c>
      <c r="S462" s="47">
        <f t="shared" si="123"/>
        <v>0.3</v>
      </c>
      <c r="T462" s="47">
        <f t="shared" si="124"/>
        <v>0.3</v>
      </c>
      <c r="U462" s="47">
        <f t="shared" si="121"/>
        <v>606.29999999999995</v>
      </c>
      <c r="V462" s="47">
        <f t="shared" si="122"/>
        <v>606.29999999999995</v>
      </c>
      <c r="W462" s="47">
        <f t="shared" si="113"/>
        <v>606.29999999999995</v>
      </c>
      <c r="X462" s="47">
        <f t="shared" si="114"/>
        <v>0.3</v>
      </c>
      <c r="Y462" s="41"/>
      <c r="Z462" s="42" t="s">
        <v>402</v>
      </c>
      <c r="AA462" s="42" t="s">
        <v>403</v>
      </c>
      <c r="AC462" s="42" t="s">
        <v>404</v>
      </c>
      <c r="AD462" s="42" t="s">
        <v>405</v>
      </c>
      <c r="AE462" s="42" t="s">
        <v>417</v>
      </c>
      <c r="AF462" s="42" t="s">
        <v>413</v>
      </c>
    </row>
    <row r="463" spans="1:33" x14ac:dyDescent="0.3">
      <c r="A463" s="53" t="s">
        <v>280</v>
      </c>
      <c r="B463" s="36">
        <v>461</v>
      </c>
      <c r="C463" s="39" t="str">
        <f t="shared" ca="1" si="115"/>
        <v>10년~5년 사이</v>
      </c>
      <c r="D463" s="7">
        <v>43007</v>
      </c>
      <c r="E463" s="5">
        <f t="shared" si="116"/>
        <v>2</v>
      </c>
      <c r="F463" s="1" t="s">
        <v>1</v>
      </c>
      <c r="G463" s="33" t="s">
        <v>10</v>
      </c>
      <c r="H463" s="33" t="s">
        <v>48</v>
      </c>
      <c r="I463" s="54" t="s">
        <v>418</v>
      </c>
      <c r="J463" s="54" t="s">
        <v>399</v>
      </c>
      <c r="K463" s="54"/>
      <c r="L463" s="55">
        <v>0.4</v>
      </c>
      <c r="M463" s="16">
        <v>586.70000000000005</v>
      </c>
      <c r="N463" s="16">
        <v>234.7</v>
      </c>
      <c r="O463" s="47">
        <f t="shared" si="117"/>
        <v>0.4</v>
      </c>
      <c r="P463" s="47">
        <f t="shared" si="118"/>
        <v>0.4</v>
      </c>
      <c r="Q463" s="47">
        <f t="shared" si="119"/>
        <v>586.70000000000005</v>
      </c>
      <c r="R463" s="47">
        <f t="shared" si="120"/>
        <v>586.70000000000005</v>
      </c>
      <c r="S463" s="47">
        <f t="shared" si="123"/>
        <v>0.4</v>
      </c>
      <c r="T463" s="47">
        <f t="shared" si="124"/>
        <v>0.4</v>
      </c>
      <c r="U463" s="47">
        <f t="shared" si="121"/>
        <v>234.7</v>
      </c>
      <c r="V463" s="47">
        <f t="shared" si="122"/>
        <v>234.7</v>
      </c>
      <c r="W463" s="47">
        <f t="shared" ref="W463:W526" si="125">N463</f>
        <v>234.7</v>
      </c>
      <c r="X463" s="47">
        <f t="shared" ref="X463:X526" si="126">IF(W463&gt;0,L463,"")</f>
        <v>0.4</v>
      </c>
      <c r="Y463" s="41"/>
      <c r="Z463" s="42" t="s">
        <v>402</v>
      </c>
      <c r="AC463" s="42" t="s">
        <v>404</v>
      </c>
      <c r="AD463" s="42" t="s">
        <v>405</v>
      </c>
      <c r="AF463" s="42" t="s">
        <v>413</v>
      </c>
      <c r="AG463" s="42" t="s">
        <v>406</v>
      </c>
    </row>
    <row r="464" spans="1:33" x14ac:dyDescent="0.3">
      <c r="A464" s="53" t="s">
        <v>280</v>
      </c>
      <c r="B464" s="36">
        <v>462</v>
      </c>
      <c r="C464" s="39" t="str">
        <f t="shared" ca="1" si="115"/>
        <v>10년~5년 사이</v>
      </c>
      <c r="D464" s="7">
        <v>43007</v>
      </c>
      <c r="E464" s="5">
        <f t="shared" si="116"/>
        <v>2</v>
      </c>
      <c r="F464" s="1" t="s">
        <v>1</v>
      </c>
      <c r="G464" s="33" t="s">
        <v>68</v>
      </c>
      <c r="H464" s="33" t="s">
        <v>75</v>
      </c>
      <c r="I464" s="54" t="s">
        <v>418</v>
      </c>
      <c r="J464" s="54" t="s">
        <v>399</v>
      </c>
      <c r="K464" s="54"/>
      <c r="L464" s="55">
        <v>0.4</v>
      </c>
      <c r="M464" s="16">
        <v>586.70000000000005</v>
      </c>
      <c r="N464" s="16">
        <v>234.7</v>
      </c>
      <c r="O464" s="47">
        <f t="shared" si="117"/>
        <v>0.4</v>
      </c>
      <c r="P464" s="47">
        <f t="shared" si="118"/>
        <v>0.4</v>
      </c>
      <c r="Q464" s="47">
        <f t="shared" si="119"/>
        <v>586.70000000000005</v>
      </c>
      <c r="R464" s="47">
        <f t="shared" si="120"/>
        <v>586.70000000000005</v>
      </c>
      <c r="S464" s="47">
        <f t="shared" si="123"/>
        <v>0.4</v>
      </c>
      <c r="T464" s="47">
        <f t="shared" si="124"/>
        <v>0.4</v>
      </c>
      <c r="U464" s="47">
        <f t="shared" si="121"/>
        <v>234.7</v>
      </c>
      <c r="V464" s="47">
        <f t="shared" si="122"/>
        <v>234.7</v>
      </c>
      <c r="W464" s="47">
        <f t="shared" si="125"/>
        <v>234.7</v>
      </c>
      <c r="X464" s="47">
        <f t="shared" si="126"/>
        <v>0.4</v>
      </c>
      <c r="Y464" s="41"/>
      <c r="Z464" s="42" t="s">
        <v>402</v>
      </c>
      <c r="AC464" s="42" t="s">
        <v>404</v>
      </c>
      <c r="AD464" s="42" t="s">
        <v>405</v>
      </c>
      <c r="AF464" s="42" t="s">
        <v>413</v>
      </c>
      <c r="AG464" s="42" t="s">
        <v>406</v>
      </c>
    </row>
    <row r="465" spans="1:39" x14ac:dyDescent="0.3">
      <c r="A465" s="53" t="s">
        <v>280</v>
      </c>
      <c r="B465" s="36">
        <v>463</v>
      </c>
      <c r="C465" s="39" t="str">
        <f t="shared" ca="1" si="115"/>
        <v>10년~5년 사이</v>
      </c>
      <c r="D465" s="7">
        <v>43010</v>
      </c>
      <c r="E465" s="5">
        <f t="shared" si="116"/>
        <v>1</v>
      </c>
      <c r="F465" s="1" t="s">
        <v>1</v>
      </c>
      <c r="G465" s="33" t="s">
        <v>39</v>
      </c>
      <c r="H465" s="33" t="s">
        <v>420</v>
      </c>
      <c r="I465" s="54" t="s">
        <v>419</v>
      </c>
      <c r="J465" s="54" t="s">
        <v>399</v>
      </c>
      <c r="K465" s="54"/>
      <c r="L465" s="55">
        <v>0.86</v>
      </c>
      <c r="M465" s="16">
        <v>147.1</v>
      </c>
      <c r="N465" s="16">
        <v>124</v>
      </c>
      <c r="O465" s="47">
        <f t="shared" si="117"/>
        <v>0.86</v>
      </c>
      <c r="P465" s="47" t="str">
        <f t="shared" si="118"/>
        <v/>
      </c>
      <c r="Q465" s="47">
        <f t="shared" si="119"/>
        <v>147.1</v>
      </c>
      <c r="R465" s="47" t="str">
        <f t="shared" si="120"/>
        <v/>
      </c>
      <c r="S465" s="47">
        <f t="shared" si="123"/>
        <v>0.86</v>
      </c>
      <c r="T465" s="47" t="str">
        <f t="shared" si="124"/>
        <v/>
      </c>
      <c r="U465" s="47">
        <f t="shared" si="121"/>
        <v>124</v>
      </c>
      <c r="V465" s="47" t="str">
        <f t="shared" si="122"/>
        <v/>
      </c>
      <c r="W465" s="47">
        <f t="shared" si="125"/>
        <v>124</v>
      </c>
      <c r="X465" s="47">
        <f t="shared" si="126"/>
        <v>0.86</v>
      </c>
      <c r="Y465" s="41"/>
      <c r="Z465" s="42" t="s">
        <v>402</v>
      </c>
      <c r="AA465" s="42" t="s">
        <v>403</v>
      </c>
      <c r="AC465" s="42" t="s">
        <v>404</v>
      </c>
      <c r="AD465" s="42" t="s">
        <v>405</v>
      </c>
      <c r="AE465" s="42" t="s">
        <v>417</v>
      </c>
      <c r="AF465" s="42" t="s">
        <v>413</v>
      </c>
      <c r="AG465" s="42" t="s">
        <v>406</v>
      </c>
    </row>
    <row r="466" spans="1:39" x14ac:dyDescent="0.3">
      <c r="A466" s="53" t="s">
        <v>280</v>
      </c>
      <c r="B466" s="36">
        <v>464</v>
      </c>
      <c r="C466" s="39" t="str">
        <f t="shared" ca="1" si="115"/>
        <v>10년~5년 사이</v>
      </c>
      <c r="D466" s="7">
        <v>43010</v>
      </c>
      <c r="E466" s="5">
        <f t="shared" si="116"/>
        <v>1</v>
      </c>
      <c r="F466" s="1" t="s">
        <v>1</v>
      </c>
      <c r="G466" s="33" t="s">
        <v>421</v>
      </c>
      <c r="H466" s="33" t="s">
        <v>422</v>
      </c>
      <c r="I466" s="54" t="s">
        <v>419</v>
      </c>
      <c r="J466" s="54" t="s">
        <v>399</v>
      </c>
      <c r="K466" s="54"/>
      <c r="L466" s="55">
        <v>0.86</v>
      </c>
      <c r="M466" s="16">
        <v>147.1</v>
      </c>
      <c r="N466" s="16">
        <v>124</v>
      </c>
      <c r="O466" s="47">
        <f t="shared" si="117"/>
        <v>0.86</v>
      </c>
      <c r="P466" s="47" t="str">
        <f t="shared" si="118"/>
        <v/>
      </c>
      <c r="Q466" s="47">
        <f t="shared" si="119"/>
        <v>147.1</v>
      </c>
      <c r="R466" s="47" t="str">
        <f t="shared" si="120"/>
        <v/>
      </c>
      <c r="S466" s="47">
        <f t="shared" si="123"/>
        <v>0.86</v>
      </c>
      <c r="T466" s="47" t="str">
        <f t="shared" si="124"/>
        <v/>
      </c>
      <c r="U466" s="47">
        <f t="shared" si="121"/>
        <v>124</v>
      </c>
      <c r="V466" s="47" t="str">
        <f t="shared" si="122"/>
        <v/>
      </c>
      <c r="W466" s="47">
        <f t="shared" si="125"/>
        <v>124</v>
      </c>
      <c r="X466" s="47">
        <f t="shared" si="126"/>
        <v>0.86</v>
      </c>
      <c r="Y466" s="41"/>
      <c r="Z466" s="42" t="s">
        <v>402</v>
      </c>
      <c r="AA466" s="42" t="s">
        <v>403</v>
      </c>
      <c r="AC466" s="42" t="s">
        <v>404</v>
      </c>
      <c r="AD466" s="42" t="s">
        <v>405</v>
      </c>
      <c r="AE466" s="42" t="s">
        <v>417</v>
      </c>
      <c r="AF466" s="42" t="s">
        <v>413</v>
      </c>
      <c r="AG466" s="42" t="s">
        <v>406</v>
      </c>
    </row>
    <row r="467" spans="1:39" x14ac:dyDescent="0.3">
      <c r="A467" s="53" t="s">
        <v>280</v>
      </c>
      <c r="B467" s="36">
        <v>465</v>
      </c>
      <c r="C467" s="39" t="str">
        <f t="shared" ca="1" si="115"/>
        <v>10년~5년 사이</v>
      </c>
      <c r="D467" s="7">
        <v>43089</v>
      </c>
      <c r="E467" s="5" t="str">
        <f t="shared" si="116"/>
        <v/>
      </c>
      <c r="F467" s="1" t="s">
        <v>1</v>
      </c>
      <c r="G467" s="33" t="s">
        <v>17</v>
      </c>
      <c r="H467" s="33" t="s">
        <v>76</v>
      </c>
      <c r="I467" s="54" t="s">
        <v>423</v>
      </c>
      <c r="J467" s="54" t="s">
        <v>399</v>
      </c>
      <c r="K467" s="54"/>
      <c r="L467" s="55">
        <v>1</v>
      </c>
      <c r="M467" s="16">
        <v>57.4</v>
      </c>
      <c r="N467" s="16">
        <v>57.4</v>
      </c>
      <c r="O467" s="47" t="str">
        <f t="shared" si="117"/>
        <v/>
      </c>
      <c r="P467" s="47" t="str">
        <f t="shared" si="118"/>
        <v/>
      </c>
      <c r="Q467" s="47" t="str">
        <f t="shared" si="119"/>
        <v/>
      </c>
      <c r="R467" s="47" t="str">
        <f t="shared" si="120"/>
        <v/>
      </c>
      <c r="S467" s="47" t="str">
        <f t="shared" si="123"/>
        <v/>
      </c>
      <c r="T467" s="47" t="str">
        <f t="shared" si="124"/>
        <v/>
      </c>
      <c r="U467" s="47" t="str">
        <f t="shared" si="121"/>
        <v/>
      </c>
      <c r="V467" s="47" t="str">
        <f t="shared" si="122"/>
        <v/>
      </c>
      <c r="W467" s="47">
        <f t="shared" si="125"/>
        <v>57.4</v>
      </c>
      <c r="X467" s="47">
        <f t="shared" si="126"/>
        <v>1</v>
      </c>
      <c r="Y467" s="41"/>
      <c r="AA467" s="42" t="s">
        <v>403</v>
      </c>
      <c r="AD467" s="42" t="s">
        <v>405</v>
      </c>
      <c r="AE467" s="42" t="s">
        <v>417</v>
      </c>
      <c r="AF467" s="42" t="s">
        <v>413</v>
      </c>
      <c r="AG467" s="42" t="s">
        <v>406</v>
      </c>
    </row>
    <row r="468" spans="1:39" x14ac:dyDescent="0.3">
      <c r="A468" s="53" t="s">
        <v>280</v>
      </c>
      <c r="B468" s="36">
        <v>466</v>
      </c>
      <c r="C468" s="39" t="str">
        <f t="shared" ca="1" si="115"/>
        <v>10년~5년 사이</v>
      </c>
      <c r="D468" s="7">
        <v>43180</v>
      </c>
      <c r="E468" s="5">
        <f t="shared" si="116"/>
        <v>1</v>
      </c>
      <c r="F468" s="1" t="s">
        <v>1</v>
      </c>
      <c r="G468" s="33" t="s">
        <v>17</v>
      </c>
      <c r="H468" s="33" t="s">
        <v>76</v>
      </c>
      <c r="I468" s="54" t="s">
        <v>424</v>
      </c>
      <c r="J468" s="54" t="s">
        <v>399</v>
      </c>
      <c r="K468" s="54"/>
      <c r="L468" s="55">
        <v>0.58799999999999997</v>
      </c>
      <c r="M468" s="16">
        <v>271.7</v>
      </c>
      <c r="N468" s="16">
        <v>159.9</v>
      </c>
      <c r="O468" s="47">
        <f t="shared" si="117"/>
        <v>0.58799999999999997</v>
      </c>
      <c r="P468" s="47">
        <f t="shared" si="118"/>
        <v>0.58799999999999997</v>
      </c>
      <c r="Q468" s="47">
        <f t="shared" si="119"/>
        <v>271.7</v>
      </c>
      <c r="R468" s="47">
        <f t="shared" si="120"/>
        <v>271.7</v>
      </c>
      <c r="S468" s="47">
        <f t="shared" si="123"/>
        <v>0.58799999999999997</v>
      </c>
      <c r="T468" s="47" t="str">
        <f t="shared" si="124"/>
        <v/>
      </c>
      <c r="U468" s="47">
        <f t="shared" si="121"/>
        <v>159.9</v>
      </c>
      <c r="V468" s="47" t="str">
        <f t="shared" si="122"/>
        <v/>
      </c>
      <c r="W468" s="47">
        <f t="shared" si="125"/>
        <v>159.9</v>
      </c>
      <c r="X468" s="47">
        <f t="shared" si="126"/>
        <v>0.58799999999999997</v>
      </c>
      <c r="Y468" s="41"/>
      <c r="AA468" s="42" t="s">
        <v>403</v>
      </c>
      <c r="AC468" s="42" t="s">
        <v>404</v>
      </c>
      <c r="AD468" s="42" t="s">
        <v>405</v>
      </c>
      <c r="AE468" s="42" t="s">
        <v>417</v>
      </c>
      <c r="AF468" s="42" t="s">
        <v>413</v>
      </c>
      <c r="AG468" s="42" t="s">
        <v>406</v>
      </c>
      <c r="AK468" s="42" t="s">
        <v>407</v>
      </c>
    </row>
    <row r="469" spans="1:39" x14ac:dyDescent="0.3">
      <c r="A469" s="53" t="s">
        <v>280</v>
      </c>
      <c r="B469" s="36">
        <v>467</v>
      </c>
      <c r="C469" s="39" t="str">
        <f t="shared" ca="1" si="115"/>
        <v>10년~5년 사이</v>
      </c>
      <c r="D469" s="7">
        <v>43180</v>
      </c>
      <c r="E469" s="5">
        <f t="shared" si="116"/>
        <v>1</v>
      </c>
      <c r="F469" s="1" t="s">
        <v>1</v>
      </c>
      <c r="G469" s="33" t="s">
        <v>39</v>
      </c>
      <c r="H469" s="33" t="s">
        <v>47</v>
      </c>
      <c r="I469" s="54" t="s">
        <v>424</v>
      </c>
      <c r="J469" s="54" t="s">
        <v>399</v>
      </c>
      <c r="K469" s="54"/>
      <c r="L469" s="55">
        <v>0.58799999999999997</v>
      </c>
      <c r="M469" s="16">
        <v>271.7</v>
      </c>
      <c r="N469" s="16">
        <v>159.9</v>
      </c>
      <c r="O469" s="47">
        <f t="shared" si="117"/>
        <v>0.58799999999999997</v>
      </c>
      <c r="P469" s="47">
        <f t="shared" si="118"/>
        <v>0.58799999999999997</v>
      </c>
      <c r="Q469" s="47">
        <f t="shared" si="119"/>
        <v>271.7</v>
      </c>
      <c r="R469" s="47">
        <f t="shared" si="120"/>
        <v>271.7</v>
      </c>
      <c r="S469" s="47">
        <f t="shared" si="123"/>
        <v>0.58799999999999997</v>
      </c>
      <c r="T469" s="47" t="str">
        <f t="shared" si="124"/>
        <v/>
      </c>
      <c r="U469" s="47">
        <f t="shared" si="121"/>
        <v>159.9</v>
      </c>
      <c r="V469" s="47" t="str">
        <f t="shared" si="122"/>
        <v/>
      </c>
      <c r="W469" s="47">
        <f t="shared" si="125"/>
        <v>159.9</v>
      </c>
      <c r="X469" s="47">
        <f t="shared" si="126"/>
        <v>0.58799999999999997</v>
      </c>
      <c r="Y469" s="41"/>
      <c r="AA469" s="42" t="s">
        <v>403</v>
      </c>
      <c r="AC469" s="42" t="s">
        <v>404</v>
      </c>
      <c r="AD469" s="42" t="s">
        <v>405</v>
      </c>
      <c r="AE469" s="42" t="s">
        <v>417</v>
      </c>
      <c r="AF469" s="42" t="s">
        <v>413</v>
      </c>
      <c r="AG469" s="42" t="s">
        <v>406</v>
      </c>
      <c r="AK469" s="42" t="s">
        <v>407</v>
      </c>
    </row>
    <row r="470" spans="1:39" x14ac:dyDescent="0.3">
      <c r="A470" s="53" t="s">
        <v>280</v>
      </c>
      <c r="B470" s="36">
        <v>468</v>
      </c>
      <c r="C470" s="39" t="str">
        <f t="shared" ca="1" si="115"/>
        <v>10년~5년 사이</v>
      </c>
      <c r="D470" s="7">
        <v>43334</v>
      </c>
      <c r="E470" s="5">
        <f t="shared" si="116"/>
        <v>2</v>
      </c>
      <c r="F470" s="1" t="s">
        <v>1</v>
      </c>
      <c r="G470" s="33" t="s">
        <v>10</v>
      </c>
      <c r="H470" s="33" t="s">
        <v>48</v>
      </c>
      <c r="I470" s="54" t="s">
        <v>425</v>
      </c>
      <c r="J470" s="54" t="s">
        <v>399</v>
      </c>
      <c r="K470" s="54"/>
      <c r="L470" s="55">
        <v>0.47</v>
      </c>
      <c r="M470" s="16">
        <v>975.3</v>
      </c>
      <c r="N470" s="16">
        <v>458.4</v>
      </c>
      <c r="O470" s="47">
        <f t="shared" si="117"/>
        <v>0.47</v>
      </c>
      <c r="P470" s="47">
        <f t="shared" si="118"/>
        <v>0.47</v>
      </c>
      <c r="Q470" s="47">
        <f t="shared" si="119"/>
        <v>975.3</v>
      </c>
      <c r="R470" s="47">
        <f t="shared" si="120"/>
        <v>975.3</v>
      </c>
      <c r="S470" s="47">
        <f t="shared" si="123"/>
        <v>0.47</v>
      </c>
      <c r="T470" s="47">
        <f t="shared" si="124"/>
        <v>0.47</v>
      </c>
      <c r="U470" s="47">
        <f t="shared" si="121"/>
        <v>458.4</v>
      </c>
      <c r="V470" s="47">
        <f t="shared" si="122"/>
        <v>458.4</v>
      </c>
      <c r="W470" s="47">
        <f t="shared" si="125"/>
        <v>458.4</v>
      </c>
      <c r="X470" s="47">
        <f t="shared" si="126"/>
        <v>0.47</v>
      </c>
      <c r="Y470" s="41"/>
      <c r="Z470" s="42" t="s">
        <v>402</v>
      </c>
      <c r="AE470" s="42" t="s">
        <v>417</v>
      </c>
      <c r="AF470" s="42" t="s">
        <v>413</v>
      </c>
      <c r="AG470" s="42" t="s">
        <v>406</v>
      </c>
      <c r="AM470" s="42" t="s">
        <v>426</v>
      </c>
    </row>
    <row r="471" spans="1:39" x14ac:dyDescent="0.3">
      <c r="A471" s="53" t="s">
        <v>280</v>
      </c>
      <c r="B471" s="36">
        <v>469</v>
      </c>
      <c r="C471" s="39" t="str">
        <f t="shared" ca="1" si="115"/>
        <v>10년~5년 사이</v>
      </c>
      <c r="D471" s="7">
        <v>43334</v>
      </c>
      <c r="E471" s="5">
        <f t="shared" si="116"/>
        <v>2</v>
      </c>
      <c r="F471" s="1" t="s">
        <v>1</v>
      </c>
      <c r="G471" s="33" t="s">
        <v>68</v>
      </c>
      <c r="H471" s="33" t="s">
        <v>75</v>
      </c>
      <c r="I471" s="54" t="s">
        <v>425</v>
      </c>
      <c r="J471" s="54" t="s">
        <v>399</v>
      </c>
      <c r="K471" s="54"/>
      <c r="L471" s="55">
        <v>0.47</v>
      </c>
      <c r="M471" s="16">
        <v>975.3</v>
      </c>
      <c r="N471" s="16">
        <v>458.4</v>
      </c>
      <c r="O471" s="47">
        <f t="shared" si="117"/>
        <v>0.47</v>
      </c>
      <c r="P471" s="47">
        <f t="shared" si="118"/>
        <v>0.47</v>
      </c>
      <c r="Q471" s="47">
        <f t="shared" si="119"/>
        <v>975.3</v>
      </c>
      <c r="R471" s="47">
        <f t="shared" si="120"/>
        <v>975.3</v>
      </c>
      <c r="S471" s="47">
        <f t="shared" si="123"/>
        <v>0.47</v>
      </c>
      <c r="T471" s="47">
        <f t="shared" si="124"/>
        <v>0.47</v>
      </c>
      <c r="U471" s="47">
        <f t="shared" si="121"/>
        <v>458.4</v>
      </c>
      <c r="V471" s="47">
        <f t="shared" si="122"/>
        <v>458.4</v>
      </c>
      <c r="W471" s="47">
        <f t="shared" si="125"/>
        <v>458.4</v>
      </c>
      <c r="X471" s="47">
        <f t="shared" si="126"/>
        <v>0.47</v>
      </c>
      <c r="Y471" s="41"/>
      <c r="Z471" s="42" t="s">
        <v>402</v>
      </c>
      <c r="AE471" s="42" t="s">
        <v>417</v>
      </c>
      <c r="AF471" s="42" t="s">
        <v>413</v>
      </c>
      <c r="AG471" s="42" t="s">
        <v>406</v>
      </c>
      <c r="AM471" s="42" t="s">
        <v>426</v>
      </c>
    </row>
    <row r="472" spans="1:39" x14ac:dyDescent="0.3">
      <c r="A472" s="53" t="s">
        <v>280</v>
      </c>
      <c r="B472" s="36">
        <v>470</v>
      </c>
      <c r="C472" s="39" t="str">
        <f t="shared" ca="1" si="115"/>
        <v>10년~5년 사이</v>
      </c>
      <c r="D472" s="7">
        <v>43334</v>
      </c>
      <c r="E472" s="5">
        <f t="shared" si="116"/>
        <v>2</v>
      </c>
      <c r="F472" s="1" t="s">
        <v>1</v>
      </c>
      <c r="G472" s="33" t="s">
        <v>97</v>
      </c>
      <c r="H472" s="33" t="s">
        <v>98</v>
      </c>
      <c r="I472" s="54" t="s">
        <v>425</v>
      </c>
      <c r="J472" s="54" t="s">
        <v>399</v>
      </c>
      <c r="K472" s="54"/>
      <c r="L472" s="55">
        <v>0.47</v>
      </c>
      <c r="M472" s="16">
        <v>975.3</v>
      </c>
      <c r="N472" s="16">
        <v>458.4</v>
      </c>
      <c r="O472" s="47">
        <f t="shared" si="117"/>
        <v>0.47</v>
      </c>
      <c r="P472" s="47">
        <f t="shared" si="118"/>
        <v>0.47</v>
      </c>
      <c r="Q472" s="47">
        <f t="shared" si="119"/>
        <v>975.3</v>
      </c>
      <c r="R472" s="47">
        <f t="shared" si="120"/>
        <v>975.3</v>
      </c>
      <c r="S472" s="47">
        <f t="shared" si="123"/>
        <v>0.47</v>
      </c>
      <c r="T472" s="47">
        <f t="shared" si="124"/>
        <v>0.47</v>
      </c>
      <c r="U472" s="47">
        <f t="shared" si="121"/>
        <v>458.4</v>
      </c>
      <c r="V472" s="47">
        <f t="shared" si="122"/>
        <v>458.4</v>
      </c>
      <c r="W472" s="47">
        <f t="shared" si="125"/>
        <v>458.4</v>
      </c>
      <c r="X472" s="47">
        <f t="shared" si="126"/>
        <v>0.47</v>
      </c>
      <c r="Y472" s="41"/>
      <c r="Z472" s="42" t="s">
        <v>402</v>
      </c>
      <c r="AE472" s="42" t="s">
        <v>417</v>
      </c>
      <c r="AF472" s="42" t="s">
        <v>413</v>
      </c>
      <c r="AG472" s="42" t="s">
        <v>406</v>
      </c>
      <c r="AM472" s="42" t="s">
        <v>426</v>
      </c>
    </row>
    <row r="473" spans="1:39" x14ac:dyDescent="0.3">
      <c r="A473" s="53" t="s">
        <v>280</v>
      </c>
      <c r="B473" s="36">
        <v>471</v>
      </c>
      <c r="C473" s="39" t="str">
        <f t="shared" ca="1" si="115"/>
        <v>10년~5년 사이</v>
      </c>
      <c r="D473" s="7">
        <v>43334</v>
      </c>
      <c r="E473" s="5">
        <f t="shared" si="116"/>
        <v>2</v>
      </c>
      <c r="F473" s="1" t="s">
        <v>1</v>
      </c>
      <c r="G473" s="33" t="s">
        <v>230</v>
      </c>
      <c r="H473" s="33" t="s">
        <v>229</v>
      </c>
      <c r="I473" s="54" t="s">
        <v>425</v>
      </c>
      <c r="J473" s="54" t="s">
        <v>399</v>
      </c>
      <c r="K473" s="54"/>
      <c r="L473" s="55">
        <v>0.47</v>
      </c>
      <c r="M473" s="16">
        <v>975.3</v>
      </c>
      <c r="N473" s="16">
        <v>458.4</v>
      </c>
      <c r="O473" s="47">
        <f t="shared" si="117"/>
        <v>0.47</v>
      </c>
      <c r="P473" s="47">
        <f t="shared" si="118"/>
        <v>0.47</v>
      </c>
      <c r="Q473" s="47">
        <f t="shared" si="119"/>
        <v>975.3</v>
      </c>
      <c r="R473" s="47">
        <f t="shared" si="120"/>
        <v>975.3</v>
      </c>
      <c r="S473" s="47">
        <f t="shared" si="123"/>
        <v>0.47</v>
      </c>
      <c r="T473" s="47">
        <f t="shared" si="124"/>
        <v>0.47</v>
      </c>
      <c r="U473" s="47">
        <f t="shared" si="121"/>
        <v>458.4</v>
      </c>
      <c r="V473" s="47">
        <f t="shared" si="122"/>
        <v>458.4</v>
      </c>
      <c r="W473" s="47">
        <f t="shared" si="125"/>
        <v>458.4</v>
      </c>
      <c r="X473" s="47">
        <f t="shared" si="126"/>
        <v>0.47</v>
      </c>
      <c r="Y473" s="41"/>
      <c r="Z473" s="42" t="s">
        <v>402</v>
      </c>
      <c r="AE473" s="42" t="s">
        <v>417</v>
      </c>
      <c r="AF473" s="42" t="s">
        <v>413</v>
      </c>
      <c r="AG473" s="42" t="s">
        <v>406</v>
      </c>
      <c r="AM473" s="42" t="s">
        <v>426</v>
      </c>
    </row>
    <row r="474" spans="1:39" x14ac:dyDescent="0.3">
      <c r="A474" s="53" t="s">
        <v>280</v>
      </c>
      <c r="B474" s="36">
        <v>472</v>
      </c>
      <c r="C474" s="39" t="str">
        <f t="shared" ca="1" si="115"/>
        <v>10년~5년 사이</v>
      </c>
      <c r="D474" s="7">
        <v>43388</v>
      </c>
      <c r="E474" s="5">
        <f t="shared" si="116"/>
        <v>2</v>
      </c>
      <c r="F474" s="1" t="s">
        <v>1</v>
      </c>
      <c r="G474" s="33" t="s">
        <v>10</v>
      </c>
      <c r="H474" s="33" t="s">
        <v>48</v>
      </c>
      <c r="I474" s="54" t="s">
        <v>427</v>
      </c>
      <c r="J474" s="54" t="s">
        <v>399</v>
      </c>
      <c r="K474" s="54"/>
      <c r="L474" s="55">
        <v>0.6</v>
      </c>
      <c r="M474" s="16">
        <v>387.6</v>
      </c>
      <c r="N474" s="16">
        <v>232.6</v>
      </c>
      <c r="O474" s="47">
        <f t="shared" si="117"/>
        <v>0.6</v>
      </c>
      <c r="P474" s="47">
        <f t="shared" si="118"/>
        <v>0.6</v>
      </c>
      <c r="Q474" s="47">
        <f t="shared" si="119"/>
        <v>387.6</v>
      </c>
      <c r="R474" s="47">
        <f t="shared" si="120"/>
        <v>387.6</v>
      </c>
      <c r="S474" s="47">
        <f t="shared" si="123"/>
        <v>0.6</v>
      </c>
      <c r="T474" s="47">
        <f t="shared" si="124"/>
        <v>0.6</v>
      </c>
      <c r="U474" s="47">
        <f t="shared" si="121"/>
        <v>232.6</v>
      </c>
      <c r="V474" s="47">
        <f t="shared" si="122"/>
        <v>232.6</v>
      </c>
      <c r="W474" s="47">
        <f t="shared" si="125"/>
        <v>232.6</v>
      </c>
      <c r="X474" s="47">
        <f t="shared" si="126"/>
        <v>0.6</v>
      </c>
      <c r="Y474" s="41"/>
      <c r="Z474" s="42" t="s">
        <v>402</v>
      </c>
      <c r="AD474" s="42" t="s">
        <v>405</v>
      </c>
      <c r="AF474" s="42" t="s">
        <v>413</v>
      </c>
      <c r="AG474" s="42" t="s">
        <v>406</v>
      </c>
      <c r="AK474" s="42" t="s">
        <v>407</v>
      </c>
      <c r="AM474" s="42" t="s">
        <v>426</v>
      </c>
    </row>
    <row r="475" spans="1:39" x14ac:dyDescent="0.3">
      <c r="A475" s="53" t="s">
        <v>280</v>
      </c>
      <c r="B475" s="36">
        <v>473</v>
      </c>
      <c r="C475" s="39" t="str">
        <f t="shared" ca="1" si="115"/>
        <v>10년~5년 사이</v>
      </c>
      <c r="D475" s="7">
        <v>43388</v>
      </c>
      <c r="E475" s="5">
        <f t="shared" si="116"/>
        <v>2</v>
      </c>
      <c r="F475" s="1" t="s">
        <v>1</v>
      </c>
      <c r="G475" s="33" t="s">
        <v>78</v>
      </c>
      <c r="H475" s="33" t="s">
        <v>79</v>
      </c>
      <c r="I475" s="54" t="s">
        <v>427</v>
      </c>
      <c r="J475" s="54" t="s">
        <v>399</v>
      </c>
      <c r="K475" s="54"/>
      <c r="L475" s="55">
        <v>0.6</v>
      </c>
      <c r="M475" s="16">
        <v>387.6</v>
      </c>
      <c r="N475" s="16">
        <v>232.6</v>
      </c>
      <c r="O475" s="47">
        <f t="shared" si="117"/>
        <v>0.6</v>
      </c>
      <c r="P475" s="47">
        <f t="shared" si="118"/>
        <v>0.6</v>
      </c>
      <c r="Q475" s="47">
        <f t="shared" si="119"/>
        <v>387.6</v>
      </c>
      <c r="R475" s="47">
        <f t="shared" si="120"/>
        <v>387.6</v>
      </c>
      <c r="S475" s="47">
        <f t="shared" si="123"/>
        <v>0.6</v>
      </c>
      <c r="T475" s="47">
        <f t="shared" si="124"/>
        <v>0.6</v>
      </c>
      <c r="U475" s="47">
        <f t="shared" si="121"/>
        <v>232.6</v>
      </c>
      <c r="V475" s="47">
        <f t="shared" si="122"/>
        <v>232.6</v>
      </c>
      <c r="W475" s="47">
        <f t="shared" si="125"/>
        <v>232.6</v>
      </c>
      <c r="X475" s="47">
        <f t="shared" si="126"/>
        <v>0.6</v>
      </c>
      <c r="Y475" s="41"/>
      <c r="Z475" s="42" t="s">
        <v>402</v>
      </c>
      <c r="AD475" s="42" t="s">
        <v>405</v>
      </c>
      <c r="AF475" s="42" t="s">
        <v>413</v>
      </c>
      <c r="AG475" s="42" t="s">
        <v>406</v>
      </c>
      <c r="AK475" s="42" t="s">
        <v>407</v>
      </c>
      <c r="AM475" s="42" t="s">
        <v>426</v>
      </c>
    </row>
    <row r="476" spans="1:39" x14ac:dyDescent="0.3">
      <c r="A476" s="53" t="s">
        <v>280</v>
      </c>
      <c r="B476" s="36">
        <v>474</v>
      </c>
      <c r="C476" s="39" t="str">
        <f t="shared" ca="1" si="115"/>
        <v>10년~5년 사이</v>
      </c>
      <c r="D476" s="7">
        <v>43415</v>
      </c>
      <c r="E476" s="5">
        <f t="shared" si="116"/>
        <v>2</v>
      </c>
      <c r="F476" s="1" t="s">
        <v>1</v>
      </c>
      <c r="G476" s="33" t="s">
        <v>10</v>
      </c>
      <c r="H476" s="33" t="s">
        <v>48</v>
      </c>
      <c r="I476" s="54" t="s">
        <v>428</v>
      </c>
      <c r="J476" s="54" t="s">
        <v>399</v>
      </c>
      <c r="K476" s="54"/>
      <c r="L476" s="55">
        <v>0.59699999999999998</v>
      </c>
      <c r="M476" s="16">
        <v>511.7</v>
      </c>
      <c r="N476" s="16">
        <v>305.7</v>
      </c>
      <c r="O476" s="47">
        <f t="shared" si="117"/>
        <v>0.59699999999999998</v>
      </c>
      <c r="P476" s="47">
        <f t="shared" si="118"/>
        <v>0.59699999999999998</v>
      </c>
      <c r="Q476" s="47">
        <f t="shared" si="119"/>
        <v>511.7</v>
      </c>
      <c r="R476" s="47">
        <f t="shared" si="120"/>
        <v>511.7</v>
      </c>
      <c r="S476" s="47">
        <f t="shared" si="123"/>
        <v>0.59699999999999998</v>
      </c>
      <c r="T476" s="47">
        <f t="shared" si="124"/>
        <v>0.59699999999999998</v>
      </c>
      <c r="U476" s="47">
        <f t="shared" si="121"/>
        <v>305.7</v>
      </c>
      <c r="V476" s="47">
        <f t="shared" si="122"/>
        <v>305.7</v>
      </c>
      <c r="W476" s="47">
        <f t="shared" si="125"/>
        <v>305.7</v>
      </c>
      <c r="X476" s="47">
        <f t="shared" si="126"/>
        <v>0.59699999999999998</v>
      </c>
      <c r="Y476" s="41"/>
      <c r="AC476" s="42" t="s">
        <v>404</v>
      </c>
      <c r="AD476" s="42" t="s">
        <v>405</v>
      </c>
      <c r="AE476" s="42" t="s">
        <v>417</v>
      </c>
      <c r="AF476" s="42" t="s">
        <v>413</v>
      </c>
      <c r="AG476" s="42" t="s">
        <v>406</v>
      </c>
      <c r="AK476" s="42" t="s">
        <v>407</v>
      </c>
    </row>
    <row r="477" spans="1:39" x14ac:dyDescent="0.3">
      <c r="A477" s="53" t="s">
        <v>280</v>
      </c>
      <c r="B477" s="36">
        <v>475</v>
      </c>
      <c r="C477" s="39" t="str">
        <f t="shared" ca="1" si="115"/>
        <v>10년~5년 사이</v>
      </c>
      <c r="D477" s="7">
        <v>43415</v>
      </c>
      <c r="E477" s="5">
        <f t="shared" si="116"/>
        <v>2</v>
      </c>
      <c r="F477" s="1" t="s">
        <v>1</v>
      </c>
      <c r="G477" s="33" t="s">
        <v>78</v>
      </c>
      <c r="H477" s="33" t="s">
        <v>79</v>
      </c>
      <c r="I477" s="54" t="s">
        <v>428</v>
      </c>
      <c r="J477" s="54" t="s">
        <v>399</v>
      </c>
      <c r="K477" s="54"/>
      <c r="L477" s="55">
        <v>0.59699999999999998</v>
      </c>
      <c r="M477" s="16">
        <v>511.7</v>
      </c>
      <c r="N477" s="16">
        <v>305.7</v>
      </c>
      <c r="O477" s="47">
        <f t="shared" si="117"/>
        <v>0.59699999999999998</v>
      </c>
      <c r="P477" s="47">
        <f t="shared" si="118"/>
        <v>0.59699999999999998</v>
      </c>
      <c r="Q477" s="47">
        <f t="shared" si="119"/>
        <v>511.7</v>
      </c>
      <c r="R477" s="47">
        <f t="shared" si="120"/>
        <v>511.7</v>
      </c>
      <c r="S477" s="47">
        <f t="shared" si="123"/>
        <v>0.59699999999999998</v>
      </c>
      <c r="T477" s="47">
        <f t="shared" si="124"/>
        <v>0.59699999999999998</v>
      </c>
      <c r="U477" s="47">
        <f t="shared" si="121"/>
        <v>305.7</v>
      </c>
      <c r="V477" s="47">
        <f t="shared" si="122"/>
        <v>305.7</v>
      </c>
      <c r="W477" s="47">
        <f t="shared" si="125"/>
        <v>305.7</v>
      </c>
      <c r="X477" s="47">
        <f t="shared" si="126"/>
        <v>0.59699999999999998</v>
      </c>
      <c r="Y477" s="41"/>
      <c r="AC477" s="42" t="s">
        <v>404</v>
      </c>
      <c r="AD477" s="42" t="s">
        <v>405</v>
      </c>
      <c r="AE477" s="42" t="s">
        <v>417</v>
      </c>
      <c r="AF477" s="42" t="s">
        <v>413</v>
      </c>
      <c r="AG477" s="42" t="s">
        <v>406</v>
      </c>
      <c r="AK477" s="42" t="s">
        <v>407</v>
      </c>
    </row>
    <row r="478" spans="1:39" x14ac:dyDescent="0.3">
      <c r="A478" s="53" t="s">
        <v>280</v>
      </c>
      <c r="B478" s="36">
        <v>476</v>
      </c>
      <c r="C478" s="39" t="str">
        <f t="shared" ca="1" si="115"/>
        <v>10년~5년 사이</v>
      </c>
      <c r="D478" s="7">
        <v>43415</v>
      </c>
      <c r="E478" s="5">
        <f t="shared" si="116"/>
        <v>2</v>
      </c>
      <c r="F478" s="1" t="s">
        <v>1</v>
      </c>
      <c r="G478" s="33" t="s">
        <v>429</v>
      </c>
      <c r="H478" s="33" t="s">
        <v>430</v>
      </c>
      <c r="I478" s="54" t="s">
        <v>428</v>
      </c>
      <c r="J478" s="54" t="s">
        <v>399</v>
      </c>
      <c r="K478" s="54"/>
      <c r="L478" s="55">
        <v>0.59699999999999998</v>
      </c>
      <c r="M478" s="16">
        <v>511.7</v>
      </c>
      <c r="N478" s="16">
        <v>305.7</v>
      </c>
      <c r="O478" s="47">
        <f t="shared" si="117"/>
        <v>0.59699999999999998</v>
      </c>
      <c r="P478" s="47">
        <f t="shared" si="118"/>
        <v>0.59699999999999998</v>
      </c>
      <c r="Q478" s="47">
        <f t="shared" si="119"/>
        <v>511.7</v>
      </c>
      <c r="R478" s="47">
        <f t="shared" si="120"/>
        <v>511.7</v>
      </c>
      <c r="S478" s="47">
        <f t="shared" si="123"/>
        <v>0.59699999999999998</v>
      </c>
      <c r="T478" s="47">
        <f t="shared" si="124"/>
        <v>0.59699999999999998</v>
      </c>
      <c r="U478" s="47">
        <f t="shared" si="121"/>
        <v>305.7</v>
      </c>
      <c r="V478" s="47">
        <f t="shared" si="122"/>
        <v>305.7</v>
      </c>
      <c r="W478" s="47">
        <f t="shared" si="125"/>
        <v>305.7</v>
      </c>
      <c r="X478" s="47">
        <f t="shared" si="126"/>
        <v>0.59699999999999998</v>
      </c>
      <c r="Y478" s="41"/>
      <c r="AC478" s="42" t="s">
        <v>404</v>
      </c>
      <c r="AD478" s="42" t="s">
        <v>405</v>
      </c>
      <c r="AE478" s="42" t="s">
        <v>417</v>
      </c>
      <c r="AF478" s="42" t="s">
        <v>413</v>
      </c>
      <c r="AG478" s="42" t="s">
        <v>406</v>
      </c>
      <c r="AK478" s="42" t="s">
        <v>407</v>
      </c>
    </row>
    <row r="479" spans="1:39" x14ac:dyDescent="0.3">
      <c r="A479" s="53" t="s">
        <v>280</v>
      </c>
      <c r="B479" s="36">
        <v>477</v>
      </c>
      <c r="C479" s="39" t="str">
        <f t="shared" ca="1" si="115"/>
        <v>10년~5년 사이</v>
      </c>
      <c r="D479" s="7">
        <v>43453</v>
      </c>
      <c r="E479" s="5" t="str">
        <f t="shared" si="116"/>
        <v/>
      </c>
      <c r="F479" s="1" t="s">
        <v>1</v>
      </c>
      <c r="G479" s="33" t="s">
        <v>10</v>
      </c>
      <c r="H479" s="33" t="s">
        <v>48</v>
      </c>
      <c r="I479" s="54" t="s">
        <v>431</v>
      </c>
      <c r="J479" s="54" t="s">
        <v>399</v>
      </c>
      <c r="K479" s="54"/>
      <c r="L479" s="55">
        <v>1</v>
      </c>
      <c r="M479" s="16">
        <v>29.6</v>
      </c>
      <c r="N479" s="16">
        <v>29.6</v>
      </c>
      <c r="O479" s="47" t="str">
        <f t="shared" si="117"/>
        <v/>
      </c>
      <c r="P479" s="47" t="str">
        <f t="shared" si="118"/>
        <v/>
      </c>
      <c r="Q479" s="47" t="str">
        <f t="shared" si="119"/>
        <v/>
      </c>
      <c r="R479" s="47" t="str">
        <f t="shared" si="120"/>
        <v/>
      </c>
      <c r="S479" s="47" t="str">
        <f t="shared" si="123"/>
        <v/>
      </c>
      <c r="T479" s="47" t="str">
        <f t="shared" si="124"/>
        <v/>
      </c>
      <c r="U479" s="47" t="str">
        <f t="shared" si="121"/>
        <v/>
      </c>
      <c r="V479" s="47" t="str">
        <f t="shared" si="122"/>
        <v/>
      </c>
      <c r="W479" s="47">
        <f t="shared" si="125"/>
        <v>29.6</v>
      </c>
      <c r="X479" s="47">
        <f t="shared" si="126"/>
        <v>1</v>
      </c>
      <c r="Y479" s="41"/>
      <c r="AC479" s="42" t="s">
        <v>404</v>
      </c>
      <c r="AF479" s="42" t="s">
        <v>413</v>
      </c>
      <c r="AG479" s="42" t="s">
        <v>406</v>
      </c>
      <c r="AM479" s="42" t="s">
        <v>426</v>
      </c>
    </row>
    <row r="480" spans="1:39" x14ac:dyDescent="0.3">
      <c r="A480" s="53" t="s">
        <v>280</v>
      </c>
      <c r="B480" s="36">
        <v>478</v>
      </c>
      <c r="C480" s="8" t="str">
        <f t="shared" ca="1" si="115"/>
        <v>10년~5년 사이</v>
      </c>
      <c r="D480" s="7">
        <v>43594</v>
      </c>
      <c r="E480" s="5">
        <f t="shared" si="116"/>
        <v>2</v>
      </c>
      <c r="F480" s="1" t="s">
        <v>1</v>
      </c>
      <c r="G480" s="33" t="s">
        <v>17</v>
      </c>
      <c r="H480" s="33" t="s">
        <v>137</v>
      </c>
      <c r="I480" s="9" t="s">
        <v>7</v>
      </c>
      <c r="J480" s="2" t="s">
        <v>4</v>
      </c>
      <c r="K480" s="3" t="s">
        <v>18</v>
      </c>
      <c r="L480" s="4">
        <v>0.4</v>
      </c>
      <c r="M480" s="14">
        <v>579.80999999999995</v>
      </c>
      <c r="N480" s="16">
        <v>231.92400000000001</v>
      </c>
      <c r="O480" s="47">
        <f t="shared" si="117"/>
        <v>0.4</v>
      </c>
      <c r="P480" s="47">
        <f t="shared" si="118"/>
        <v>0.4</v>
      </c>
      <c r="Q480" s="47">
        <f t="shared" si="119"/>
        <v>579.80999999999995</v>
      </c>
      <c r="R480" s="47">
        <f t="shared" si="120"/>
        <v>579.80999999999995</v>
      </c>
      <c r="S480" s="47">
        <f t="shared" si="123"/>
        <v>0.4</v>
      </c>
      <c r="T480" s="47">
        <f t="shared" si="124"/>
        <v>0.4</v>
      </c>
      <c r="U480" s="47">
        <f t="shared" si="121"/>
        <v>231.92400000000001</v>
      </c>
      <c r="V480" s="47">
        <f t="shared" si="122"/>
        <v>231.92400000000001</v>
      </c>
      <c r="W480" s="98">
        <f t="shared" si="125"/>
        <v>231.92400000000001</v>
      </c>
      <c r="X480" s="98">
        <f t="shared" si="126"/>
        <v>0.4</v>
      </c>
      <c r="Y480" s="36" t="s">
        <v>20</v>
      </c>
      <c r="Z480" s="42" t="s">
        <v>44</v>
      </c>
      <c r="AA480" s="42" t="s">
        <v>134</v>
      </c>
      <c r="AC480" s="42" t="s">
        <v>119</v>
      </c>
      <c r="AD480" s="42" t="s">
        <v>18</v>
      </c>
      <c r="AF480" s="42" t="s">
        <v>5</v>
      </c>
      <c r="AG480" s="42" t="s">
        <v>120</v>
      </c>
    </row>
    <row r="481" spans="1:45" x14ac:dyDescent="0.3">
      <c r="A481" s="53" t="s">
        <v>280</v>
      </c>
      <c r="B481" s="36">
        <v>479</v>
      </c>
      <c r="C481" s="8" t="str">
        <f t="shared" ca="1" si="115"/>
        <v>10년~5년 사이</v>
      </c>
      <c r="D481" s="7">
        <v>43594</v>
      </c>
      <c r="E481" s="5">
        <f t="shared" si="116"/>
        <v>2</v>
      </c>
      <c r="F481" s="1" t="s">
        <v>1</v>
      </c>
      <c r="G481" s="33" t="s">
        <v>19</v>
      </c>
      <c r="H481" s="33" t="s">
        <v>73</v>
      </c>
      <c r="I481" s="9" t="s">
        <v>7</v>
      </c>
      <c r="J481" s="2" t="s">
        <v>4</v>
      </c>
      <c r="K481" s="3" t="s">
        <v>18</v>
      </c>
      <c r="L481" s="4">
        <v>0.4</v>
      </c>
      <c r="M481" s="14">
        <v>579.80999999999995</v>
      </c>
      <c r="N481" s="16">
        <v>231.92400000000001</v>
      </c>
      <c r="O481" s="47">
        <f t="shared" si="117"/>
        <v>0.4</v>
      </c>
      <c r="P481" s="47">
        <f t="shared" si="118"/>
        <v>0.4</v>
      </c>
      <c r="Q481" s="47">
        <f t="shared" si="119"/>
        <v>579.80999999999995</v>
      </c>
      <c r="R481" s="47">
        <f t="shared" si="120"/>
        <v>579.80999999999995</v>
      </c>
      <c r="S481" s="47">
        <f t="shared" si="123"/>
        <v>0.4</v>
      </c>
      <c r="T481" s="47">
        <f t="shared" si="124"/>
        <v>0.4</v>
      </c>
      <c r="U481" s="47">
        <f t="shared" si="121"/>
        <v>231.92400000000001</v>
      </c>
      <c r="V481" s="47">
        <f t="shared" si="122"/>
        <v>231.92400000000001</v>
      </c>
      <c r="W481" s="98">
        <f t="shared" si="125"/>
        <v>231.92400000000001</v>
      </c>
      <c r="X481" s="98">
        <f t="shared" si="126"/>
        <v>0.4</v>
      </c>
      <c r="Y481" s="36"/>
    </row>
    <row r="482" spans="1:45" x14ac:dyDescent="0.3">
      <c r="A482" s="53" t="s">
        <v>280</v>
      </c>
      <c r="B482" s="36">
        <v>480</v>
      </c>
      <c r="C482" s="8" t="str">
        <f t="shared" ca="1" si="115"/>
        <v>10년~5년 사이</v>
      </c>
      <c r="D482" s="6">
        <v>43769</v>
      </c>
      <c r="E482" s="5">
        <f t="shared" si="116"/>
        <v>2</v>
      </c>
      <c r="F482" s="1" t="s">
        <v>1</v>
      </c>
      <c r="G482" s="33" t="s">
        <v>10</v>
      </c>
      <c r="H482" s="33" t="s">
        <v>48</v>
      </c>
      <c r="I482" s="9" t="s">
        <v>43</v>
      </c>
      <c r="J482" s="2" t="s">
        <v>4</v>
      </c>
      <c r="K482" s="3" t="s">
        <v>44</v>
      </c>
      <c r="L482" s="12">
        <v>0.7</v>
      </c>
      <c r="M482" s="14">
        <v>319.60000000000002</v>
      </c>
      <c r="N482" s="16">
        <v>223.72</v>
      </c>
      <c r="O482" s="47">
        <f t="shared" si="117"/>
        <v>0.7</v>
      </c>
      <c r="P482" s="47">
        <f t="shared" si="118"/>
        <v>0.7</v>
      </c>
      <c r="Q482" s="47">
        <f t="shared" si="119"/>
        <v>319.60000000000002</v>
      </c>
      <c r="R482" s="47">
        <f t="shared" si="120"/>
        <v>319.60000000000002</v>
      </c>
      <c r="S482" s="47">
        <f t="shared" si="123"/>
        <v>0.7</v>
      </c>
      <c r="T482" s="47">
        <f t="shared" si="124"/>
        <v>0.7</v>
      </c>
      <c r="U482" s="47">
        <f t="shared" si="121"/>
        <v>223.72</v>
      </c>
      <c r="V482" s="47">
        <f t="shared" si="122"/>
        <v>223.72</v>
      </c>
      <c r="W482" s="98">
        <f t="shared" si="125"/>
        <v>223.72</v>
      </c>
      <c r="X482" s="98">
        <f t="shared" si="126"/>
        <v>0.7</v>
      </c>
      <c r="Y482" s="36"/>
      <c r="Z482" s="42" t="s">
        <v>44</v>
      </c>
      <c r="AD482" s="42" t="s">
        <v>18</v>
      </c>
      <c r="AF482" s="42" t="s">
        <v>5</v>
      </c>
      <c r="AG482" s="42" t="s">
        <v>120</v>
      </c>
      <c r="AK482" s="42" t="s">
        <v>124</v>
      </c>
      <c r="AM482" s="42" t="s">
        <v>126</v>
      </c>
    </row>
    <row r="483" spans="1:45" x14ac:dyDescent="0.3">
      <c r="A483" s="53" t="s">
        <v>280</v>
      </c>
      <c r="B483" s="36">
        <v>481</v>
      </c>
      <c r="C483" s="8" t="str">
        <f t="shared" ca="1" si="115"/>
        <v>10년~5년 사이</v>
      </c>
      <c r="D483" s="6">
        <v>43769</v>
      </c>
      <c r="E483" s="5">
        <f t="shared" si="116"/>
        <v>2</v>
      </c>
      <c r="F483" s="1" t="s">
        <v>1</v>
      </c>
      <c r="G483" s="33" t="s">
        <v>68</v>
      </c>
      <c r="H483" s="33" t="s">
        <v>74</v>
      </c>
      <c r="I483" s="9" t="s">
        <v>43</v>
      </c>
      <c r="J483" s="2" t="s">
        <v>4</v>
      </c>
      <c r="K483" s="3" t="s">
        <v>44</v>
      </c>
      <c r="L483" s="12">
        <v>0.7</v>
      </c>
      <c r="M483" s="14">
        <v>319.60000000000002</v>
      </c>
      <c r="N483" s="16">
        <v>223.72</v>
      </c>
      <c r="O483" s="47">
        <f t="shared" si="117"/>
        <v>0.7</v>
      </c>
      <c r="P483" s="47">
        <f t="shared" si="118"/>
        <v>0.7</v>
      </c>
      <c r="Q483" s="47">
        <f t="shared" si="119"/>
        <v>319.60000000000002</v>
      </c>
      <c r="R483" s="47">
        <f t="shared" si="120"/>
        <v>319.60000000000002</v>
      </c>
      <c r="S483" s="47">
        <f t="shared" si="123"/>
        <v>0.7</v>
      </c>
      <c r="T483" s="47">
        <f t="shared" si="124"/>
        <v>0.7</v>
      </c>
      <c r="U483" s="47">
        <f t="shared" si="121"/>
        <v>223.72</v>
      </c>
      <c r="V483" s="47">
        <f t="shared" si="122"/>
        <v>223.72</v>
      </c>
      <c r="W483" s="98">
        <f t="shared" si="125"/>
        <v>223.72</v>
      </c>
      <c r="X483" s="98">
        <f t="shared" si="126"/>
        <v>0.7</v>
      </c>
      <c r="Y483" s="36"/>
      <c r="Z483" s="42" t="s">
        <v>44</v>
      </c>
      <c r="AD483" s="42" t="s">
        <v>18</v>
      </c>
      <c r="AF483" s="42" t="s">
        <v>5</v>
      </c>
      <c r="AG483" s="42" t="s">
        <v>120</v>
      </c>
      <c r="AK483" s="42" t="s">
        <v>124</v>
      </c>
      <c r="AM483" s="42" t="s">
        <v>126</v>
      </c>
    </row>
    <row r="484" spans="1:45" x14ac:dyDescent="0.3">
      <c r="A484" s="53" t="s">
        <v>280</v>
      </c>
      <c r="B484" s="36">
        <v>482</v>
      </c>
      <c r="C484" s="8" t="str">
        <f t="shared" ca="1" si="115"/>
        <v>10년~5년 사이</v>
      </c>
      <c r="D484" s="6">
        <v>43921</v>
      </c>
      <c r="E484" s="5">
        <f t="shared" si="116"/>
        <v>2</v>
      </c>
      <c r="F484" s="1" t="s">
        <v>1</v>
      </c>
      <c r="G484" s="33" t="s">
        <v>10</v>
      </c>
      <c r="H484" s="33" t="s">
        <v>48</v>
      </c>
      <c r="I484" s="9" t="s">
        <v>8</v>
      </c>
      <c r="J484" s="2" t="s">
        <v>4</v>
      </c>
      <c r="K484" s="3" t="s">
        <v>5</v>
      </c>
      <c r="L484" s="12">
        <v>0.7</v>
      </c>
      <c r="M484" s="14">
        <v>1998.87</v>
      </c>
      <c r="N484" s="16">
        <v>1238.818</v>
      </c>
      <c r="O484" s="47">
        <f t="shared" si="117"/>
        <v>0.7</v>
      </c>
      <c r="P484" s="47">
        <f t="shared" si="118"/>
        <v>0.7</v>
      </c>
      <c r="Q484" s="47">
        <f t="shared" si="119"/>
        <v>1998.87</v>
      </c>
      <c r="R484" s="47">
        <f t="shared" si="120"/>
        <v>1998.87</v>
      </c>
      <c r="S484" s="47">
        <f t="shared" si="123"/>
        <v>0.7</v>
      </c>
      <c r="T484" s="47">
        <f t="shared" si="124"/>
        <v>0.7</v>
      </c>
      <c r="U484" s="47">
        <f t="shared" si="121"/>
        <v>1238.818</v>
      </c>
      <c r="V484" s="47">
        <f t="shared" si="122"/>
        <v>1238.818</v>
      </c>
      <c r="W484" s="98">
        <f t="shared" si="125"/>
        <v>1238.818</v>
      </c>
      <c r="X484" s="98">
        <f t="shared" si="126"/>
        <v>0.7</v>
      </c>
      <c r="Y484" s="36"/>
      <c r="Z484" s="42" t="s">
        <v>44</v>
      </c>
      <c r="AA484" s="42" t="s">
        <v>134</v>
      </c>
      <c r="AC484" s="42" t="s">
        <v>119</v>
      </c>
      <c r="AD484" s="42" t="s">
        <v>18</v>
      </c>
      <c r="AE484" s="42" t="s">
        <v>24</v>
      </c>
      <c r="AF484" s="42" t="s">
        <v>5</v>
      </c>
      <c r="AG484" s="42" t="s">
        <v>120</v>
      </c>
      <c r="AK484" s="42" t="s">
        <v>124</v>
      </c>
      <c r="AM484" s="42" t="s">
        <v>126</v>
      </c>
      <c r="AN484" s="42" t="s">
        <v>127</v>
      </c>
      <c r="AR484" s="42" t="s">
        <v>131</v>
      </c>
      <c r="AS484" s="42" t="s">
        <v>132</v>
      </c>
    </row>
    <row r="485" spans="1:45" x14ac:dyDescent="0.3">
      <c r="A485" s="53" t="s">
        <v>280</v>
      </c>
      <c r="B485" s="36">
        <v>483</v>
      </c>
      <c r="C485" s="8" t="str">
        <f t="shared" ca="1" si="115"/>
        <v>10년~5년 사이</v>
      </c>
      <c r="D485" s="6">
        <v>43921</v>
      </c>
      <c r="E485" s="5">
        <f t="shared" si="116"/>
        <v>2</v>
      </c>
      <c r="F485" s="1" t="s">
        <v>1</v>
      </c>
      <c r="G485" s="33" t="s">
        <v>68</v>
      </c>
      <c r="H485" s="33" t="s">
        <v>75</v>
      </c>
      <c r="I485" s="9" t="s">
        <v>8</v>
      </c>
      <c r="J485" s="2" t="s">
        <v>4</v>
      </c>
      <c r="K485" s="3" t="s">
        <v>5</v>
      </c>
      <c r="L485" s="12">
        <v>0.7</v>
      </c>
      <c r="M485" s="14">
        <v>1998.87</v>
      </c>
      <c r="N485" s="16">
        <v>1238.818</v>
      </c>
      <c r="O485" s="47">
        <f t="shared" si="117"/>
        <v>0.7</v>
      </c>
      <c r="P485" s="47">
        <f t="shared" si="118"/>
        <v>0.7</v>
      </c>
      <c r="Q485" s="47">
        <f t="shared" si="119"/>
        <v>1998.87</v>
      </c>
      <c r="R485" s="47">
        <f t="shared" si="120"/>
        <v>1998.87</v>
      </c>
      <c r="S485" s="47">
        <f t="shared" si="123"/>
        <v>0.7</v>
      </c>
      <c r="T485" s="47">
        <f t="shared" si="124"/>
        <v>0.7</v>
      </c>
      <c r="U485" s="47">
        <f t="shared" si="121"/>
        <v>1238.818</v>
      </c>
      <c r="V485" s="47">
        <f t="shared" si="122"/>
        <v>1238.818</v>
      </c>
      <c r="W485" s="98">
        <f t="shared" si="125"/>
        <v>1238.818</v>
      </c>
      <c r="X485" s="98">
        <f t="shared" si="126"/>
        <v>0.7</v>
      </c>
      <c r="Y485" s="36"/>
      <c r="Z485" s="42" t="s">
        <v>44</v>
      </c>
      <c r="AA485" s="42" t="s">
        <v>134</v>
      </c>
      <c r="AC485" s="42" t="s">
        <v>119</v>
      </c>
      <c r="AD485" s="42" t="s">
        <v>18</v>
      </c>
      <c r="AE485" s="42" t="s">
        <v>24</v>
      </c>
      <c r="AF485" s="42" t="s">
        <v>5</v>
      </c>
      <c r="AG485" s="42" t="s">
        <v>120</v>
      </c>
      <c r="AK485" s="42" t="s">
        <v>124</v>
      </c>
      <c r="AM485" s="42" t="s">
        <v>126</v>
      </c>
      <c r="AN485" s="42" t="s">
        <v>127</v>
      </c>
      <c r="AR485" s="42" t="s">
        <v>131</v>
      </c>
      <c r="AS485" s="42" t="s">
        <v>132</v>
      </c>
    </row>
    <row r="486" spans="1:45" x14ac:dyDescent="0.3">
      <c r="A486" s="53" t="s">
        <v>280</v>
      </c>
      <c r="B486" s="36">
        <v>484</v>
      </c>
      <c r="C486" s="8" t="str">
        <f t="shared" ca="1" si="115"/>
        <v>10년~5년 사이</v>
      </c>
      <c r="D486" s="6">
        <v>43921</v>
      </c>
      <c r="E486" s="5">
        <f t="shared" si="116"/>
        <v>2</v>
      </c>
      <c r="F486" s="1" t="s">
        <v>1</v>
      </c>
      <c r="G486" s="33" t="s">
        <v>116</v>
      </c>
      <c r="H486" s="33" t="s">
        <v>61</v>
      </c>
      <c r="I486" s="9" t="s">
        <v>8</v>
      </c>
      <c r="J486" s="2" t="s">
        <v>4</v>
      </c>
      <c r="K486" s="3" t="s">
        <v>5</v>
      </c>
      <c r="L486" s="12">
        <v>0.7</v>
      </c>
      <c r="M486" s="14">
        <v>1998.87</v>
      </c>
      <c r="N486" s="16">
        <v>1238.818</v>
      </c>
      <c r="O486" s="47">
        <f t="shared" si="117"/>
        <v>0.7</v>
      </c>
      <c r="P486" s="47">
        <f t="shared" si="118"/>
        <v>0.7</v>
      </c>
      <c r="Q486" s="47">
        <f t="shared" si="119"/>
        <v>1998.87</v>
      </c>
      <c r="R486" s="47">
        <f t="shared" si="120"/>
        <v>1998.87</v>
      </c>
      <c r="S486" s="47">
        <f t="shared" si="123"/>
        <v>0.7</v>
      </c>
      <c r="T486" s="47">
        <f t="shared" si="124"/>
        <v>0.7</v>
      </c>
      <c r="U486" s="47">
        <f t="shared" si="121"/>
        <v>1238.818</v>
      </c>
      <c r="V486" s="47">
        <f t="shared" si="122"/>
        <v>1238.818</v>
      </c>
      <c r="W486" s="98">
        <f t="shared" si="125"/>
        <v>1238.818</v>
      </c>
      <c r="X486" s="98">
        <f t="shared" si="126"/>
        <v>0.7</v>
      </c>
      <c r="Y486" s="36"/>
      <c r="Z486" s="42" t="s">
        <v>44</v>
      </c>
      <c r="AA486" s="42" t="s">
        <v>134</v>
      </c>
      <c r="AC486" s="42" t="s">
        <v>119</v>
      </c>
      <c r="AD486" s="42" t="s">
        <v>18</v>
      </c>
      <c r="AE486" s="42" t="s">
        <v>24</v>
      </c>
      <c r="AF486" s="42" t="s">
        <v>5</v>
      </c>
      <c r="AG486" s="42" t="s">
        <v>120</v>
      </c>
      <c r="AK486" s="42" t="s">
        <v>124</v>
      </c>
      <c r="AM486" s="42" t="s">
        <v>126</v>
      </c>
      <c r="AN486" s="42" t="s">
        <v>127</v>
      </c>
      <c r="AR486" s="42" t="s">
        <v>131</v>
      </c>
      <c r="AS486" s="42" t="s">
        <v>132</v>
      </c>
    </row>
    <row r="487" spans="1:45" x14ac:dyDescent="0.3">
      <c r="A487" s="53" t="s">
        <v>280</v>
      </c>
      <c r="B487" s="36">
        <v>485</v>
      </c>
      <c r="C487" s="8" t="str">
        <f t="shared" ca="1" si="115"/>
        <v>10년~5년 사이</v>
      </c>
      <c r="D487" s="6">
        <v>43921</v>
      </c>
      <c r="E487" s="5">
        <f t="shared" si="116"/>
        <v>2</v>
      </c>
      <c r="F487" s="1" t="s">
        <v>1</v>
      </c>
      <c r="G487" s="33" t="s">
        <v>39</v>
      </c>
      <c r="H487" s="33" t="s">
        <v>47</v>
      </c>
      <c r="I487" s="9" t="s">
        <v>8</v>
      </c>
      <c r="J487" s="2" t="s">
        <v>4</v>
      </c>
      <c r="K487" s="3" t="s">
        <v>5</v>
      </c>
      <c r="L487" s="12">
        <v>0.7</v>
      </c>
      <c r="M487" s="14">
        <v>1998.87</v>
      </c>
      <c r="N487" s="16">
        <v>1238.818</v>
      </c>
      <c r="O487" s="47">
        <f t="shared" si="117"/>
        <v>0.7</v>
      </c>
      <c r="P487" s="47">
        <f t="shared" si="118"/>
        <v>0.7</v>
      </c>
      <c r="Q487" s="47">
        <f t="shared" si="119"/>
        <v>1998.87</v>
      </c>
      <c r="R487" s="47">
        <f t="shared" si="120"/>
        <v>1998.87</v>
      </c>
      <c r="S487" s="47">
        <f t="shared" si="123"/>
        <v>0.7</v>
      </c>
      <c r="T487" s="47">
        <f t="shared" si="124"/>
        <v>0.7</v>
      </c>
      <c r="U487" s="47">
        <f t="shared" si="121"/>
        <v>1238.818</v>
      </c>
      <c r="V487" s="47">
        <f t="shared" si="122"/>
        <v>1238.818</v>
      </c>
      <c r="W487" s="98">
        <f t="shared" si="125"/>
        <v>1238.818</v>
      </c>
      <c r="X487" s="98">
        <f t="shared" si="126"/>
        <v>0.7</v>
      </c>
      <c r="Y487" s="36"/>
      <c r="Z487" s="42" t="s">
        <v>44</v>
      </c>
      <c r="AA487" s="42" t="s">
        <v>134</v>
      </c>
      <c r="AC487" s="42" t="s">
        <v>119</v>
      </c>
      <c r="AD487" s="42" t="s">
        <v>18</v>
      </c>
      <c r="AE487" s="42" t="s">
        <v>24</v>
      </c>
      <c r="AF487" s="42" t="s">
        <v>5</v>
      </c>
      <c r="AG487" s="42" t="s">
        <v>120</v>
      </c>
      <c r="AK487" s="42" t="s">
        <v>124</v>
      </c>
      <c r="AM487" s="42" t="s">
        <v>126</v>
      </c>
      <c r="AN487" s="42" t="s">
        <v>127</v>
      </c>
      <c r="AR487" s="42" t="s">
        <v>131</v>
      </c>
      <c r="AS487" s="42" t="s">
        <v>132</v>
      </c>
    </row>
    <row r="488" spans="1:45" x14ac:dyDescent="0.3">
      <c r="A488" s="53" t="s">
        <v>280</v>
      </c>
      <c r="B488" s="36">
        <v>486</v>
      </c>
      <c r="C488" s="8" t="str">
        <f t="shared" ca="1" si="115"/>
        <v>10년~5년 사이</v>
      </c>
      <c r="D488" s="6">
        <v>44003</v>
      </c>
      <c r="E488" s="5">
        <f t="shared" si="116"/>
        <v>2</v>
      </c>
      <c r="F488" s="1" t="s">
        <v>1</v>
      </c>
      <c r="G488" s="33" t="s">
        <v>17</v>
      </c>
      <c r="H488" s="33" t="s">
        <v>441</v>
      </c>
      <c r="I488" s="9" t="s">
        <v>118</v>
      </c>
      <c r="J488" s="2" t="s">
        <v>4</v>
      </c>
      <c r="K488" s="3" t="s">
        <v>5</v>
      </c>
      <c r="L488" s="4">
        <v>0.7</v>
      </c>
      <c r="M488" s="14">
        <v>370.3</v>
      </c>
      <c r="N488" s="16">
        <v>259.20999999999998</v>
      </c>
      <c r="O488" s="47">
        <f t="shared" si="117"/>
        <v>0.7</v>
      </c>
      <c r="P488" s="47">
        <f t="shared" si="118"/>
        <v>0.7</v>
      </c>
      <c r="Q488" s="47">
        <f t="shared" si="119"/>
        <v>370.3</v>
      </c>
      <c r="R488" s="47">
        <f t="shared" si="120"/>
        <v>370.3</v>
      </c>
      <c r="S488" s="47">
        <f t="shared" si="123"/>
        <v>0.7</v>
      </c>
      <c r="T488" s="47">
        <f t="shared" si="124"/>
        <v>0.7</v>
      </c>
      <c r="U488" s="47">
        <f t="shared" si="121"/>
        <v>259.20999999999998</v>
      </c>
      <c r="V488" s="47">
        <f t="shared" si="122"/>
        <v>259.20999999999998</v>
      </c>
      <c r="W488" s="98">
        <f t="shared" si="125"/>
        <v>259.20999999999998</v>
      </c>
      <c r="X488" s="98">
        <f t="shared" si="126"/>
        <v>0.7</v>
      </c>
      <c r="Y488" s="36" t="s">
        <v>56</v>
      </c>
      <c r="AC488" s="42" t="s">
        <v>119</v>
      </c>
      <c r="AE488" s="42" t="s">
        <v>24</v>
      </c>
      <c r="AM488" s="42" t="s">
        <v>126</v>
      </c>
    </row>
    <row r="489" spans="1:45" x14ac:dyDescent="0.3">
      <c r="A489" s="53" t="s">
        <v>280</v>
      </c>
      <c r="B489" s="36">
        <v>487</v>
      </c>
      <c r="C489" s="8" t="str">
        <f t="shared" ca="1" si="115"/>
        <v>10년~5년 사이</v>
      </c>
      <c r="D489" s="6">
        <v>44003</v>
      </c>
      <c r="E489" s="5">
        <f t="shared" si="116"/>
        <v>2</v>
      </c>
      <c r="F489" s="1" t="s">
        <v>1</v>
      </c>
      <c r="G489" s="33" t="s">
        <v>116</v>
      </c>
      <c r="H489" s="33" t="s">
        <v>61</v>
      </c>
      <c r="I489" s="9" t="s">
        <v>118</v>
      </c>
      <c r="J489" s="2" t="s">
        <v>4</v>
      </c>
      <c r="K489" s="3" t="s">
        <v>5</v>
      </c>
      <c r="L489" s="4">
        <v>0.7</v>
      </c>
      <c r="M489" s="14">
        <v>370.3</v>
      </c>
      <c r="N489" s="16">
        <f>M489*L489</f>
        <v>259.20999999999998</v>
      </c>
      <c r="O489" s="47">
        <f t="shared" si="117"/>
        <v>0.7</v>
      </c>
      <c r="P489" s="47">
        <f t="shared" si="118"/>
        <v>0.7</v>
      </c>
      <c r="Q489" s="47">
        <f t="shared" si="119"/>
        <v>370.3</v>
      </c>
      <c r="R489" s="47">
        <f t="shared" si="120"/>
        <v>370.3</v>
      </c>
      <c r="S489" s="47">
        <f t="shared" si="123"/>
        <v>0.7</v>
      </c>
      <c r="T489" s="47">
        <f t="shared" si="124"/>
        <v>0.7</v>
      </c>
      <c r="U489" s="47">
        <f t="shared" si="121"/>
        <v>259.20999999999998</v>
      </c>
      <c r="V489" s="47">
        <f t="shared" si="122"/>
        <v>259.20999999999998</v>
      </c>
      <c r="W489" s="98">
        <f t="shared" si="125"/>
        <v>259.20999999999998</v>
      </c>
      <c r="X489" s="98">
        <f t="shared" si="126"/>
        <v>0.7</v>
      </c>
      <c r="Y489" s="36"/>
      <c r="AC489" s="42" t="s">
        <v>119</v>
      </c>
      <c r="AE489" s="42" t="s">
        <v>24</v>
      </c>
      <c r="AM489" s="42" t="s">
        <v>126</v>
      </c>
    </row>
    <row r="490" spans="1:45" x14ac:dyDescent="0.3">
      <c r="A490" s="53" t="s">
        <v>280</v>
      </c>
      <c r="B490" s="36">
        <v>488</v>
      </c>
      <c r="C490" s="8" t="str">
        <f t="shared" ca="1" si="115"/>
        <v>10년~5년 사이</v>
      </c>
      <c r="D490" s="6">
        <v>44003</v>
      </c>
      <c r="E490" s="5">
        <f t="shared" si="116"/>
        <v>2</v>
      </c>
      <c r="F490" s="1" t="s">
        <v>1</v>
      </c>
      <c r="G490" s="33" t="s">
        <v>68</v>
      </c>
      <c r="H490" s="33" t="s">
        <v>75</v>
      </c>
      <c r="I490" s="9" t="s">
        <v>118</v>
      </c>
      <c r="J490" s="2" t="s">
        <v>4</v>
      </c>
      <c r="K490" s="3" t="s">
        <v>5</v>
      </c>
      <c r="L490" s="4">
        <v>0.7</v>
      </c>
      <c r="M490" s="14">
        <v>370.3</v>
      </c>
      <c r="N490" s="16">
        <f>M490*L490</f>
        <v>259.20999999999998</v>
      </c>
      <c r="O490" s="47">
        <f t="shared" si="117"/>
        <v>0.7</v>
      </c>
      <c r="P490" s="47">
        <f t="shared" si="118"/>
        <v>0.7</v>
      </c>
      <c r="Q490" s="47">
        <f t="shared" si="119"/>
        <v>370.3</v>
      </c>
      <c r="R490" s="47">
        <f t="shared" si="120"/>
        <v>370.3</v>
      </c>
      <c r="S490" s="47">
        <f t="shared" si="123"/>
        <v>0.7</v>
      </c>
      <c r="T490" s="47">
        <f t="shared" si="124"/>
        <v>0.7</v>
      </c>
      <c r="U490" s="47">
        <f t="shared" si="121"/>
        <v>259.20999999999998</v>
      </c>
      <c r="V490" s="47">
        <f t="shared" si="122"/>
        <v>259.20999999999998</v>
      </c>
      <c r="W490" s="98">
        <f t="shared" si="125"/>
        <v>259.20999999999998</v>
      </c>
      <c r="X490" s="98">
        <f t="shared" si="126"/>
        <v>0.7</v>
      </c>
      <c r="Y490" s="36"/>
      <c r="AC490" s="42" t="s">
        <v>119</v>
      </c>
      <c r="AE490" s="42" t="s">
        <v>24</v>
      </c>
      <c r="AM490" s="42" t="s">
        <v>126</v>
      </c>
    </row>
    <row r="491" spans="1:45" x14ac:dyDescent="0.3">
      <c r="A491" s="53" t="s">
        <v>280</v>
      </c>
      <c r="B491" s="36">
        <v>489</v>
      </c>
      <c r="C491" s="8" t="str">
        <f t="shared" ca="1" si="115"/>
        <v>10년~5년 사이</v>
      </c>
      <c r="D491" s="6">
        <v>44004</v>
      </c>
      <c r="E491" s="5">
        <f t="shared" si="116"/>
        <v>1</v>
      </c>
      <c r="F491" s="1" t="s">
        <v>1</v>
      </c>
      <c r="G491" s="33" t="s">
        <v>10</v>
      </c>
      <c r="H491" s="33" t="s">
        <v>48</v>
      </c>
      <c r="I491" s="9" t="s">
        <v>30</v>
      </c>
      <c r="J491" s="2" t="s">
        <v>4</v>
      </c>
      <c r="K491" s="3" t="s">
        <v>5</v>
      </c>
      <c r="L491" s="12">
        <v>1</v>
      </c>
      <c r="M491" s="14">
        <v>109.6</v>
      </c>
      <c r="N491" s="16">
        <f>M491*L491</f>
        <v>109.6</v>
      </c>
      <c r="O491" s="47">
        <f t="shared" si="117"/>
        <v>1</v>
      </c>
      <c r="P491" s="47" t="str">
        <f t="shared" si="118"/>
        <v/>
      </c>
      <c r="Q491" s="47">
        <f t="shared" si="119"/>
        <v>109.6</v>
      </c>
      <c r="R491" s="47" t="str">
        <f t="shared" si="120"/>
        <v/>
      </c>
      <c r="S491" s="47">
        <f t="shared" si="123"/>
        <v>1</v>
      </c>
      <c r="T491" s="47" t="str">
        <f t="shared" si="124"/>
        <v/>
      </c>
      <c r="U491" s="47">
        <f t="shared" si="121"/>
        <v>109.6</v>
      </c>
      <c r="V491" s="47" t="str">
        <f t="shared" si="122"/>
        <v/>
      </c>
      <c r="W491" s="98">
        <f t="shared" si="125"/>
        <v>109.6</v>
      </c>
      <c r="X491" s="98">
        <f t="shared" si="126"/>
        <v>1</v>
      </c>
      <c r="Y491" s="36"/>
      <c r="AA491" s="42" t="s">
        <v>134</v>
      </c>
      <c r="AF491" s="42" t="s">
        <v>5</v>
      </c>
      <c r="AG491" s="42" t="s">
        <v>120</v>
      </c>
    </row>
    <row r="492" spans="1:45" x14ac:dyDescent="0.3">
      <c r="A492" s="53" t="s">
        <v>280</v>
      </c>
      <c r="B492" s="36">
        <v>490</v>
      </c>
      <c r="C492" s="8" t="str">
        <f t="shared" ca="1" si="115"/>
        <v>10년~5년 사이</v>
      </c>
      <c r="D492" s="6">
        <v>44004</v>
      </c>
      <c r="E492" s="5">
        <f t="shared" si="116"/>
        <v>1</v>
      </c>
      <c r="F492" s="1" t="s">
        <v>1</v>
      </c>
      <c r="G492" s="33" t="s">
        <v>68</v>
      </c>
      <c r="H492" s="33" t="s">
        <v>74</v>
      </c>
      <c r="I492" s="9" t="s">
        <v>30</v>
      </c>
      <c r="J492" s="2" t="s">
        <v>4</v>
      </c>
      <c r="K492" s="3" t="s">
        <v>5</v>
      </c>
      <c r="L492" s="12">
        <v>1</v>
      </c>
      <c r="M492" s="14">
        <v>109.6</v>
      </c>
      <c r="N492" s="16">
        <f>M492*L492</f>
        <v>109.6</v>
      </c>
      <c r="O492" s="47">
        <f t="shared" si="117"/>
        <v>1</v>
      </c>
      <c r="P492" s="47" t="str">
        <f t="shared" si="118"/>
        <v/>
      </c>
      <c r="Q492" s="47">
        <f t="shared" si="119"/>
        <v>109.6</v>
      </c>
      <c r="R492" s="47" t="str">
        <f t="shared" si="120"/>
        <v/>
      </c>
      <c r="S492" s="47">
        <f t="shared" si="123"/>
        <v>1</v>
      </c>
      <c r="T492" s="47" t="str">
        <f t="shared" si="124"/>
        <v/>
      </c>
      <c r="U492" s="47">
        <f t="shared" si="121"/>
        <v>109.6</v>
      </c>
      <c r="V492" s="47" t="str">
        <f t="shared" si="122"/>
        <v/>
      </c>
      <c r="W492" s="98">
        <f t="shared" si="125"/>
        <v>109.6</v>
      </c>
      <c r="X492" s="98">
        <f t="shared" si="126"/>
        <v>1</v>
      </c>
      <c r="Y492" s="36"/>
      <c r="AA492" s="42" t="s">
        <v>134</v>
      </c>
      <c r="AF492" s="42" t="s">
        <v>5</v>
      </c>
      <c r="AG492" s="42" t="s">
        <v>120</v>
      </c>
    </row>
    <row r="493" spans="1:45" x14ac:dyDescent="0.3">
      <c r="A493" s="53" t="s">
        <v>280</v>
      </c>
      <c r="B493" s="36">
        <v>491</v>
      </c>
      <c r="C493" s="8" t="str">
        <f t="shared" ca="1" si="115"/>
        <v>10년~5년 사이</v>
      </c>
      <c r="D493" s="7">
        <v>44084</v>
      </c>
      <c r="E493" s="5">
        <f t="shared" si="116"/>
        <v>1</v>
      </c>
      <c r="F493" s="1" t="s">
        <v>1</v>
      </c>
      <c r="G493" s="33" t="s">
        <v>17</v>
      </c>
      <c r="H493" s="33" t="s">
        <v>442</v>
      </c>
      <c r="I493" s="9" t="s">
        <v>21</v>
      </c>
      <c r="J493" s="2" t="s">
        <v>4</v>
      </c>
      <c r="K493" s="3" t="s">
        <v>6</v>
      </c>
      <c r="L493" s="12">
        <v>0.69</v>
      </c>
      <c r="M493" s="14">
        <v>226.215</v>
      </c>
      <c r="N493" s="16">
        <v>152.22434999999999</v>
      </c>
      <c r="O493" s="47">
        <f t="shared" si="117"/>
        <v>0.69</v>
      </c>
      <c r="P493" s="47">
        <f t="shared" si="118"/>
        <v>0.69</v>
      </c>
      <c r="Q493" s="47">
        <f t="shared" si="119"/>
        <v>226.215</v>
      </c>
      <c r="R493" s="47">
        <f t="shared" si="120"/>
        <v>226.215</v>
      </c>
      <c r="S493" s="47">
        <f t="shared" si="123"/>
        <v>0.69</v>
      </c>
      <c r="T493" s="47" t="str">
        <f t="shared" si="124"/>
        <v/>
      </c>
      <c r="U493" s="47">
        <f t="shared" si="121"/>
        <v>152.22434999999999</v>
      </c>
      <c r="V493" s="47" t="str">
        <f t="shared" si="122"/>
        <v/>
      </c>
      <c r="W493" s="98">
        <f t="shared" si="125"/>
        <v>152.22434999999999</v>
      </c>
      <c r="X493" s="98">
        <f t="shared" si="126"/>
        <v>0.69</v>
      </c>
      <c r="Y493" s="31" t="s">
        <v>169</v>
      </c>
      <c r="Z493" s="42" t="s">
        <v>44</v>
      </c>
      <c r="AC493" s="42" t="s">
        <v>119</v>
      </c>
      <c r="AD493" s="42" t="s">
        <v>18</v>
      </c>
      <c r="AE493" s="42" t="s">
        <v>24</v>
      </c>
      <c r="AF493" s="42" t="s">
        <v>5</v>
      </c>
      <c r="AG493" s="42" t="s">
        <v>120</v>
      </c>
      <c r="AK493" s="42" t="s">
        <v>124</v>
      </c>
      <c r="AM493" s="42" t="s">
        <v>126</v>
      </c>
      <c r="AR493" s="42" t="s">
        <v>131</v>
      </c>
    </row>
    <row r="494" spans="1:45" x14ac:dyDescent="0.3">
      <c r="A494" s="53" t="s">
        <v>280</v>
      </c>
      <c r="B494" s="36">
        <v>492</v>
      </c>
      <c r="C494" s="8" t="str">
        <f t="shared" ca="1" si="115"/>
        <v>10년~5년 사이</v>
      </c>
      <c r="D494" s="7">
        <v>44084</v>
      </c>
      <c r="E494" s="5">
        <f t="shared" si="116"/>
        <v>1</v>
      </c>
      <c r="F494" s="1" t="s">
        <v>1</v>
      </c>
      <c r="G494" s="33" t="s">
        <v>68</v>
      </c>
      <c r="H494" s="33" t="s">
        <v>77</v>
      </c>
      <c r="I494" s="9" t="s">
        <v>21</v>
      </c>
      <c r="J494" s="2" t="s">
        <v>4</v>
      </c>
      <c r="K494" s="3" t="s">
        <v>6</v>
      </c>
      <c r="L494" s="12">
        <v>0.69</v>
      </c>
      <c r="M494" s="14">
        <v>226.215</v>
      </c>
      <c r="N494" s="16">
        <v>152.22434999999999</v>
      </c>
      <c r="O494" s="47">
        <f t="shared" si="117"/>
        <v>0.69</v>
      </c>
      <c r="P494" s="47">
        <f t="shared" si="118"/>
        <v>0.69</v>
      </c>
      <c r="Q494" s="47">
        <f t="shared" si="119"/>
        <v>226.215</v>
      </c>
      <c r="R494" s="47">
        <f t="shared" si="120"/>
        <v>226.215</v>
      </c>
      <c r="S494" s="47">
        <f t="shared" si="123"/>
        <v>0.69</v>
      </c>
      <c r="T494" s="47" t="str">
        <f t="shared" si="124"/>
        <v/>
      </c>
      <c r="U494" s="47">
        <f t="shared" si="121"/>
        <v>152.22434999999999</v>
      </c>
      <c r="V494" s="47" t="str">
        <f t="shared" si="122"/>
        <v/>
      </c>
      <c r="W494" s="98">
        <f t="shared" si="125"/>
        <v>152.22434999999999</v>
      </c>
      <c r="X494" s="98">
        <f t="shared" si="126"/>
        <v>0.69</v>
      </c>
      <c r="Y494" s="31"/>
      <c r="Z494" s="42" t="s">
        <v>44</v>
      </c>
      <c r="AC494" s="42" t="s">
        <v>119</v>
      </c>
      <c r="AD494" s="42" t="s">
        <v>18</v>
      </c>
      <c r="AE494" s="42" t="s">
        <v>24</v>
      </c>
      <c r="AF494" s="42" t="s">
        <v>5</v>
      </c>
      <c r="AG494" s="42" t="s">
        <v>120</v>
      </c>
      <c r="AK494" s="42" t="s">
        <v>124</v>
      </c>
      <c r="AM494" s="42" t="s">
        <v>126</v>
      </c>
      <c r="AR494" s="42" t="s">
        <v>131</v>
      </c>
    </row>
    <row r="495" spans="1:45" x14ac:dyDescent="0.3">
      <c r="A495" s="53" t="s">
        <v>280</v>
      </c>
      <c r="B495" s="36">
        <v>493</v>
      </c>
      <c r="C495" s="8" t="str">
        <f t="shared" ca="1" si="115"/>
        <v>10년~5년 사이</v>
      </c>
      <c r="D495" s="7">
        <v>44134</v>
      </c>
      <c r="E495" s="5">
        <f t="shared" si="116"/>
        <v>1</v>
      </c>
      <c r="F495" s="1" t="s">
        <v>1</v>
      </c>
      <c r="G495" s="33" t="s">
        <v>17</v>
      </c>
      <c r="H495" s="33" t="s">
        <v>439</v>
      </c>
      <c r="I495" s="9" t="s">
        <v>28</v>
      </c>
      <c r="J495" s="2" t="s">
        <v>4</v>
      </c>
      <c r="K495" s="3" t="s">
        <v>24</v>
      </c>
      <c r="L495" s="4">
        <v>0.35</v>
      </c>
      <c r="M495" s="14">
        <v>425.23</v>
      </c>
      <c r="N495" s="16">
        <v>148.8305</v>
      </c>
      <c r="O495" s="47">
        <f t="shared" si="117"/>
        <v>0.35</v>
      </c>
      <c r="P495" s="47">
        <f t="shared" si="118"/>
        <v>0.35</v>
      </c>
      <c r="Q495" s="47">
        <f t="shared" si="119"/>
        <v>425.23</v>
      </c>
      <c r="R495" s="47">
        <f t="shared" si="120"/>
        <v>425.23</v>
      </c>
      <c r="S495" s="47">
        <f t="shared" si="123"/>
        <v>0.35</v>
      </c>
      <c r="T495" s="47" t="str">
        <f t="shared" si="124"/>
        <v/>
      </c>
      <c r="U495" s="47">
        <f t="shared" si="121"/>
        <v>148.8305</v>
      </c>
      <c r="V495" s="47" t="str">
        <f t="shared" si="122"/>
        <v/>
      </c>
      <c r="W495" s="98">
        <f t="shared" si="125"/>
        <v>148.8305</v>
      </c>
      <c r="X495" s="98">
        <f t="shared" si="126"/>
        <v>0.35</v>
      </c>
      <c r="Y495" s="36" t="s">
        <v>57</v>
      </c>
      <c r="Z495" s="42" t="s">
        <v>44</v>
      </c>
      <c r="AE495" s="42" t="s">
        <v>24</v>
      </c>
      <c r="AK495" s="42" t="s">
        <v>124</v>
      </c>
      <c r="AM495" s="42" t="s">
        <v>126</v>
      </c>
    </row>
    <row r="496" spans="1:45" x14ac:dyDescent="0.3">
      <c r="A496" s="53" t="s">
        <v>280</v>
      </c>
      <c r="B496" s="36">
        <v>494</v>
      </c>
      <c r="C496" s="8" t="str">
        <f t="shared" ca="1" si="115"/>
        <v>10년~5년 사이</v>
      </c>
      <c r="D496" s="7">
        <v>44170</v>
      </c>
      <c r="E496" s="5">
        <f t="shared" si="116"/>
        <v>2</v>
      </c>
      <c r="F496" s="1" t="s">
        <v>1</v>
      </c>
      <c r="G496" s="33" t="s">
        <v>68</v>
      </c>
      <c r="H496" s="33" t="s">
        <v>108</v>
      </c>
      <c r="I496" s="9" t="s">
        <v>26</v>
      </c>
      <c r="J496" s="2" t="s">
        <v>4</v>
      </c>
      <c r="K496" s="3" t="s">
        <v>24</v>
      </c>
      <c r="L496" s="4">
        <v>0.78</v>
      </c>
      <c r="M496" s="14">
        <v>465</v>
      </c>
      <c r="N496" s="16">
        <f>M496*L496</f>
        <v>362.7</v>
      </c>
      <c r="O496" s="47">
        <f t="shared" si="117"/>
        <v>0.78</v>
      </c>
      <c r="P496" s="47">
        <f t="shared" si="118"/>
        <v>0.78</v>
      </c>
      <c r="Q496" s="47">
        <f t="shared" si="119"/>
        <v>465</v>
      </c>
      <c r="R496" s="47">
        <f t="shared" si="120"/>
        <v>465</v>
      </c>
      <c r="S496" s="47">
        <f t="shared" si="123"/>
        <v>0.78</v>
      </c>
      <c r="T496" s="47">
        <f t="shared" si="124"/>
        <v>0.78</v>
      </c>
      <c r="U496" s="47">
        <f t="shared" si="121"/>
        <v>362.7</v>
      </c>
      <c r="V496" s="47">
        <f t="shared" si="122"/>
        <v>362.7</v>
      </c>
      <c r="W496" s="98">
        <f t="shared" si="125"/>
        <v>362.7</v>
      </c>
      <c r="X496" s="98">
        <f t="shared" si="126"/>
        <v>0.78</v>
      </c>
      <c r="Y496" s="1" t="s">
        <v>108</v>
      </c>
      <c r="AC496" s="42" t="s">
        <v>119</v>
      </c>
      <c r="AM496" s="42" t="s">
        <v>126</v>
      </c>
    </row>
    <row r="497" spans="1:44" x14ac:dyDescent="0.3">
      <c r="A497" s="53" t="s">
        <v>280</v>
      </c>
      <c r="B497" s="36">
        <v>495</v>
      </c>
      <c r="C497" s="8" t="str">
        <f t="shared" ca="1" si="115"/>
        <v>10년~5년 사이</v>
      </c>
      <c r="D497" s="7">
        <v>44170</v>
      </c>
      <c r="E497" s="5">
        <f t="shared" si="116"/>
        <v>2</v>
      </c>
      <c r="F497" s="1" t="s">
        <v>1</v>
      </c>
      <c r="G497" s="33" t="s">
        <v>116</v>
      </c>
      <c r="H497" s="33" t="s">
        <v>61</v>
      </c>
      <c r="I497" s="9" t="s">
        <v>26</v>
      </c>
      <c r="J497" s="2" t="s">
        <v>4</v>
      </c>
      <c r="K497" s="3" t="s">
        <v>24</v>
      </c>
      <c r="L497" s="4">
        <v>0.78</v>
      </c>
      <c r="M497" s="14">
        <v>465</v>
      </c>
      <c r="N497" s="16">
        <f>M497*L497</f>
        <v>362.7</v>
      </c>
      <c r="O497" s="47">
        <f t="shared" si="117"/>
        <v>0.78</v>
      </c>
      <c r="P497" s="47">
        <f t="shared" si="118"/>
        <v>0.78</v>
      </c>
      <c r="Q497" s="47">
        <f t="shared" si="119"/>
        <v>465</v>
      </c>
      <c r="R497" s="47">
        <f t="shared" si="120"/>
        <v>465</v>
      </c>
      <c r="S497" s="47">
        <f t="shared" si="123"/>
        <v>0.78</v>
      </c>
      <c r="T497" s="47">
        <f t="shared" si="124"/>
        <v>0.78</v>
      </c>
      <c r="U497" s="47">
        <f t="shared" si="121"/>
        <v>362.7</v>
      </c>
      <c r="V497" s="47">
        <f t="shared" si="122"/>
        <v>362.7</v>
      </c>
      <c r="W497" s="98">
        <f t="shared" si="125"/>
        <v>362.7</v>
      </c>
      <c r="X497" s="98">
        <f t="shared" si="126"/>
        <v>0.78</v>
      </c>
      <c r="Y497" s="36"/>
      <c r="AC497" s="42" t="s">
        <v>119</v>
      </c>
      <c r="AM497" s="42" t="s">
        <v>126</v>
      </c>
    </row>
    <row r="498" spans="1:44" x14ac:dyDescent="0.3">
      <c r="A498" s="53" t="s">
        <v>280</v>
      </c>
      <c r="B498" s="36">
        <v>496</v>
      </c>
      <c r="C498" s="8" t="str">
        <f t="shared" ca="1" si="115"/>
        <v>10년~5년 사이</v>
      </c>
      <c r="D498" s="7">
        <v>44170</v>
      </c>
      <c r="E498" s="5">
        <f t="shared" si="116"/>
        <v>2</v>
      </c>
      <c r="F498" s="1" t="s">
        <v>1</v>
      </c>
      <c r="G498" s="33" t="s">
        <v>17</v>
      </c>
      <c r="H498" s="33" t="s">
        <v>441</v>
      </c>
      <c r="I498" s="9" t="s">
        <v>26</v>
      </c>
      <c r="J498" s="2" t="s">
        <v>4</v>
      </c>
      <c r="K498" s="3" t="s">
        <v>24</v>
      </c>
      <c r="L498" s="4">
        <v>0.78</v>
      </c>
      <c r="M498" s="14">
        <v>465</v>
      </c>
      <c r="N498" s="16">
        <f>M498*L498</f>
        <v>362.7</v>
      </c>
      <c r="O498" s="47">
        <f t="shared" si="117"/>
        <v>0.78</v>
      </c>
      <c r="P498" s="47">
        <f t="shared" si="118"/>
        <v>0.78</v>
      </c>
      <c r="Q498" s="47">
        <f t="shared" si="119"/>
        <v>465</v>
      </c>
      <c r="R498" s="47">
        <f t="shared" si="120"/>
        <v>465</v>
      </c>
      <c r="S498" s="47">
        <f t="shared" si="123"/>
        <v>0.78</v>
      </c>
      <c r="T498" s="47">
        <f t="shared" si="124"/>
        <v>0.78</v>
      </c>
      <c r="U498" s="47">
        <f t="shared" si="121"/>
        <v>362.7</v>
      </c>
      <c r="V498" s="47">
        <f t="shared" si="122"/>
        <v>362.7</v>
      </c>
      <c r="W498" s="98">
        <f t="shared" si="125"/>
        <v>362.7</v>
      </c>
      <c r="X498" s="98">
        <f t="shared" si="126"/>
        <v>0.78</v>
      </c>
      <c r="Y498" s="36"/>
      <c r="AC498" s="42" t="s">
        <v>119</v>
      </c>
      <c r="AM498" s="42" t="s">
        <v>126</v>
      </c>
    </row>
    <row r="499" spans="1:44" x14ac:dyDescent="0.3">
      <c r="A499" s="53" t="s">
        <v>280</v>
      </c>
      <c r="B499" s="36">
        <v>497</v>
      </c>
      <c r="C499" s="8" t="str">
        <f t="shared" ca="1" si="115"/>
        <v>10년~5년 사이</v>
      </c>
      <c r="D499" s="7">
        <v>44174</v>
      </c>
      <c r="E499" s="5">
        <f t="shared" si="116"/>
        <v>1</v>
      </c>
      <c r="F499" s="1" t="s">
        <v>1</v>
      </c>
      <c r="G499" s="33" t="s">
        <v>17</v>
      </c>
      <c r="H499" s="33" t="s">
        <v>76</v>
      </c>
      <c r="I499" s="9" t="s">
        <v>37</v>
      </c>
      <c r="J499" s="2" t="s">
        <v>4</v>
      </c>
      <c r="K499" s="3" t="s">
        <v>5</v>
      </c>
      <c r="L499" s="4">
        <v>0.7</v>
      </c>
      <c r="M499" s="14">
        <v>235.62</v>
      </c>
      <c r="N499" s="16">
        <f>M499*L499</f>
        <v>164.934</v>
      </c>
      <c r="O499" s="47">
        <f t="shared" si="117"/>
        <v>0.7</v>
      </c>
      <c r="P499" s="47">
        <f t="shared" si="118"/>
        <v>0.7</v>
      </c>
      <c r="Q499" s="47">
        <f t="shared" si="119"/>
        <v>235.62</v>
      </c>
      <c r="R499" s="47">
        <f t="shared" si="120"/>
        <v>235.62</v>
      </c>
      <c r="S499" s="47">
        <f t="shared" si="123"/>
        <v>0.7</v>
      </c>
      <c r="T499" s="47" t="str">
        <f t="shared" si="124"/>
        <v/>
      </c>
      <c r="U499" s="47">
        <f t="shared" si="121"/>
        <v>164.934</v>
      </c>
      <c r="V499" s="47" t="str">
        <f t="shared" si="122"/>
        <v/>
      </c>
      <c r="W499" s="98">
        <f t="shared" si="125"/>
        <v>164.934</v>
      </c>
      <c r="X499" s="98">
        <f t="shared" si="126"/>
        <v>0.7</v>
      </c>
      <c r="Y499" s="36" t="s">
        <v>226</v>
      </c>
      <c r="AC499" s="42" t="s">
        <v>119</v>
      </c>
      <c r="AE499" s="42" t="s">
        <v>24</v>
      </c>
      <c r="AG499" s="42" t="s">
        <v>120</v>
      </c>
      <c r="AM499" s="42" t="s">
        <v>126</v>
      </c>
    </row>
    <row r="500" spans="1:44" x14ac:dyDescent="0.3">
      <c r="A500" s="53" t="s">
        <v>280</v>
      </c>
      <c r="B500" s="36">
        <v>498</v>
      </c>
      <c r="C500" s="8" t="str">
        <f t="shared" ca="1" si="115"/>
        <v>10년~5년 사이</v>
      </c>
      <c r="D500" s="7">
        <v>44174</v>
      </c>
      <c r="E500" s="5">
        <f t="shared" si="116"/>
        <v>1</v>
      </c>
      <c r="F500" s="1" t="s">
        <v>1</v>
      </c>
      <c r="G500" s="33" t="s">
        <v>10</v>
      </c>
      <c r="H500" s="33" t="s">
        <v>48</v>
      </c>
      <c r="I500" s="9" t="s">
        <v>37</v>
      </c>
      <c r="J500" s="2" t="s">
        <v>4</v>
      </c>
      <c r="K500" s="3" t="s">
        <v>5</v>
      </c>
      <c r="L500" s="4">
        <v>0.7</v>
      </c>
      <c r="M500" s="14">
        <v>235.62</v>
      </c>
      <c r="N500" s="16">
        <f>M500*L500</f>
        <v>164.934</v>
      </c>
      <c r="O500" s="47">
        <f t="shared" si="117"/>
        <v>0.7</v>
      </c>
      <c r="P500" s="47">
        <f t="shared" si="118"/>
        <v>0.7</v>
      </c>
      <c r="Q500" s="47">
        <f t="shared" si="119"/>
        <v>235.62</v>
      </c>
      <c r="R500" s="47">
        <f t="shared" si="120"/>
        <v>235.62</v>
      </c>
      <c r="S500" s="47">
        <f t="shared" si="123"/>
        <v>0.7</v>
      </c>
      <c r="T500" s="47" t="str">
        <f t="shared" si="124"/>
        <v/>
      </c>
      <c r="U500" s="47">
        <f t="shared" si="121"/>
        <v>164.934</v>
      </c>
      <c r="V500" s="47" t="str">
        <f t="shared" si="122"/>
        <v/>
      </c>
      <c r="W500" s="98">
        <f t="shared" si="125"/>
        <v>164.934</v>
      </c>
      <c r="X500" s="98">
        <f t="shared" si="126"/>
        <v>0.7</v>
      </c>
      <c r="Y500" s="36"/>
      <c r="AC500" s="42" t="s">
        <v>119</v>
      </c>
      <c r="AE500" s="42" t="s">
        <v>24</v>
      </c>
      <c r="AG500" s="42" t="s">
        <v>120</v>
      </c>
      <c r="AM500" s="42" t="s">
        <v>126</v>
      </c>
    </row>
    <row r="501" spans="1:44" x14ac:dyDescent="0.3">
      <c r="A501" s="53" t="s">
        <v>280</v>
      </c>
      <c r="B501" s="36">
        <v>499</v>
      </c>
      <c r="C501" s="8" t="str">
        <f t="shared" ca="1" si="115"/>
        <v>10년~5년 사이</v>
      </c>
      <c r="D501" s="6">
        <v>44181</v>
      </c>
      <c r="E501" s="5">
        <f t="shared" si="116"/>
        <v>1</v>
      </c>
      <c r="F501" s="1" t="s">
        <v>1</v>
      </c>
      <c r="G501" s="33" t="s">
        <v>10</v>
      </c>
      <c r="H501" s="33" t="s">
        <v>48</v>
      </c>
      <c r="I501" s="9" t="s">
        <v>23</v>
      </c>
      <c r="J501" s="2" t="s">
        <v>4</v>
      </c>
      <c r="K501" s="3" t="s">
        <v>6</v>
      </c>
      <c r="L501" s="12">
        <v>1</v>
      </c>
      <c r="M501" s="14">
        <v>120.12</v>
      </c>
      <c r="N501" s="16">
        <v>120.12</v>
      </c>
      <c r="O501" s="47">
        <f t="shared" si="117"/>
        <v>1</v>
      </c>
      <c r="P501" s="47" t="str">
        <f t="shared" si="118"/>
        <v/>
      </c>
      <c r="Q501" s="47">
        <f t="shared" si="119"/>
        <v>120.12</v>
      </c>
      <c r="R501" s="47" t="str">
        <f t="shared" si="120"/>
        <v/>
      </c>
      <c r="S501" s="47">
        <f t="shared" si="123"/>
        <v>1</v>
      </c>
      <c r="T501" s="47" t="str">
        <f t="shared" si="124"/>
        <v/>
      </c>
      <c r="U501" s="47">
        <f t="shared" si="121"/>
        <v>120.12</v>
      </c>
      <c r="V501" s="47" t="str">
        <f t="shared" si="122"/>
        <v/>
      </c>
      <c r="W501" s="98">
        <f t="shared" si="125"/>
        <v>120.12</v>
      </c>
      <c r="X501" s="98">
        <f t="shared" si="126"/>
        <v>1</v>
      </c>
      <c r="Y501" s="36"/>
      <c r="AC501" s="42" t="s">
        <v>119</v>
      </c>
      <c r="AK501" s="42" t="s">
        <v>124</v>
      </c>
      <c r="AR501" s="42" t="s">
        <v>131</v>
      </c>
    </row>
    <row r="502" spans="1:44" x14ac:dyDescent="0.3">
      <c r="A502" s="53" t="s">
        <v>280</v>
      </c>
      <c r="B502" s="36">
        <v>500</v>
      </c>
      <c r="C502" s="8" t="str">
        <f t="shared" ca="1" si="115"/>
        <v>10년~5년 사이</v>
      </c>
      <c r="D502" s="6">
        <v>44181</v>
      </c>
      <c r="E502" s="5">
        <f t="shared" si="116"/>
        <v>1</v>
      </c>
      <c r="F502" s="1" t="s">
        <v>1</v>
      </c>
      <c r="G502" s="33" t="s">
        <v>68</v>
      </c>
      <c r="H502" s="33" t="s">
        <v>75</v>
      </c>
      <c r="I502" s="9" t="s">
        <v>23</v>
      </c>
      <c r="J502" s="2" t="s">
        <v>4</v>
      </c>
      <c r="K502" s="3" t="s">
        <v>6</v>
      </c>
      <c r="L502" s="12">
        <v>1</v>
      </c>
      <c r="M502" s="14">
        <v>120.12</v>
      </c>
      <c r="N502" s="16">
        <v>120.12</v>
      </c>
      <c r="O502" s="47">
        <f t="shared" si="117"/>
        <v>1</v>
      </c>
      <c r="P502" s="47" t="str">
        <f t="shared" si="118"/>
        <v/>
      </c>
      <c r="Q502" s="47">
        <f t="shared" si="119"/>
        <v>120.12</v>
      </c>
      <c r="R502" s="47" t="str">
        <f t="shared" si="120"/>
        <v/>
      </c>
      <c r="S502" s="47">
        <f t="shared" si="123"/>
        <v>1</v>
      </c>
      <c r="T502" s="47" t="str">
        <f t="shared" si="124"/>
        <v/>
      </c>
      <c r="U502" s="47">
        <f t="shared" si="121"/>
        <v>120.12</v>
      </c>
      <c r="V502" s="47" t="str">
        <f t="shared" si="122"/>
        <v/>
      </c>
      <c r="W502" s="98">
        <f t="shared" si="125"/>
        <v>120.12</v>
      </c>
      <c r="X502" s="98">
        <f t="shared" si="126"/>
        <v>1</v>
      </c>
      <c r="Y502" s="36"/>
      <c r="AC502" s="42" t="s">
        <v>119</v>
      </c>
      <c r="AK502" s="42" t="s">
        <v>124</v>
      </c>
      <c r="AR502" s="42" t="s">
        <v>131</v>
      </c>
    </row>
    <row r="503" spans="1:44" x14ac:dyDescent="0.3">
      <c r="A503" s="53" t="s">
        <v>280</v>
      </c>
      <c r="B503" s="36">
        <v>501</v>
      </c>
      <c r="C503" s="8" t="str">
        <f t="shared" ca="1" si="115"/>
        <v>10년~5년 사이</v>
      </c>
      <c r="D503" s="6">
        <v>44181</v>
      </c>
      <c r="E503" s="5">
        <f t="shared" si="116"/>
        <v>1</v>
      </c>
      <c r="F503" s="1" t="s">
        <v>1</v>
      </c>
      <c r="G503" s="33" t="s">
        <v>39</v>
      </c>
      <c r="H503" s="33" t="s">
        <v>160</v>
      </c>
      <c r="I503" s="9" t="s">
        <v>23</v>
      </c>
      <c r="J503" s="2" t="s">
        <v>4</v>
      </c>
      <c r="K503" s="3" t="s">
        <v>6</v>
      </c>
      <c r="L503" s="12">
        <v>1</v>
      </c>
      <c r="M503" s="14">
        <v>120.12</v>
      </c>
      <c r="N503" s="16">
        <v>120.12</v>
      </c>
      <c r="O503" s="47">
        <f t="shared" si="117"/>
        <v>1</v>
      </c>
      <c r="P503" s="47" t="str">
        <f t="shared" si="118"/>
        <v/>
      </c>
      <c r="Q503" s="47">
        <f t="shared" si="119"/>
        <v>120.12</v>
      </c>
      <c r="R503" s="47" t="str">
        <f t="shared" si="120"/>
        <v/>
      </c>
      <c r="S503" s="47">
        <f t="shared" si="123"/>
        <v>1</v>
      </c>
      <c r="T503" s="47" t="str">
        <f t="shared" si="124"/>
        <v/>
      </c>
      <c r="U503" s="47">
        <f t="shared" si="121"/>
        <v>120.12</v>
      </c>
      <c r="V503" s="47" t="str">
        <f t="shared" si="122"/>
        <v/>
      </c>
      <c r="W503" s="98">
        <f t="shared" si="125"/>
        <v>120.12</v>
      </c>
      <c r="X503" s="98">
        <f t="shared" si="126"/>
        <v>1</v>
      </c>
      <c r="Y503" s="36"/>
      <c r="AC503" s="42" t="s">
        <v>119</v>
      </c>
      <c r="AK503" s="42" t="s">
        <v>124</v>
      </c>
      <c r="AR503" s="42" t="s">
        <v>131</v>
      </c>
    </row>
    <row r="504" spans="1:44" x14ac:dyDescent="0.3">
      <c r="A504" s="53" t="s">
        <v>280</v>
      </c>
      <c r="B504" s="36">
        <v>502</v>
      </c>
      <c r="C504" s="8" t="str">
        <f t="shared" ca="1" si="115"/>
        <v>10년~5년 사이</v>
      </c>
      <c r="D504" s="6">
        <v>44181</v>
      </c>
      <c r="E504" s="5">
        <f t="shared" si="116"/>
        <v>1</v>
      </c>
      <c r="F504" s="1" t="s">
        <v>1</v>
      </c>
      <c r="G504" s="33" t="s">
        <v>39</v>
      </c>
      <c r="H504" s="33" t="s">
        <v>47</v>
      </c>
      <c r="I504" s="9" t="s">
        <v>23</v>
      </c>
      <c r="J504" s="2" t="s">
        <v>4</v>
      </c>
      <c r="K504" s="3" t="s">
        <v>6</v>
      </c>
      <c r="L504" s="12">
        <v>1</v>
      </c>
      <c r="M504" s="14">
        <v>120.12</v>
      </c>
      <c r="N504" s="16">
        <v>120.12</v>
      </c>
      <c r="O504" s="47">
        <f t="shared" si="117"/>
        <v>1</v>
      </c>
      <c r="P504" s="47" t="str">
        <f t="shared" si="118"/>
        <v/>
      </c>
      <c r="Q504" s="47">
        <f t="shared" si="119"/>
        <v>120.12</v>
      </c>
      <c r="R504" s="47" t="str">
        <f t="shared" si="120"/>
        <v/>
      </c>
      <c r="S504" s="47">
        <f t="shared" si="123"/>
        <v>1</v>
      </c>
      <c r="T504" s="47" t="str">
        <f t="shared" si="124"/>
        <v/>
      </c>
      <c r="U504" s="47">
        <f t="shared" si="121"/>
        <v>120.12</v>
      </c>
      <c r="V504" s="47" t="str">
        <f t="shared" si="122"/>
        <v/>
      </c>
      <c r="W504" s="98">
        <f t="shared" si="125"/>
        <v>120.12</v>
      </c>
      <c r="X504" s="98">
        <f t="shared" si="126"/>
        <v>1</v>
      </c>
      <c r="Y504" s="36"/>
      <c r="AC504" s="42" t="s">
        <v>119</v>
      </c>
      <c r="AK504" s="42" t="s">
        <v>124</v>
      </c>
      <c r="AR504" s="42" t="s">
        <v>131</v>
      </c>
    </row>
    <row r="505" spans="1:44" x14ac:dyDescent="0.3">
      <c r="A505" s="53" t="s">
        <v>280</v>
      </c>
      <c r="B505" s="36">
        <v>503</v>
      </c>
      <c r="C505" s="8" t="str">
        <f t="shared" ca="1" si="115"/>
        <v>10년~5년 사이</v>
      </c>
      <c r="D505" s="6">
        <v>44181</v>
      </c>
      <c r="E505" s="5">
        <f t="shared" si="116"/>
        <v>1</v>
      </c>
      <c r="F505" s="1" t="s">
        <v>1</v>
      </c>
      <c r="G505" s="33" t="s">
        <v>39</v>
      </c>
      <c r="H505" s="33" t="s">
        <v>101</v>
      </c>
      <c r="I505" s="9" t="s">
        <v>23</v>
      </c>
      <c r="J505" s="2" t="s">
        <v>4</v>
      </c>
      <c r="K505" s="3" t="s">
        <v>6</v>
      </c>
      <c r="L505" s="12">
        <v>1</v>
      </c>
      <c r="M505" s="14">
        <v>120.12</v>
      </c>
      <c r="N505" s="16">
        <v>120.12</v>
      </c>
      <c r="O505" s="47">
        <f t="shared" si="117"/>
        <v>1</v>
      </c>
      <c r="P505" s="47" t="str">
        <f t="shared" si="118"/>
        <v/>
      </c>
      <c r="Q505" s="47">
        <f t="shared" si="119"/>
        <v>120.12</v>
      </c>
      <c r="R505" s="47" t="str">
        <f t="shared" si="120"/>
        <v/>
      </c>
      <c r="S505" s="47">
        <f t="shared" si="123"/>
        <v>1</v>
      </c>
      <c r="T505" s="47" t="str">
        <f t="shared" si="124"/>
        <v/>
      </c>
      <c r="U505" s="47">
        <f t="shared" si="121"/>
        <v>120.12</v>
      </c>
      <c r="V505" s="47" t="str">
        <f t="shared" si="122"/>
        <v/>
      </c>
      <c r="W505" s="98">
        <f t="shared" si="125"/>
        <v>120.12</v>
      </c>
      <c r="X505" s="98">
        <f t="shared" si="126"/>
        <v>1</v>
      </c>
      <c r="Y505" s="36"/>
      <c r="AC505" s="42" t="s">
        <v>119</v>
      </c>
      <c r="AK505" s="42" t="s">
        <v>124</v>
      </c>
      <c r="AR505" s="42" t="s">
        <v>131</v>
      </c>
    </row>
    <row r="506" spans="1:44" x14ac:dyDescent="0.3">
      <c r="A506" s="53" t="s">
        <v>280</v>
      </c>
      <c r="B506" s="36">
        <v>504</v>
      </c>
      <c r="C506" s="8" t="str">
        <f t="shared" ca="1" si="115"/>
        <v>10년~5년 사이</v>
      </c>
      <c r="D506" s="6">
        <v>44181</v>
      </c>
      <c r="E506" s="5">
        <f t="shared" si="116"/>
        <v>1</v>
      </c>
      <c r="F506" s="1" t="s">
        <v>1</v>
      </c>
      <c r="G506" s="33" t="s">
        <v>236</v>
      </c>
      <c r="H506" s="33" t="s">
        <v>236</v>
      </c>
      <c r="I506" s="9" t="s">
        <v>23</v>
      </c>
      <c r="J506" s="2" t="s">
        <v>4</v>
      </c>
      <c r="K506" s="3" t="s">
        <v>6</v>
      </c>
      <c r="L506" s="12">
        <v>1</v>
      </c>
      <c r="M506" s="14">
        <v>120.12</v>
      </c>
      <c r="N506" s="16">
        <v>120.12</v>
      </c>
      <c r="O506" s="47">
        <f t="shared" si="117"/>
        <v>1</v>
      </c>
      <c r="P506" s="47" t="str">
        <f t="shared" si="118"/>
        <v/>
      </c>
      <c r="Q506" s="47">
        <f t="shared" si="119"/>
        <v>120.12</v>
      </c>
      <c r="R506" s="47" t="str">
        <f t="shared" si="120"/>
        <v/>
      </c>
      <c r="S506" s="47">
        <f t="shared" si="123"/>
        <v>1</v>
      </c>
      <c r="T506" s="47" t="str">
        <f t="shared" si="124"/>
        <v/>
      </c>
      <c r="U506" s="47">
        <f t="shared" si="121"/>
        <v>120.12</v>
      </c>
      <c r="V506" s="47" t="str">
        <f t="shared" si="122"/>
        <v/>
      </c>
      <c r="W506" s="98">
        <f t="shared" si="125"/>
        <v>120.12</v>
      </c>
      <c r="X506" s="98">
        <f t="shared" si="126"/>
        <v>1</v>
      </c>
      <c r="Y506" s="36"/>
      <c r="AC506" s="42" t="s">
        <v>119</v>
      </c>
      <c r="AK506" s="42" t="s">
        <v>124</v>
      </c>
      <c r="AR506" s="42" t="s">
        <v>131</v>
      </c>
    </row>
    <row r="507" spans="1:44" x14ac:dyDescent="0.3">
      <c r="A507" s="53" t="s">
        <v>280</v>
      </c>
      <c r="B507" s="36">
        <v>505</v>
      </c>
      <c r="C507" s="8" t="str">
        <f t="shared" ca="1" si="115"/>
        <v>10년~5년 사이</v>
      </c>
      <c r="D507" s="6">
        <v>44181</v>
      </c>
      <c r="E507" s="5">
        <f t="shared" si="116"/>
        <v>1</v>
      </c>
      <c r="F507" s="1" t="s">
        <v>1</v>
      </c>
      <c r="G507" s="33" t="s">
        <v>10</v>
      </c>
      <c r="H507" s="33" t="s">
        <v>240</v>
      </c>
      <c r="I507" s="9" t="s">
        <v>23</v>
      </c>
      <c r="J507" s="2" t="s">
        <v>4</v>
      </c>
      <c r="K507" s="3" t="s">
        <v>6</v>
      </c>
      <c r="L507" s="12">
        <v>1</v>
      </c>
      <c r="M507" s="14">
        <v>120.12</v>
      </c>
      <c r="N507" s="16">
        <v>120.12</v>
      </c>
      <c r="O507" s="47">
        <f t="shared" si="117"/>
        <v>1</v>
      </c>
      <c r="P507" s="47" t="str">
        <f t="shared" si="118"/>
        <v/>
      </c>
      <c r="Q507" s="47">
        <f t="shared" si="119"/>
        <v>120.12</v>
      </c>
      <c r="R507" s="47" t="str">
        <f t="shared" si="120"/>
        <v/>
      </c>
      <c r="S507" s="47">
        <f t="shared" si="123"/>
        <v>1</v>
      </c>
      <c r="T507" s="47" t="str">
        <f t="shared" si="124"/>
        <v/>
      </c>
      <c r="U507" s="47">
        <f t="shared" si="121"/>
        <v>120.12</v>
      </c>
      <c r="V507" s="47" t="str">
        <f t="shared" si="122"/>
        <v/>
      </c>
      <c r="W507" s="98">
        <f t="shared" si="125"/>
        <v>120.12</v>
      </c>
      <c r="X507" s="98">
        <f t="shared" si="126"/>
        <v>1</v>
      </c>
      <c r="Y507" s="36"/>
      <c r="AC507" s="42" t="s">
        <v>119</v>
      </c>
      <c r="AK507" s="42" t="s">
        <v>124</v>
      </c>
      <c r="AR507" s="42" t="s">
        <v>131</v>
      </c>
    </row>
    <row r="508" spans="1:44" x14ac:dyDescent="0.3">
      <c r="A508" s="53" t="s">
        <v>280</v>
      </c>
      <c r="B508" s="36">
        <v>506</v>
      </c>
      <c r="C508" s="8" t="str">
        <f t="shared" ca="1" si="115"/>
        <v>10년~5년 사이</v>
      </c>
      <c r="D508" s="7">
        <v>44186</v>
      </c>
      <c r="E508" s="5">
        <f t="shared" si="116"/>
        <v>1</v>
      </c>
      <c r="F508" s="1" t="s">
        <v>1</v>
      </c>
      <c r="G508" s="33" t="s">
        <v>17</v>
      </c>
      <c r="H508" s="33" t="s">
        <v>137</v>
      </c>
      <c r="I508" s="9" t="s">
        <v>29</v>
      </c>
      <c r="J508" s="2" t="s">
        <v>4</v>
      </c>
      <c r="K508" s="3" t="s">
        <v>6</v>
      </c>
      <c r="L508" s="4">
        <v>0.16</v>
      </c>
      <c r="M508" s="14">
        <v>707.62</v>
      </c>
      <c r="N508" s="16">
        <v>108.8672</v>
      </c>
      <c r="O508" s="47">
        <f t="shared" si="117"/>
        <v>0.16</v>
      </c>
      <c r="P508" s="47">
        <f t="shared" si="118"/>
        <v>0.16</v>
      </c>
      <c r="Q508" s="47">
        <f t="shared" si="119"/>
        <v>707.62</v>
      </c>
      <c r="R508" s="47">
        <f t="shared" si="120"/>
        <v>707.62</v>
      </c>
      <c r="S508" s="47">
        <f t="shared" si="123"/>
        <v>0.16</v>
      </c>
      <c r="T508" s="47" t="str">
        <f t="shared" si="124"/>
        <v/>
      </c>
      <c r="U508" s="47">
        <f t="shared" si="121"/>
        <v>108.8672</v>
      </c>
      <c r="V508" s="47" t="str">
        <f t="shared" si="122"/>
        <v/>
      </c>
      <c r="W508" s="98">
        <f t="shared" si="125"/>
        <v>108.8672</v>
      </c>
      <c r="X508" s="98">
        <f t="shared" si="126"/>
        <v>0.16</v>
      </c>
      <c r="Y508" s="36" t="s">
        <v>20</v>
      </c>
      <c r="Z508" s="42" t="s">
        <v>44</v>
      </c>
      <c r="AD508" s="42" t="s">
        <v>18</v>
      </c>
      <c r="AK508" s="42" t="s">
        <v>124</v>
      </c>
      <c r="AM508" s="42" t="s">
        <v>126</v>
      </c>
    </row>
    <row r="509" spans="1:44" x14ac:dyDescent="0.3">
      <c r="A509" s="53" t="s">
        <v>280</v>
      </c>
      <c r="B509" s="36">
        <v>507</v>
      </c>
      <c r="C509" s="8" t="str">
        <f t="shared" ca="1" si="115"/>
        <v>10년~5년 사이</v>
      </c>
      <c r="D509" s="7">
        <v>44186</v>
      </c>
      <c r="E509" s="5">
        <f t="shared" si="116"/>
        <v>1</v>
      </c>
      <c r="F509" s="1" t="s">
        <v>1</v>
      </c>
      <c r="G509" s="33" t="s">
        <v>68</v>
      </c>
      <c r="H509" s="33" t="s">
        <v>77</v>
      </c>
      <c r="I509" s="9" t="s">
        <v>29</v>
      </c>
      <c r="J509" s="2" t="s">
        <v>4</v>
      </c>
      <c r="K509" s="3" t="s">
        <v>6</v>
      </c>
      <c r="L509" s="4">
        <v>0.16</v>
      </c>
      <c r="M509" s="14">
        <v>707.62</v>
      </c>
      <c r="N509" s="16">
        <v>108.8672</v>
      </c>
      <c r="O509" s="47">
        <f t="shared" si="117"/>
        <v>0.16</v>
      </c>
      <c r="P509" s="47">
        <f t="shared" si="118"/>
        <v>0.16</v>
      </c>
      <c r="Q509" s="47">
        <f t="shared" si="119"/>
        <v>707.62</v>
      </c>
      <c r="R509" s="47">
        <f t="shared" si="120"/>
        <v>707.62</v>
      </c>
      <c r="S509" s="47">
        <f t="shared" si="123"/>
        <v>0.16</v>
      </c>
      <c r="T509" s="47" t="str">
        <f t="shared" si="124"/>
        <v/>
      </c>
      <c r="U509" s="47">
        <f t="shared" si="121"/>
        <v>108.8672</v>
      </c>
      <c r="V509" s="47" t="str">
        <f t="shared" si="122"/>
        <v/>
      </c>
      <c r="W509" s="98">
        <f t="shared" si="125"/>
        <v>108.8672</v>
      </c>
      <c r="X509" s="98">
        <f t="shared" si="126"/>
        <v>0.16</v>
      </c>
      <c r="Y509" s="36" t="s">
        <v>115</v>
      </c>
      <c r="Z509" s="42" t="s">
        <v>44</v>
      </c>
      <c r="AD509" s="42" t="s">
        <v>18</v>
      </c>
      <c r="AK509" s="42" t="s">
        <v>124</v>
      </c>
      <c r="AM509" s="42" t="s">
        <v>126</v>
      </c>
    </row>
    <row r="510" spans="1:44" x14ac:dyDescent="0.3">
      <c r="A510" s="53" t="s">
        <v>280</v>
      </c>
      <c r="B510" s="36">
        <v>508</v>
      </c>
      <c r="C510" s="8" t="str">
        <f t="shared" ca="1" si="115"/>
        <v>10년~5년 사이</v>
      </c>
      <c r="D510" s="7">
        <v>44186</v>
      </c>
      <c r="E510" s="5">
        <f t="shared" si="116"/>
        <v>1</v>
      </c>
      <c r="F510" s="1" t="s">
        <v>1</v>
      </c>
      <c r="G510" s="33" t="s">
        <v>230</v>
      </c>
      <c r="H510" s="33" t="s">
        <v>229</v>
      </c>
      <c r="I510" s="9" t="s">
        <v>29</v>
      </c>
      <c r="J510" s="2" t="s">
        <v>4</v>
      </c>
      <c r="K510" s="3" t="s">
        <v>6</v>
      </c>
      <c r="L510" s="4">
        <v>0.16</v>
      </c>
      <c r="M510" s="14">
        <v>707.62</v>
      </c>
      <c r="N510" s="16">
        <v>108.8672</v>
      </c>
      <c r="O510" s="47">
        <f t="shared" si="117"/>
        <v>0.16</v>
      </c>
      <c r="P510" s="47">
        <f t="shared" si="118"/>
        <v>0.16</v>
      </c>
      <c r="Q510" s="47">
        <f t="shared" si="119"/>
        <v>707.62</v>
      </c>
      <c r="R510" s="47">
        <f t="shared" si="120"/>
        <v>707.62</v>
      </c>
      <c r="S510" s="47">
        <f t="shared" si="123"/>
        <v>0.16</v>
      </c>
      <c r="T510" s="47" t="str">
        <f t="shared" si="124"/>
        <v/>
      </c>
      <c r="U510" s="47">
        <f t="shared" si="121"/>
        <v>108.8672</v>
      </c>
      <c r="V510" s="47" t="str">
        <f t="shared" si="122"/>
        <v/>
      </c>
      <c r="W510" s="98">
        <f t="shared" si="125"/>
        <v>108.8672</v>
      </c>
      <c r="X510" s="98">
        <f t="shared" si="126"/>
        <v>0.16</v>
      </c>
      <c r="Y510" s="36"/>
      <c r="Z510" s="42" t="s">
        <v>44</v>
      </c>
      <c r="AD510" s="42" t="s">
        <v>18</v>
      </c>
      <c r="AK510" s="42" t="s">
        <v>124</v>
      </c>
      <c r="AM510" s="42" t="s">
        <v>126</v>
      </c>
    </row>
    <row r="511" spans="1:44" x14ac:dyDescent="0.3">
      <c r="A511" s="53" t="s">
        <v>280</v>
      </c>
      <c r="B511" s="36">
        <v>509</v>
      </c>
      <c r="C511" s="8" t="str">
        <f t="shared" ref="C511:C574" ca="1" si="127">IF(TODAY()-10*365&gt;D511,"10년 초과",IF(TODAY()-5*365&gt;D511,"10년~5년 사이","5년 이내"))</f>
        <v>10년~5년 사이</v>
      </c>
      <c r="D511" s="7">
        <v>44186</v>
      </c>
      <c r="E511" s="5">
        <f t="shared" ref="E511:E574" si="128">IF((N511&gt;200),2,IF(N511&gt;100,1,IF((N511&lt;99.9),"")))</f>
        <v>1</v>
      </c>
      <c r="F511" s="1" t="s">
        <v>1</v>
      </c>
      <c r="G511" s="33" t="s">
        <v>231</v>
      </c>
      <c r="H511" s="33" t="s">
        <v>232</v>
      </c>
      <c r="I511" s="9" t="s">
        <v>29</v>
      </c>
      <c r="J511" s="2" t="s">
        <v>4</v>
      </c>
      <c r="K511" s="3" t="s">
        <v>6</v>
      </c>
      <c r="L511" s="4">
        <v>0.16</v>
      </c>
      <c r="M511" s="14">
        <v>707.62</v>
      </c>
      <c r="N511" s="16">
        <v>108.8672</v>
      </c>
      <c r="O511" s="47">
        <f t="shared" si="117"/>
        <v>0.16</v>
      </c>
      <c r="P511" s="47">
        <f t="shared" si="118"/>
        <v>0.16</v>
      </c>
      <c r="Q511" s="47">
        <f t="shared" si="119"/>
        <v>707.62</v>
      </c>
      <c r="R511" s="47">
        <f t="shared" si="120"/>
        <v>707.62</v>
      </c>
      <c r="S511" s="47">
        <f t="shared" si="123"/>
        <v>0.16</v>
      </c>
      <c r="T511" s="47" t="str">
        <f t="shared" si="124"/>
        <v/>
      </c>
      <c r="U511" s="47">
        <f t="shared" si="121"/>
        <v>108.8672</v>
      </c>
      <c r="V511" s="47" t="str">
        <f t="shared" si="122"/>
        <v/>
      </c>
      <c r="W511" s="98">
        <f t="shared" si="125"/>
        <v>108.8672</v>
      </c>
      <c r="X511" s="98">
        <f t="shared" si="126"/>
        <v>0.16</v>
      </c>
      <c r="Y511" s="36"/>
      <c r="Z511" s="42" t="s">
        <v>44</v>
      </c>
      <c r="AD511" s="42" t="s">
        <v>18</v>
      </c>
      <c r="AK511" s="42" t="s">
        <v>124</v>
      </c>
      <c r="AM511" s="42" t="s">
        <v>126</v>
      </c>
    </row>
    <row r="512" spans="1:44" x14ac:dyDescent="0.3">
      <c r="A512" s="53" t="s">
        <v>280</v>
      </c>
      <c r="B512" s="36">
        <v>510</v>
      </c>
      <c r="C512" s="8" t="str">
        <f t="shared" ca="1" si="127"/>
        <v>10년~5년 사이</v>
      </c>
      <c r="D512" s="7">
        <v>44186</v>
      </c>
      <c r="E512" s="5">
        <f t="shared" si="128"/>
        <v>1</v>
      </c>
      <c r="F512" s="1" t="s">
        <v>1</v>
      </c>
      <c r="G512" s="33" t="s">
        <v>17</v>
      </c>
      <c r="H512" s="33" t="s">
        <v>143</v>
      </c>
      <c r="I512" s="9" t="s">
        <v>29</v>
      </c>
      <c r="J512" s="2" t="s">
        <v>4</v>
      </c>
      <c r="K512" s="3" t="s">
        <v>6</v>
      </c>
      <c r="L512" s="4">
        <v>0.16</v>
      </c>
      <c r="M512" s="14">
        <v>707.62</v>
      </c>
      <c r="N512" s="16">
        <v>108.8672</v>
      </c>
      <c r="O512" s="47">
        <f t="shared" si="117"/>
        <v>0.16</v>
      </c>
      <c r="P512" s="47">
        <f t="shared" si="118"/>
        <v>0.16</v>
      </c>
      <c r="Q512" s="47">
        <f t="shared" si="119"/>
        <v>707.62</v>
      </c>
      <c r="R512" s="47">
        <f t="shared" si="120"/>
        <v>707.62</v>
      </c>
      <c r="S512" s="47">
        <f t="shared" si="123"/>
        <v>0.16</v>
      </c>
      <c r="T512" s="47" t="str">
        <f t="shared" si="124"/>
        <v/>
      </c>
      <c r="U512" s="47">
        <f t="shared" si="121"/>
        <v>108.8672</v>
      </c>
      <c r="V512" s="47" t="str">
        <f t="shared" si="122"/>
        <v/>
      </c>
      <c r="W512" s="98">
        <f t="shared" si="125"/>
        <v>108.8672</v>
      </c>
      <c r="X512" s="98">
        <f t="shared" si="126"/>
        <v>0.16</v>
      </c>
      <c r="Y512" s="36"/>
      <c r="Z512" s="42" t="s">
        <v>44</v>
      </c>
      <c r="AD512" s="42" t="s">
        <v>18</v>
      </c>
      <c r="AK512" s="42" t="s">
        <v>124</v>
      </c>
      <c r="AM512" s="42" t="s">
        <v>126</v>
      </c>
    </row>
    <row r="513" spans="1:45" x14ac:dyDescent="0.3">
      <c r="A513" s="53" t="s">
        <v>280</v>
      </c>
      <c r="B513" s="36">
        <v>511</v>
      </c>
      <c r="C513" s="8" t="str">
        <f t="shared" ca="1" si="127"/>
        <v>10년~5년 사이</v>
      </c>
      <c r="D513" s="7">
        <v>44192</v>
      </c>
      <c r="E513" s="5">
        <f t="shared" si="128"/>
        <v>2</v>
      </c>
      <c r="F513" s="1" t="s">
        <v>1</v>
      </c>
      <c r="G513" s="33" t="s">
        <v>17</v>
      </c>
      <c r="H513" s="33" t="s">
        <v>138</v>
      </c>
      <c r="I513" s="9" t="s">
        <v>45</v>
      </c>
      <c r="J513" s="2" t="s">
        <v>40</v>
      </c>
      <c r="K513" s="3" t="s">
        <v>46</v>
      </c>
      <c r="L513" s="4">
        <v>0.77</v>
      </c>
      <c r="M513" s="14">
        <f>200.937+60.02+35.523</f>
        <v>296.48</v>
      </c>
      <c r="N513" s="16">
        <v>200.93700000000001</v>
      </c>
      <c r="O513" s="47">
        <f t="shared" si="117"/>
        <v>0.77</v>
      </c>
      <c r="P513" s="47">
        <f t="shared" si="118"/>
        <v>0.77</v>
      </c>
      <c r="Q513" s="47">
        <f t="shared" si="119"/>
        <v>296.48</v>
      </c>
      <c r="R513" s="47">
        <f t="shared" si="120"/>
        <v>296.48</v>
      </c>
      <c r="S513" s="47">
        <f t="shared" si="123"/>
        <v>0.77</v>
      </c>
      <c r="T513" s="47">
        <f t="shared" si="124"/>
        <v>0.77</v>
      </c>
      <c r="U513" s="47">
        <f t="shared" si="121"/>
        <v>200.93700000000001</v>
      </c>
      <c r="V513" s="47">
        <f t="shared" si="122"/>
        <v>200.93700000000001</v>
      </c>
      <c r="W513" s="98">
        <f t="shared" si="125"/>
        <v>200.93700000000001</v>
      </c>
      <c r="X513" s="98">
        <f t="shared" si="126"/>
        <v>0.77</v>
      </c>
      <c r="Y513" s="36" t="s">
        <v>58</v>
      </c>
      <c r="Z513" s="42" t="s">
        <v>44</v>
      </c>
      <c r="AD513" s="42" t="s">
        <v>18</v>
      </c>
      <c r="AG513" s="42" t="s">
        <v>120</v>
      </c>
    </row>
    <row r="514" spans="1:45" x14ac:dyDescent="0.3">
      <c r="A514" s="53" t="s">
        <v>280</v>
      </c>
      <c r="B514" s="36">
        <v>512</v>
      </c>
      <c r="C514" s="8" t="str">
        <f t="shared" ca="1" si="127"/>
        <v>10년~5년 사이</v>
      </c>
      <c r="D514" s="7">
        <v>44192</v>
      </c>
      <c r="E514" s="5">
        <f t="shared" si="128"/>
        <v>2</v>
      </c>
      <c r="F514" s="1" t="s">
        <v>1</v>
      </c>
      <c r="G514" s="33" t="s">
        <v>68</v>
      </c>
      <c r="H514" s="33" t="s">
        <v>77</v>
      </c>
      <c r="I514" s="9" t="s">
        <v>45</v>
      </c>
      <c r="J514" s="2" t="s">
        <v>40</v>
      </c>
      <c r="K514" s="3" t="s">
        <v>46</v>
      </c>
      <c r="L514" s="4">
        <v>0.77</v>
      </c>
      <c r="M514" s="14">
        <f>200.937+60.02+35.523</f>
        <v>296.48</v>
      </c>
      <c r="N514" s="16">
        <v>200.93700000000001</v>
      </c>
      <c r="O514" s="47">
        <f t="shared" si="117"/>
        <v>0.77</v>
      </c>
      <c r="P514" s="47">
        <f t="shared" si="118"/>
        <v>0.77</v>
      </c>
      <c r="Q514" s="47">
        <f t="shared" si="119"/>
        <v>296.48</v>
      </c>
      <c r="R514" s="47">
        <f t="shared" si="120"/>
        <v>296.48</v>
      </c>
      <c r="S514" s="47">
        <f t="shared" si="123"/>
        <v>0.77</v>
      </c>
      <c r="T514" s="47">
        <f t="shared" si="124"/>
        <v>0.77</v>
      </c>
      <c r="U514" s="47">
        <f t="shared" si="121"/>
        <v>200.93700000000001</v>
      </c>
      <c r="V514" s="47">
        <f t="shared" si="122"/>
        <v>200.93700000000001</v>
      </c>
      <c r="W514" s="98">
        <f t="shared" si="125"/>
        <v>200.93700000000001</v>
      </c>
      <c r="X514" s="98">
        <f t="shared" si="126"/>
        <v>0.77</v>
      </c>
      <c r="Y514" s="36" t="s">
        <v>115</v>
      </c>
      <c r="Z514" s="42" t="s">
        <v>44</v>
      </c>
      <c r="AD514" s="42" t="s">
        <v>18</v>
      </c>
      <c r="AG514" s="42" t="s">
        <v>120</v>
      </c>
    </row>
    <row r="515" spans="1:45" x14ac:dyDescent="0.3">
      <c r="A515" s="53" t="s">
        <v>280</v>
      </c>
      <c r="B515" s="36">
        <v>513</v>
      </c>
      <c r="C515" s="8" t="str">
        <f t="shared" ca="1" si="127"/>
        <v>10년~5년 사이</v>
      </c>
      <c r="D515" s="7">
        <v>44192</v>
      </c>
      <c r="E515" s="5">
        <f t="shared" si="128"/>
        <v>2</v>
      </c>
      <c r="F515" s="1" t="s">
        <v>1</v>
      </c>
      <c r="G515" s="33" t="s">
        <v>78</v>
      </c>
      <c r="H515" s="33" t="s">
        <v>79</v>
      </c>
      <c r="I515" s="9" t="s">
        <v>45</v>
      </c>
      <c r="J515" s="2" t="s">
        <v>40</v>
      </c>
      <c r="K515" s="3" t="s">
        <v>46</v>
      </c>
      <c r="L515" s="4">
        <v>0.77</v>
      </c>
      <c r="M515" s="14">
        <f>200.937+60.02+35.523</f>
        <v>296.48</v>
      </c>
      <c r="N515" s="16">
        <v>200.93700000000001</v>
      </c>
      <c r="O515" s="47">
        <f t="shared" si="117"/>
        <v>0.77</v>
      </c>
      <c r="P515" s="47">
        <f t="shared" si="118"/>
        <v>0.77</v>
      </c>
      <c r="Q515" s="47">
        <f t="shared" si="119"/>
        <v>296.48</v>
      </c>
      <c r="R515" s="47">
        <f t="shared" si="120"/>
        <v>296.48</v>
      </c>
      <c r="S515" s="47">
        <f t="shared" si="123"/>
        <v>0.77</v>
      </c>
      <c r="T515" s="47">
        <f t="shared" si="124"/>
        <v>0.77</v>
      </c>
      <c r="U515" s="47">
        <f t="shared" si="121"/>
        <v>200.93700000000001</v>
      </c>
      <c r="V515" s="47">
        <f t="shared" si="122"/>
        <v>200.93700000000001</v>
      </c>
      <c r="W515" s="98">
        <f t="shared" si="125"/>
        <v>200.93700000000001</v>
      </c>
      <c r="X515" s="98">
        <f t="shared" si="126"/>
        <v>0.77</v>
      </c>
      <c r="Y515" s="36"/>
      <c r="Z515" s="42" t="s">
        <v>44</v>
      </c>
      <c r="AD515" s="42" t="s">
        <v>18</v>
      </c>
      <c r="AG515" s="42" t="s">
        <v>120</v>
      </c>
    </row>
    <row r="516" spans="1:45" x14ac:dyDescent="0.3">
      <c r="A516" s="53" t="s">
        <v>280</v>
      </c>
      <c r="B516" s="36">
        <v>514</v>
      </c>
      <c r="C516" s="8" t="str">
        <f t="shared" ca="1" si="127"/>
        <v>10년~5년 사이</v>
      </c>
      <c r="D516" s="7">
        <v>44193</v>
      </c>
      <c r="E516" s="5">
        <f t="shared" si="128"/>
        <v>1</v>
      </c>
      <c r="F516" s="1" t="s">
        <v>1</v>
      </c>
      <c r="G516" s="33" t="s">
        <v>17</v>
      </c>
      <c r="H516" s="33" t="s">
        <v>139</v>
      </c>
      <c r="I516" s="9" t="s">
        <v>25</v>
      </c>
      <c r="J516" s="2" t="s">
        <v>4</v>
      </c>
      <c r="K516" s="3" t="s">
        <v>24</v>
      </c>
      <c r="L516" s="4">
        <v>0.7</v>
      </c>
      <c r="M516" s="14">
        <v>251.9</v>
      </c>
      <c r="N516" s="16">
        <f>M516*L516</f>
        <v>176.32999999999998</v>
      </c>
      <c r="O516" s="47">
        <f t="shared" si="117"/>
        <v>0.7</v>
      </c>
      <c r="P516" s="47">
        <f t="shared" si="118"/>
        <v>0.7</v>
      </c>
      <c r="Q516" s="47">
        <f t="shared" si="119"/>
        <v>251.9</v>
      </c>
      <c r="R516" s="47">
        <f t="shared" si="120"/>
        <v>251.9</v>
      </c>
      <c r="S516" s="47">
        <f t="shared" si="123"/>
        <v>0.7</v>
      </c>
      <c r="T516" s="47" t="str">
        <f t="shared" si="124"/>
        <v/>
      </c>
      <c r="U516" s="47">
        <f t="shared" si="121"/>
        <v>176.32999999999998</v>
      </c>
      <c r="V516" s="47" t="str">
        <f t="shared" si="122"/>
        <v/>
      </c>
      <c r="W516" s="98">
        <f t="shared" si="125"/>
        <v>176.32999999999998</v>
      </c>
      <c r="X516" s="98">
        <f t="shared" si="126"/>
        <v>0.7</v>
      </c>
      <c r="Y516" s="36" t="s">
        <v>136</v>
      </c>
      <c r="AC516" s="42" t="s">
        <v>119</v>
      </c>
      <c r="AE516" s="42" t="s">
        <v>24</v>
      </c>
      <c r="AK516" s="42" t="s">
        <v>124</v>
      </c>
      <c r="AM516" s="42" t="s">
        <v>126</v>
      </c>
    </row>
    <row r="517" spans="1:45" x14ac:dyDescent="0.3">
      <c r="A517" s="53" t="s">
        <v>280</v>
      </c>
      <c r="B517" s="36">
        <v>515</v>
      </c>
      <c r="C517" s="8" t="str">
        <f t="shared" ca="1" si="127"/>
        <v>10년~5년 사이</v>
      </c>
      <c r="D517" s="7">
        <v>44193</v>
      </c>
      <c r="E517" s="5">
        <f t="shared" si="128"/>
        <v>1</v>
      </c>
      <c r="F517" s="1" t="s">
        <v>1</v>
      </c>
      <c r="G517" s="33" t="s">
        <v>68</v>
      </c>
      <c r="H517" s="33" t="s">
        <v>77</v>
      </c>
      <c r="I517" s="9" t="s">
        <v>25</v>
      </c>
      <c r="J517" s="2" t="s">
        <v>4</v>
      </c>
      <c r="K517" s="3" t="s">
        <v>24</v>
      </c>
      <c r="L517" s="4">
        <v>0.7</v>
      </c>
      <c r="M517" s="14">
        <v>251.9</v>
      </c>
      <c r="N517" s="16">
        <f>M517*L517</f>
        <v>176.32999999999998</v>
      </c>
      <c r="O517" s="47">
        <f t="shared" ref="O517:O580" si="129">IF(M517&gt;100,L517,"")</f>
        <v>0.7</v>
      </c>
      <c r="P517" s="47">
        <f t="shared" ref="P517:P580" si="130">IF(M517&gt;200,L517,"")</f>
        <v>0.7</v>
      </c>
      <c r="Q517" s="47">
        <f t="shared" ref="Q517:Q580" si="131">IF(M517&gt;100,M517,"")</f>
        <v>251.9</v>
      </c>
      <c r="R517" s="47">
        <f t="shared" ref="R517:R580" si="132">IF(M517&gt;200,M517,"")</f>
        <v>251.9</v>
      </c>
      <c r="S517" s="47">
        <f t="shared" si="123"/>
        <v>0.7</v>
      </c>
      <c r="T517" s="47" t="str">
        <f t="shared" si="124"/>
        <v/>
      </c>
      <c r="U517" s="47">
        <f t="shared" ref="U517:U580" si="133">IF(N517&gt;100,N517,"")</f>
        <v>176.32999999999998</v>
      </c>
      <c r="V517" s="47" t="str">
        <f t="shared" ref="V517:V580" si="134">IF(N517&gt;200,N517,"")</f>
        <v/>
      </c>
      <c r="W517" s="98">
        <f t="shared" si="125"/>
        <v>176.32999999999998</v>
      </c>
      <c r="X517" s="98">
        <f t="shared" si="126"/>
        <v>0.7</v>
      </c>
      <c r="Y517" s="36"/>
      <c r="AC517" s="42" t="s">
        <v>119</v>
      </c>
      <c r="AE517" s="42" t="s">
        <v>24</v>
      </c>
      <c r="AK517" s="42" t="s">
        <v>124</v>
      </c>
      <c r="AM517" s="42" t="s">
        <v>126</v>
      </c>
    </row>
    <row r="518" spans="1:45" x14ac:dyDescent="0.3">
      <c r="A518" s="53" t="s">
        <v>280</v>
      </c>
      <c r="B518" s="36">
        <v>516</v>
      </c>
      <c r="C518" s="8" t="str">
        <f t="shared" ca="1" si="127"/>
        <v>10년~5년 사이</v>
      </c>
      <c r="D518" s="7">
        <v>44309</v>
      </c>
      <c r="E518" s="5">
        <f t="shared" si="128"/>
        <v>2</v>
      </c>
      <c r="F518" s="1" t="s">
        <v>1</v>
      </c>
      <c r="G518" s="33" t="s">
        <v>17</v>
      </c>
      <c r="H518" s="33" t="s">
        <v>140</v>
      </c>
      <c r="I518" s="9" t="s">
        <v>12</v>
      </c>
      <c r="J518" s="2" t="s">
        <v>4</v>
      </c>
      <c r="K518" s="3" t="s">
        <v>6</v>
      </c>
      <c r="L518" s="4">
        <v>8.4000000000000005E-2</v>
      </c>
      <c r="M518" s="14">
        <v>5348</v>
      </c>
      <c r="N518" s="16">
        <v>451.97899999999998</v>
      </c>
      <c r="O518" s="47">
        <f t="shared" si="129"/>
        <v>8.4000000000000005E-2</v>
      </c>
      <c r="P518" s="47">
        <f t="shared" si="130"/>
        <v>8.4000000000000005E-2</v>
      </c>
      <c r="Q518" s="47">
        <f t="shared" si="131"/>
        <v>5348</v>
      </c>
      <c r="R518" s="47">
        <f t="shared" si="132"/>
        <v>5348</v>
      </c>
      <c r="S518" s="47">
        <f t="shared" si="123"/>
        <v>8.4000000000000005E-2</v>
      </c>
      <c r="T518" s="47">
        <f t="shared" si="124"/>
        <v>8.4000000000000005E-2</v>
      </c>
      <c r="U518" s="47">
        <f t="shared" si="133"/>
        <v>451.97899999999998</v>
      </c>
      <c r="V518" s="47">
        <f t="shared" si="134"/>
        <v>451.97899999999998</v>
      </c>
      <c r="W518" s="98">
        <f t="shared" si="125"/>
        <v>451.97899999999998</v>
      </c>
      <c r="X518" s="98">
        <f t="shared" si="126"/>
        <v>8.4000000000000005E-2</v>
      </c>
      <c r="Y518" s="36" t="s">
        <v>60</v>
      </c>
      <c r="Z518" s="42" t="s">
        <v>44</v>
      </c>
      <c r="AF518" s="42" t="s">
        <v>5</v>
      </c>
    </row>
    <row r="519" spans="1:45" x14ac:dyDescent="0.3">
      <c r="A519" s="53" t="s">
        <v>280</v>
      </c>
      <c r="B519" s="36">
        <v>517</v>
      </c>
      <c r="C519" s="8" t="str">
        <f t="shared" ca="1" si="127"/>
        <v>10년~5년 사이</v>
      </c>
      <c r="D519" s="7">
        <v>44319</v>
      </c>
      <c r="E519" s="5" t="str">
        <f t="shared" si="128"/>
        <v/>
      </c>
      <c r="F519" s="1" t="s">
        <v>1</v>
      </c>
      <c r="G519" s="33" t="s">
        <v>17</v>
      </c>
      <c r="H519" s="33" t="s">
        <v>138</v>
      </c>
      <c r="I519" s="9" t="s">
        <v>38</v>
      </c>
      <c r="J519" s="2" t="s">
        <v>4</v>
      </c>
      <c r="K519" s="3" t="s">
        <v>24</v>
      </c>
      <c r="L519" s="4">
        <v>1</v>
      </c>
      <c r="M519" s="14">
        <v>18.420000000000002</v>
      </c>
      <c r="N519" s="16">
        <f>M519*L519</f>
        <v>18.420000000000002</v>
      </c>
      <c r="O519" s="47" t="str">
        <f t="shared" si="129"/>
        <v/>
      </c>
      <c r="P519" s="47" t="str">
        <f t="shared" si="130"/>
        <v/>
      </c>
      <c r="Q519" s="47" t="str">
        <f t="shared" si="131"/>
        <v/>
      </c>
      <c r="R519" s="47" t="str">
        <f t="shared" si="132"/>
        <v/>
      </c>
      <c r="S519" s="47" t="str">
        <f t="shared" si="123"/>
        <v/>
      </c>
      <c r="T519" s="47" t="str">
        <f t="shared" si="124"/>
        <v/>
      </c>
      <c r="U519" s="47" t="str">
        <f t="shared" si="133"/>
        <v/>
      </c>
      <c r="V519" s="47" t="str">
        <f t="shared" si="134"/>
        <v/>
      </c>
      <c r="W519" s="98">
        <f t="shared" si="125"/>
        <v>18.420000000000002</v>
      </c>
      <c r="X519" s="98">
        <f t="shared" si="126"/>
        <v>1</v>
      </c>
      <c r="Y519" s="36" t="s">
        <v>225</v>
      </c>
      <c r="AC519" s="42" t="s">
        <v>119</v>
      </c>
      <c r="AE519" s="42" t="s">
        <v>24</v>
      </c>
      <c r="AG519" s="42" t="s">
        <v>120</v>
      </c>
      <c r="AJ519" s="42" t="s">
        <v>123</v>
      </c>
      <c r="AK519" s="42" t="s">
        <v>124</v>
      </c>
      <c r="AM519" s="42" t="s">
        <v>126</v>
      </c>
      <c r="AN519" s="42" t="s">
        <v>127</v>
      </c>
      <c r="AR519" s="42" t="s">
        <v>131</v>
      </c>
      <c r="AS519" s="42" t="s">
        <v>132</v>
      </c>
    </row>
    <row r="520" spans="1:45" x14ac:dyDescent="0.3">
      <c r="A520" s="53" t="s">
        <v>280</v>
      </c>
      <c r="B520" s="36">
        <v>518</v>
      </c>
      <c r="C520" s="8" t="str">
        <f t="shared" ca="1" si="127"/>
        <v>10년~5년 사이</v>
      </c>
      <c r="D520" s="7">
        <v>44319</v>
      </c>
      <c r="E520" s="5" t="str">
        <f t="shared" si="128"/>
        <v/>
      </c>
      <c r="F520" s="1" t="s">
        <v>1</v>
      </c>
      <c r="G520" s="33" t="s">
        <v>39</v>
      </c>
      <c r="H520" s="33" t="s">
        <v>237</v>
      </c>
      <c r="I520" s="9" t="s">
        <v>38</v>
      </c>
      <c r="J520" s="2" t="s">
        <v>4</v>
      </c>
      <c r="K520" s="3" t="s">
        <v>24</v>
      </c>
      <c r="L520" s="4">
        <v>1</v>
      </c>
      <c r="M520" s="14">
        <v>18.420000000000002</v>
      </c>
      <c r="N520" s="16">
        <f>M520*L520</f>
        <v>18.420000000000002</v>
      </c>
      <c r="O520" s="47" t="str">
        <f t="shared" si="129"/>
        <v/>
      </c>
      <c r="P520" s="47" t="str">
        <f t="shared" si="130"/>
        <v/>
      </c>
      <c r="Q520" s="47" t="str">
        <f t="shared" si="131"/>
        <v/>
      </c>
      <c r="R520" s="47" t="str">
        <f t="shared" si="132"/>
        <v/>
      </c>
      <c r="S520" s="47" t="str">
        <f t="shared" ref="S520:S583" si="135">IF(N520&gt;100,L520,"")</f>
        <v/>
      </c>
      <c r="T520" s="47" t="str">
        <f t="shared" ref="T520:T583" si="136">IF(N520&gt;200,L520,"")</f>
        <v/>
      </c>
      <c r="U520" s="47" t="str">
        <f t="shared" si="133"/>
        <v/>
      </c>
      <c r="V520" s="47" t="str">
        <f t="shared" si="134"/>
        <v/>
      </c>
      <c r="W520" s="98">
        <f t="shared" si="125"/>
        <v>18.420000000000002</v>
      </c>
      <c r="X520" s="98">
        <f t="shared" si="126"/>
        <v>1</v>
      </c>
      <c r="Y520" s="36" t="s">
        <v>59</v>
      </c>
      <c r="AC520" s="42" t="s">
        <v>119</v>
      </c>
      <c r="AE520" s="42" t="s">
        <v>24</v>
      </c>
      <c r="AG520" s="42" t="s">
        <v>120</v>
      </c>
      <c r="AJ520" s="42" t="s">
        <v>123</v>
      </c>
      <c r="AK520" s="42" t="s">
        <v>124</v>
      </c>
      <c r="AM520" s="42" t="s">
        <v>126</v>
      </c>
      <c r="AN520" s="42" t="s">
        <v>127</v>
      </c>
      <c r="AR520" s="42" t="s">
        <v>131</v>
      </c>
      <c r="AS520" s="42" t="s">
        <v>132</v>
      </c>
    </row>
    <row r="521" spans="1:45" x14ac:dyDescent="0.3">
      <c r="A521" s="53" t="s">
        <v>280</v>
      </c>
      <c r="B521" s="36">
        <v>519</v>
      </c>
      <c r="C521" s="8" t="str">
        <f t="shared" ca="1" si="127"/>
        <v>10년~5년 사이</v>
      </c>
      <c r="D521" s="7">
        <v>44319</v>
      </c>
      <c r="E521" s="5" t="str">
        <f t="shared" si="128"/>
        <v/>
      </c>
      <c r="F521" s="1" t="s">
        <v>1</v>
      </c>
      <c r="G521" s="33" t="s">
        <v>17</v>
      </c>
      <c r="H521" s="33" t="s">
        <v>238</v>
      </c>
      <c r="I521" s="9" t="s">
        <v>38</v>
      </c>
      <c r="J521" s="2" t="s">
        <v>4</v>
      </c>
      <c r="K521" s="3" t="s">
        <v>24</v>
      </c>
      <c r="L521" s="4">
        <v>1</v>
      </c>
      <c r="M521" s="14">
        <v>18.420000000000002</v>
      </c>
      <c r="N521" s="16">
        <f>M521*L521</f>
        <v>18.420000000000002</v>
      </c>
      <c r="O521" s="47" t="str">
        <f t="shared" si="129"/>
        <v/>
      </c>
      <c r="P521" s="47" t="str">
        <f t="shared" si="130"/>
        <v/>
      </c>
      <c r="Q521" s="47" t="str">
        <f t="shared" si="131"/>
        <v/>
      </c>
      <c r="R521" s="47" t="str">
        <f t="shared" si="132"/>
        <v/>
      </c>
      <c r="S521" s="47" t="str">
        <f t="shared" si="135"/>
        <v/>
      </c>
      <c r="T521" s="47" t="str">
        <f t="shared" si="136"/>
        <v/>
      </c>
      <c r="U521" s="47" t="str">
        <f t="shared" si="133"/>
        <v/>
      </c>
      <c r="V521" s="47" t="str">
        <f t="shared" si="134"/>
        <v/>
      </c>
      <c r="W521" s="98">
        <f t="shared" si="125"/>
        <v>18.420000000000002</v>
      </c>
      <c r="X521" s="98">
        <f t="shared" si="126"/>
        <v>1</v>
      </c>
      <c r="Y521" s="36" t="s">
        <v>59</v>
      </c>
      <c r="AC521" s="42" t="s">
        <v>119</v>
      </c>
      <c r="AE521" s="42" t="s">
        <v>24</v>
      </c>
      <c r="AG521" s="42" t="s">
        <v>120</v>
      </c>
      <c r="AJ521" s="42" t="s">
        <v>123</v>
      </c>
      <c r="AK521" s="42" t="s">
        <v>124</v>
      </c>
      <c r="AM521" s="42" t="s">
        <v>126</v>
      </c>
      <c r="AN521" s="42" t="s">
        <v>127</v>
      </c>
      <c r="AR521" s="42" t="s">
        <v>131</v>
      </c>
      <c r="AS521" s="42" t="s">
        <v>132</v>
      </c>
    </row>
    <row r="522" spans="1:45" x14ac:dyDescent="0.3">
      <c r="A522" s="53" t="s">
        <v>280</v>
      </c>
      <c r="B522" s="36">
        <v>520</v>
      </c>
      <c r="C522" s="8" t="str">
        <f t="shared" ca="1" si="127"/>
        <v>5년 이내</v>
      </c>
      <c r="D522" s="6">
        <v>44377</v>
      </c>
      <c r="E522" s="5">
        <f t="shared" si="128"/>
        <v>1</v>
      </c>
      <c r="F522" s="1" t="s">
        <v>1</v>
      </c>
      <c r="G522" s="33" t="s">
        <v>10</v>
      </c>
      <c r="H522" s="33" t="s">
        <v>48</v>
      </c>
      <c r="I522" s="9" t="s">
        <v>34</v>
      </c>
      <c r="J522" s="2" t="s">
        <v>4</v>
      </c>
      <c r="K522" s="3" t="s">
        <v>5</v>
      </c>
      <c r="L522" s="12">
        <v>1</v>
      </c>
      <c r="M522" s="14">
        <v>142.38999999999999</v>
      </c>
      <c r="N522" s="16">
        <f>M522*L522</f>
        <v>142.38999999999999</v>
      </c>
      <c r="O522" s="47">
        <f t="shared" si="129"/>
        <v>1</v>
      </c>
      <c r="P522" s="47" t="str">
        <f t="shared" si="130"/>
        <v/>
      </c>
      <c r="Q522" s="47">
        <f t="shared" si="131"/>
        <v>142.38999999999999</v>
      </c>
      <c r="R522" s="47" t="str">
        <f t="shared" si="132"/>
        <v/>
      </c>
      <c r="S522" s="47">
        <f t="shared" si="135"/>
        <v>1</v>
      </c>
      <c r="T522" s="47" t="str">
        <f t="shared" si="136"/>
        <v/>
      </c>
      <c r="U522" s="47">
        <f t="shared" si="133"/>
        <v>142.38999999999999</v>
      </c>
      <c r="V522" s="47" t="str">
        <f t="shared" si="134"/>
        <v/>
      </c>
      <c r="W522" s="98">
        <f t="shared" si="125"/>
        <v>142.38999999999999</v>
      </c>
      <c r="X522" s="98">
        <f t="shared" si="126"/>
        <v>1</v>
      </c>
      <c r="Y522" s="36"/>
      <c r="AC522" s="42" t="s">
        <v>119</v>
      </c>
      <c r="AF522" s="42" t="s">
        <v>5</v>
      </c>
      <c r="AG522" s="42" t="s">
        <v>120</v>
      </c>
      <c r="AM522" s="42" t="s">
        <v>126</v>
      </c>
      <c r="AN522" s="42" t="s">
        <v>127</v>
      </c>
    </row>
    <row r="523" spans="1:45" x14ac:dyDescent="0.3">
      <c r="A523" s="53" t="s">
        <v>280</v>
      </c>
      <c r="B523" s="36">
        <v>521</v>
      </c>
      <c r="C523" s="8" t="str">
        <f t="shared" ca="1" si="127"/>
        <v>5년 이내</v>
      </c>
      <c r="D523" s="6">
        <v>44545</v>
      </c>
      <c r="E523" s="5" t="str">
        <f t="shared" si="128"/>
        <v/>
      </c>
      <c r="F523" s="1" t="s">
        <v>1</v>
      </c>
      <c r="G523" s="33" t="s">
        <v>10</v>
      </c>
      <c r="H523" s="33" t="s">
        <v>48</v>
      </c>
      <c r="I523" s="9" t="s">
        <v>52</v>
      </c>
      <c r="J523" s="2" t="s">
        <v>4</v>
      </c>
      <c r="K523" s="3" t="s">
        <v>5</v>
      </c>
      <c r="L523" s="12">
        <v>1</v>
      </c>
      <c r="M523" s="14">
        <v>18.013000000000002</v>
      </c>
      <c r="N523" s="16">
        <f>M523*L523</f>
        <v>18.013000000000002</v>
      </c>
      <c r="O523" s="47" t="str">
        <f t="shared" si="129"/>
        <v/>
      </c>
      <c r="P523" s="47" t="str">
        <f t="shared" si="130"/>
        <v/>
      </c>
      <c r="Q523" s="47" t="str">
        <f t="shared" si="131"/>
        <v/>
      </c>
      <c r="R523" s="47" t="str">
        <f t="shared" si="132"/>
        <v/>
      </c>
      <c r="S523" s="47" t="str">
        <f t="shared" si="135"/>
        <v/>
      </c>
      <c r="T523" s="47" t="str">
        <f t="shared" si="136"/>
        <v/>
      </c>
      <c r="U523" s="47" t="str">
        <f t="shared" si="133"/>
        <v/>
      </c>
      <c r="V523" s="47" t="str">
        <f t="shared" si="134"/>
        <v/>
      </c>
      <c r="W523" s="98">
        <f t="shared" si="125"/>
        <v>18.013000000000002</v>
      </c>
      <c r="X523" s="98">
        <f t="shared" si="126"/>
        <v>1</v>
      </c>
      <c r="Y523" s="36"/>
      <c r="Z523" s="42" t="s">
        <v>44</v>
      </c>
      <c r="AA523" s="42" t="s">
        <v>134</v>
      </c>
      <c r="AC523" s="42" t="s">
        <v>119</v>
      </c>
      <c r="AD523" s="42" t="s">
        <v>18</v>
      </c>
      <c r="AE523" s="42" t="s">
        <v>24</v>
      </c>
      <c r="AF523" s="42" t="s">
        <v>5</v>
      </c>
      <c r="AG523" s="42" t="s">
        <v>120</v>
      </c>
      <c r="AJ523" s="42" t="s">
        <v>123</v>
      </c>
      <c r="AK523" s="42" t="s">
        <v>124</v>
      </c>
      <c r="AM523" s="42" t="s">
        <v>126</v>
      </c>
      <c r="AN523" s="42" t="s">
        <v>127</v>
      </c>
      <c r="AR523" s="42" t="s">
        <v>131</v>
      </c>
      <c r="AS523" s="42" t="s">
        <v>132</v>
      </c>
    </row>
    <row r="524" spans="1:45" x14ac:dyDescent="0.3">
      <c r="A524" s="53" t="s">
        <v>280</v>
      </c>
      <c r="B524" s="36">
        <v>522</v>
      </c>
      <c r="C524" s="8" t="str">
        <f t="shared" ca="1" si="127"/>
        <v>5년 이내</v>
      </c>
      <c r="D524" s="7">
        <v>44547</v>
      </c>
      <c r="E524" s="5">
        <f t="shared" si="128"/>
        <v>2</v>
      </c>
      <c r="F524" s="1" t="s">
        <v>1</v>
      </c>
      <c r="G524" s="33" t="s">
        <v>17</v>
      </c>
      <c r="H524" s="33" t="s">
        <v>139</v>
      </c>
      <c r="I524" s="9" t="s">
        <v>51</v>
      </c>
      <c r="J524" s="2" t="s">
        <v>4</v>
      </c>
      <c r="K524" s="3" t="s">
        <v>5</v>
      </c>
      <c r="L524" s="4">
        <v>0.7</v>
      </c>
      <c r="M524" s="14">
        <v>370.15</v>
      </c>
      <c r="N524" s="16">
        <v>229.26694000000001</v>
      </c>
      <c r="O524" s="47">
        <f t="shared" si="129"/>
        <v>0.7</v>
      </c>
      <c r="P524" s="47">
        <f t="shared" si="130"/>
        <v>0.7</v>
      </c>
      <c r="Q524" s="47">
        <f t="shared" si="131"/>
        <v>370.15</v>
      </c>
      <c r="R524" s="47">
        <f t="shared" si="132"/>
        <v>370.15</v>
      </c>
      <c r="S524" s="47">
        <f t="shared" si="135"/>
        <v>0.7</v>
      </c>
      <c r="T524" s="47">
        <f t="shared" si="136"/>
        <v>0.7</v>
      </c>
      <c r="U524" s="47">
        <f t="shared" si="133"/>
        <v>229.26694000000001</v>
      </c>
      <c r="V524" s="47">
        <f t="shared" si="134"/>
        <v>229.26694000000001</v>
      </c>
      <c r="W524" s="98">
        <f t="shared" si="125"/>
        <v>229.26694000000001</v>
      </c>
      <c r="X524" s="98">
        <f t="shared" si="126"/>
        <v>0.7</v>
      </c>
      <c r="Y524" s="36" t="s">
        <v>59</v>
      </c>
      <c r="Z524" s="42" t="s">
        <v>44</v>
      </c>
      <c r="AD524" s="42" t="s">
        <v>18</v>
      </c>
      <c r="AK524" s="42" t="s">
        <v>124</v>
      </c>
      <c r="AM524" s="42" t="s">
        <v>126</v>
      </c>
      <c r="AN524" s="42" t="s">
        <v>127</v>
      </c>
      <c r="AR524" s="42" t="s">
        <v>131</v>
      </c>
      <c r="AS524" s="42" t="s">
        <v>132</v>
      </c>
    </row>
    <row r="525" spans="1:45" x14ac:dyDescent="0.3">
      <c r="A525" s="53" t="s">
        <v>280</v>
      </c>
      <c r="B525" s="36">
        <v>523</v>
      </c>
      <c r="C525" s="8" t="str">
        <f t="shared" ca="1" si="127"/>
        <v>5년 이내</v>
      </c>
      <c r="D525" s="7">
        <v>44547</v>
      </c>
      <c r="E525" s="5">
        <f t="shared" si="128"/>
        <v>2</v>
      </c>
      <c r="F525" s="1" t="s">
        <v>1</v>
      </c>
      <c r="G525" s="33" t="s">
        <v>78</v>
      </c>
      <c r="H525" s="33" t="s">
        <v>79</v>
      </c>
      <c r="I525" s="9" t="s">
        <v>51</v>
      </c>
      <c r="J525" s="2" t="s">
        <v>4</v>
      </c>
      <c r="K525" s="3" t="s">
        <v>5</v>
      </c>
      <c r="L525" s="4">
        <v>0.7</v>
      </c>
      <c r="M525" s="14">
        <v>370.15</v>
      </c>
      <c r="N525" s="16">
        <v>229.26694000000001</v>
      </c>
      <c r="O525" s="47">
        <f t="shared" si="129"/>
        <v>0.7</v>
      </c>
      <c r="P525" s="47">
        <f t="shared" si="130"/>
        <v>0.7</v>
      </c>
      <c r="Q525" s="47">
        <f t="shared" si="131"/>
        <v>370.15</v>
      </c>
      <c r="R525" s="47">
        <f t="shared" si="132"/>
        <v>370.15</v>
      </c>
      <c r="S525" s="47">
        <f t="shared" si="135"/>
        <v>0.7</v>
      </c>
      <c r="T525" s="47">
        <f t="shared" si="136"/>
        <v>0.7</v>
      </c>
      <c r="U525" s="47">
        <f t="shared" si="133"/>
        <v>229.26694000000001</v>
      </c>
      <c r="V525" s="47">
        <f t="shared" si="134"/>
        <v>229.26694000000001</v>
      </c>
      <c r="W525" s="98">
        <f t="shared" si="125"/>
        <v>229.26694000000001</v>
      </c>
      <c r="X525" s="98">
        <f t="shared" si="126"/>
        <v>0.7</v>
      </c>
      <c r="Y525" s="36" t="s">
        <v>59</v>
      </c>
      <c r="Z525" s="42" t="s">
        <v>44</v>
      </c>
      <c r="AD525" s="42" t="s">
        <v>18</v>
      </c>
      <c r="AK525" s="42" t="s">
        <v>124</v>
      </c>
      <c r="AM525" s="42" t="s">
        <v>126</v>
      </c>
      <c r="AN525" s="42" t="s">
        <v>127</v>
      </c>
      <c r="AR525" s="42" t="s">
        <v>131</v>
      </c>
      <c r="AS525" s="42" t="s">
        <v>132</v>
      </c>
    </row>
    <row r="526" spans="1:45" x14ac:dyDescent="0.3">
      <c r="A526" s="53" t="s">
        <v>280</v>
      </c>
      <c r="B526" s="36">
        <v>524</v>
      </c>
      <c r="C526" s="8" t="str">
        <f t="shared" ca="1" si="127"/>
        <v>5년 이내</v>
      </c>
      <c r="D526" s="7">
        <v>44547</v>
      </c>
      <c r="E526" s="5">
        <f t="shared" si="128"/>
        <v>2</v>
      </c>
      <c r="F526" s="1" t="s">
        <v>1</v>
      </c>
      <c r="G526" s="33" t="s">
        <v>78</v>
      </c>
      <c r="H526" s="33" t="s">
        <v>242</v>
      </c>
      <c r="I526" s="9" t="s">
        <v>51</v>
      </c>
      <c r="J526" s="2" t="s">
        <v>4</v>
      </c>
      <c r="K526" s="3" t="s">
        <v>5</v>
      </c>
      <c r="L526" s="4">
        <v>0.7</v>
      </c>
      <c r="M526" s="14">
        <v>370.15</v>
      </c>
      <c r="N526" s="16">
        <v>229.26694000000001</v>
      </c>
      <c r="O526" s="47">
        <f t="shared" si="129"/>
        <v>0.7</v>
      </c>
      <c r="P526" s="47">
        <f t="shared" si="130"/>
        <v>0.7</v>
      </c>
      <c r="Q526" s="47">
        <f t="shared" si="131"/>
        <v>370.15</v>
      </c>
      <c r="R526" s="47">
        <f t="shared" si="132"/>
        <v>370.15</v>
      </c>
      <c r="S526" s="47">
        <f t="shared" si="135"/>
        <v>0.7</v>
      </c>
      <c r="T526" s="47">
        <f t="shared" si="136"/>
        <v>0.7</v>
      </c>
      <c r="U526" s="47">
        <f t="shared" si="133"/>
        <v>229.26694000000001</v>
      </c>
      <c r="V526" s="47">
        <f t="shared" si="134"/>
        <v>229.26694000000001</v>
      </c>
      <c r="W526" s="98">
        <f t="shared" si="125"/>
        <v>229.26694000000001</v>
      </c>
      <c r="X526" s="98">
        <f t="shared" si="126"/>
        <v>0.7</v>
      </c>
      <c r="Y526" s="36" t="s">
        <v>59</v>
      </c>
      <c r="Z526" s="42" t="s">
        <v>44</v>
      </c>
      <c r="AD526" s="42" t="s">
        <v>18</v>
      </c>
      <c r="AK526" s="42" t="s">
        <v>124</v>
      </c>
      <c r="AM526" s="42" t="s">
        <v>126</v>
      </c>
      <c r="AN526" s="42" t="s">
        <v>127</v>
      </c>
      <c r="AR526" s="42" t="s">
        <v>131</v>
      </c>
      <c r="AS526" s="42" t="s">
        <v>132</v>
      </c>
    </row>
    <row r="527" spans="1:45" x14ac:dyDescent="0.3">
      <c r="A527" s="53" t="s">
        <v>280</v>
      </c>
      <c r="B527" s="36">
        <v>525</v>
      </c>
      <c r="C527" s="8" t="str">
        <f t="shared" ca="1" si="127"/>
        <v>5년 이내</v>
      </c>
      <c r="D527" s="7">
        <v>44547</v>
      </c>
      <c r="E527" s="5">
        <f t="shared" si="128"/>
        <v>2</v>
      </c>
      <c r="F527" s="1" t="s">
        <v>1</v>
      </c>
      <c r="G527" s="33" t="s">
        <v>68</v>
      </c>
      <c r="H527" s="33" t="s">
        <v>243</v>
      </c>
      <c r="I527" s="9" t="s">
        <v>51</v>
      </c>
      <c r="J527" s="2" t="s">
        <v>4</v>
      </c>
      <c r="K527" s="3" t="s">
        <v>5</v>
      </c>
      <c r="L527" s="4">
        <v>0.7</v>
      </c>
      <c r="M527" s="14">
        <v>370.15</v>
      </c>
      <c r="N527" s="16">
        <v>229.26694000000001</v>
      </c>
      <c r="O527" s="47">
        <f t="shared" si="129"/>
        <v>0.7</v>
      </c>
      <c r="P527" s="47">
        <f t="shared" si="130"/>
        <v>0.7</v>
      </c>
      <c r="Q527" s="47">
        <f t="shared" si="131"/>
        <v>370.15</v>
      </c>
      <c r="R527" s="47">
        <f t="shared" si="132"/>
        <v>370.15</v>
      </c>
      <c r="S527" s="47">
        <f t="shared" si="135"/>
        <v>0.7</v>
      </c>
      <c r="T527" s="47">
        <f t="shared" si="136"/>
        <v>0.7</v>
      </c>
      <c r="U527" s="47">
        <f t="shared" si="133"/>
        <v>229.26694000000001</v>
      </c>
      <c r="V527" s="47">
        <f t="shared" si="134"/>
        <v>229.26694000000001</v>
      </c>
      <c r="W527" s="98">
        <f t="shared" ref="W527:W590" si="137">N527</f>
        <v>229.26694000000001</v>
      </c>
      <c r="X527" s="98">
        <f t="shared" ref="X527:X590" si="138">IF(W527&gt;0,L527,"")</f>
        <v>0.7</v>
      </c>
      <c r="Y527" s="36" t="s">
        <v>59</v>
      </c>
      <c r="Z527" s="42" t="s">
        <v>44</v>
      </c>
      <c r="AD527" s="42" t="s">
        <v>18</v>
      </c>
      <c r="AK527" s="42" t="s">
        <v>124</v>
      </c>
      <c r="AM527" s="42" t="s">
        <v>126</v>
      </c>
      <c r="AN527" s="42" t="s">
        <v>127</v>
      </c>
      <c r="AR527" s="42" t="s">
        <v>131</v>
      </c>
      <c r="AS527" s="42" t="s">
        <v>132</v>
      </c>
    </row>
    <row r="528" spans="1:45" x14ac:dyDescent="0.3">
      <c r="A528" s="53" t="s">
        <v>280</v>
      </c>
      <c r="B528" s="36">
        <v>526</v>
      </c>
      <c r="C528" s="8" t="str">
        <f t="shared" ca="1" si="127"/>
        <v>5년 이내</v>
      </c>
      <c r="D528" s="7">
        <v>44547</v>
      </c>
      <c r="E528" s="5">
        <f t="shared" si="128"/>
        <v>2</v>
      </c>
      <c r="F528" s="1" t="s">
        <v>1</v>
      </c>
      <c r="G528" s="33" t="s">
        <v>10</v>
      </c>
      <c r="H528" s="33" t="s">
        <v>48</v>
      </c>
      <c r="I528" s="9" t="s">
        <v>9</v>
      </c>
      <c r="J528" s="2" t="s">
        <v>4</v>
      </c>
      <c r="K528" s="3" t="s">
        <v>6</v>
      </c>
      <c r="L528" s="12">
        <v>0.6</v>
      </c>
      <c r="M528" s="14">
        <v>343</v>
      </c>
      <c r="N528" s="16">
        <v>205.8</v>
      </c>
      <c r="O528" s="47">
        <f t="shared" si="129"/>
        <v>0.6</v>
      </c>
      <c r="P528" s="47">
        <f t="shared" si="130"/>
        <v>0.6</v>
      </c>
      <c r="Q528" s="47">
        <f t="shared" si="131"/>
        <v>343</v>
      </c>
      <c r="R528" s="47">
        <f t="shared" si="132"/>
        <v>343</v>
      </c>
      <c r="S528" s="47">
        <f t="shared" si="135"/>
        <v>0.6</v>
      </c>
      <c r="T528" s="47">
        <f t="shared" si="136"/>
        <v>0.6</v>
      </c>
      <c r="U528" s="47">
        <f t="shared" si="133"/>
        <v>205.8</v>
      </c>
      <c r="V528" s="47">
        <f t="shared" si="134"/>
        <v>205.8</v>
      </c>
      <c r="W528" s="98">
        <f t="shared" si="137"/>
        <v>205.8</v>
      </c>
      <c r="X528" s="98">
        <f t="shared" si="138"/>
        <v>0.6</v>
      </c>
      <c r="Y528" s="36"/>
      <c r="Z528" s="42" t="s">
        <v>44</v>
      </c>
      <c r="AD528" s="42" t="s">
        <v>18</v>
      </c>
      <c r="AG528" s="42" t="s">
        <v>120</v>
      </c>
      <c r="AK528" s="42" t="s">
        <v>124</v>
      </c>
    </row>
    <row r="529" spans="1:45" x14ac:dyDescent="0.3">
      <c r="A529" s="53" t="s">
        <v>280</v>
      </c>
      <c r="B529" s="36">
        <v>527</v>
      </c>
      <c r="C529" s="8" t="str">
        <f t="shared" ca="1" si="127"/>
        <v>5년 이내</v>
      </c>
      <c r="D529" s="7">
        <v>44551</v>
      </c>
      <c r="E529" s="5">
        <f t="shared" si="128"/>
        <v>2</v>
      </c>
      <c r="F529" s="1" t="s">
        <v>1</v>
      </c>
      <c r="G529" s="33" t="s">
        <v>39</v>
      </c>
      <c r="H529" s="33" t="s">
        <v>161</v>
      </c>
      <c r="I529" s="9" t="s">
        <v>41</v>
      </c>
      <c r="J529" s="2" t="s">
        <v>4</v>
      </c>
      <c r="K529" s="3" t="s">
        <v>5</v>
      </c>
      <c r="L529" s="4">
        <v>0.78</v>
      </c>
      <c r="M529" s="14">
        <v>859.2</v>
      </c>
      <c r="N529" s="16">
        <v>515.48400000000004</v>
      </c>
      <c r="O529" s="47">
        <f t="shared" si="129"/>
        <v>0.78</v>
      </c>
      <c r="P529" s="47">
        <f t="shared" si="130"/>
        <v>0.78</v>
      </c>
      <c r="Q529" s="47">
        <f t="shared" si="131"/>
        <v>859.2</v>
      </c>
      <c r="R529" s="47">
        <f t="shared" si="132"/>
        <v>859.2</v>
      </c>
      <c r="S529" s="47">
        <f t="shared" si="135"/>
        <v>0.78</v>
      </c>
      <c r="T529" s="47">
        <f t="shared" si="136"/>
        <v>0.78</v>
      </c>
      <c r="U529" s="47">
        <f t="shared" si="133"/>
        <v>515.48400000000004</v>
      </c>
      <c r="V529" s="47">
        <f t="shared" si="134"/>
        <v>515.48400000000004</v>
      </c>
      <c r="W529" s="98">
        <f t="shared" si="137"/>
        <v>515.48400000000004</v>
      </c>
      <c r="X529" s="98">
        <f t="shared" si="138"/>
        <v>0.78</v>
      </c>
      <c r="Y529" s="36"/>
      <c r="Z529" s="42" t="s">
        <v>44</v>
      </c>
      <c r="AA529" s="42" t="s">
        <v>134</v>
      </c>
      <c r="AC529" s="42" t="s">
        <v>119</v>
      </c>
      <c r="AD529" s="42" t="s">
        <v>18</v>
      </c>
      <c r="AE529" s="42" t="s">
        <v>24</v>
      </c>
      <c r="AF529" s="42" t="s">
        <v>5</v>
      </c>
      <c r="AG529" s="42" t="s">
        <v>120</v>
      </c>
      <c r="AK529" s="42" t="s">
        <v>124</v>
      </c>
      <c r="AM529" s="42" t="s">
        <v>126</v>
      </c>
      <c r="AN529" s="42" t="s">
        <v>127</v>
      </c>
      <c r="AR529" s="42" t="s">
        <v>131</v>
      </c>
      <c r="AS529" s="42" t="s">
        <v>132</v>
      </c>
    </row>
    <row r="530" spans="1:45" x14ac:dyDescent="0.3">
      <c r="A530" s="53" t="s">
        <v>280</v>
      </c>
      <c r="B530" s="36">
        <v>528</v>
      </c>
      <c r="C530" s="8" t="str">
        <f t="shared" ca="1" si="127"/>
        <v>5년 이내</v>
      </c>
      <c r="D530" s="7">
        <v>44551</v>
      </c>
      <c r="E530" s="5">
        <f t="shared" si="128"/>
        <v>2</v>
      </c>
      <c r="F530" s="1" t="s">
        <v>1</v>
      </c>
      <c r="G530" s="33" t="s">
        <v>10</v>
      </c>
      <c r="H530" s="33" t="s">
        <v>48</v>
      </c>
      <c r="I530" s="9" t="s">
        <v>41</v>
      </c>
      <c r="J530" s="2" t="s">
        <v>4</v>
      </c>
      <c r="K530" s="3" t="s">
        <v>5</v>
      </c>
      <c r="L530" s="4">
        <v>0.78</v>
      </c>
      <c r="M530" s="14">
        <v>859.2</v>
      </c>
      <c r="N530" s="16">
        <v>515.48400000000004</v>
      </c>
      <c r="O530" s="47">
        <f t="shared" si="129"/>
        <v>0.78</v>
      </c>
      <c r="P530" s="47">
        <f t="shared" si="130"/>
        <v>0.78</v>
      </c>
      <c r="Q530" s="47">
        <f t="shared" si="131"/>
        <v>859.2</v>
      </c>
      <c r="R530" s="47">
        <f t="shared" si="132"/>
        <v>859.2</v>
      </c>
      <c r="S530" s="47">
        <f t="shared" si="135"/>
        <v>0.78</v>
      </c>
      <c r="T530" s="47">
        <f t="shared" si="136"/>
        <v>0.78</v>
      </c>
      <c r="U530" s="47">
        <f t="shared" si="133"/>
        <v>515.48400000000004</v>
      </c>
      <c r="V530" s="47">
        <f t="shared" si="134"/>
        <v>515.48400000000004</v>
      </c>
      <c r="W530" s="98">
        <f t="shared" si="137"/>
        <v>515.48400000000004</v>
      </c>
      <c r="X530" s="98">
        <f t="shared" si="138"/>
        <v>0.78</v>
      </c>
      <c r="Y530" s="36"/>
      <c r="Z530" s="42" t="s">
        <v>44</v>
      </c>
      <c r="AA530" s="42" t="s">
        <v>134</v>
      </c>
      <c r="AC530" s="42" t="s">
        <v>119</v>
      </c>
      <c r="AD530" s="42" t="s">
        <v>18</v>
      </c>
      <c r="AE530" s="42" t="s">
        <v>24</v>
      </c>
      <c r="AF530" s="42" t="s">
        <v>5</v>
      </c>
      <c r="AG530" s="42" t="s">
        <v>120</v>
      </c>
      <c r="AK530" s="42" t="s">
        <v>124</v>
      </c>
      <c r="AM530" s="42" t="s">
        <v>126</v>
      </c>
      <c r="AN530" s="42" t="s">
        <v>127</v>
      </c>
      <c r="AR530" s="42" t="s">
        <v>131</v>
      </c>
      <c r="AS530" s="42" t="s">
        <v>132</v>
      </c>
    </row>
    <row r="531" spans="1:45" x14ac:dyDescent="0.3">
      <c r="A531" s="53" t="s">
        <v>280</v>
      </c>
      <c r="B531" s="36">
        <v>529</v>
      </c>
      <c r="C531" s="8" t="str">
        <f t="shared" ca="1" si="127"/>
        <v>5년 이내</v>
      </c>
      <c r="D531" s="7">
        <v>44551</v>
      </c>
      <c r="E531" s="5">
        <f t="shared" si="128"/>
        <v>2</v>
      </c>
      <c r="F531" s="1" t="s">
        <v>1</v>
      </c>
      <c r="G531" s="33" t="s">
        <v>39</v>
      </c>
      <c r="H531" s="33" t="s">
        <v>455</v>
      </c>
      <c r="I531" s="9" t="s">
        <v>41</v>
      </c>
      <c r="J531" s="2" t="s">
        <v>4</v>
      </c>
      <c r="K531" s="3" t="s">
        <v>5</v>
      </c>
      <c r="L531" s="4">
        <v>0.78</v>
      </c>
      <c r="M531" s="14">
        <v>859.2</v>
      </c>
      <c r="N531" s="16">
        <v>515.48400000000004</v>
      </c>
      <c r="O531" s="47">
        <f t="shared" si="129"/>
        <v>0.78</v>
      </c>
      <c r="P531" s="47">
        <f t="shared" si="130"/>
        <v>0.78</v>
      </c>
      <c r="Q531" s="47">
        <f t="shared" si="131"/>
        <v>859.2</v>
      </c>
      <c r="R531" s="47">
        <f t="shared" si="132"/>
        <v>859.2</v>
      </c>
      <c r="S531" s="47">
        <f t="shared" si="135"/>
        <v>0.78</v>
      </c>
      <c r="T531" s="47">
        <f t="shared" si="136"/>
        <v>0.78</v>
      </c>
      <c r="U531" s="47">
        <f t="shared" si="133"/>
        <v>515.48400000000004</v>
      </c>
      <c r="V531" s="47">
        <f t="shared" si="134"/>
        <v>515.48400000000004</v>
      </c>
      <c r="W531" s="98">
        <f t="shared" si="137"/>
        <v>515.48400000000004</v>
      </c>
      <c r="X531" s="98">
        <f t="shared" si="138"/>
        <v>0.78</v>
      </c>
      <c r="Y531" s="36"/>
      <c r="Z531" s="42" t="s">
        <v>44</v>
      </c>
      <c r="AA531" s="42" t="s">
        <v>134</v>
      </c>
      <c r="AC531" s="42" t="s">
        <v>119</v>
      </c>
      <c r="AD531" s="42" t="s">
        <v>18</v>
      </c>
      <c r="AE531" s="42" t="s">
        <v>24</v>
      </c>
      <c r="AF531" s="42" t="s">
        <v>5</v>
      </c>
      <c r="AG531" s="42" t="s">
        <v>120</v>
      </c>
      <c r="AK531" s="42" t="s">
        <v>124</v>
      </c>
      <c r="AM531" s="42" t="s">
        <v>126</v>
      </c>
      <c r="AN531" s="42" t="s">
        <v>127</v>
      </c>
      <c r="AR531" s="42" t="s">
        <v>131</v>
      </c>
      <c r="AS531" s="42" t="s">
        <v>132</v>
      </c>
    </row>
    <row r="532" spans="1:45" x14ac:dyDescent="0.3">
      <c r="A532" s="53" t="s">
        <v>280</v>
      </c>
      <c r="B532" s="36">
        <v>530</v>
      </c>
      <c r="C532" s="8" t="str">
        <f t="shared" ca="1" si="127"/>
        <v>5년 이내</v>
      </c>
      <c r="D532" s="6">
        <v>44553</v>
      </c>
      <c r="E532" s="5">
        <f t="shared" si="128"/>
        <v>1</v>
      </c>
      <c r="F532" s="1" t="s">
        <v>1</v>
      </c>
      <c r="G532" s="33" t="s">
        <v>10</v>
      </c>
      <c r="H532" s="33" t="s">
        <v>48</v>
      </c>
      <c r="I532" s="9" t="s">
        <v>22</v>
      </c>
      <c r="J532" s="2" t="s">
        <v>4</v>
      </c>
      <c r="K532" s="13" t="s">
        <v>6</v>
      </c>
      <c r="L532" s="12">
        <v>1</v>
      </c>
      <c r="M532" s="16">
        <v>132.33000000000001</v>
      </c>
      <c r="N532" s="16">
        <v>132.33000000000001</v>
      </c>
      <c r="O532" s="47">
        <f t="shared" si="129"/>
        <v>1</v>
      </c>
      <c r="P532" s="47" t="str">
        <f t="shared" si="130"/>
        <v/>
      </c>
      <c r="Q532" s="47">
        <f t="shared" si="131"/>
        <v>132.33000000000001</v>
      </c>
      <c r="R532" s="47" t="str">
        <f t="shared" si="132"/>
        <v/>
      </c>
      <c r="S532" s="47">
        <f t="shared" si="135"/>
        <v>1</v>
      </c>
      <c r="T532" s="47" t="str">
        <f t="shared" si="136"/>
        <v/>
      </c>
      <c r="U532" s="47">
        <f t="shared" si="133"/>
        <v>132.33000000000001</v>
      </c>
      <c r="V532" s="47" t="str">
        <f t="shared" si="134"/>
        <v/>
      </c>
      <c r="W532" s="98">
        <f t="shared" si="137"/>
        <v>132.33000000000001</v>
      </c>
      <c r="X532" s="98">
        <f t="shared" si="138"/>
        <v>1</v>
      </c>
      <c r="Y532" s="36"/>
      <c r="Z532" s="42" t="s">
        <v>44</v>
      </c>
      <c r="AA532" s="42" t="s">
        <v>134</v>
      </c>
      <c r="AD532" s="42" t="s">
        <v>18</v>
      </c>
      <c r="AE532" s="42" t="s">
        <v>24</v>
      </c>
      <c r="AF532" s="42" t="s">
        <v>5</v>
      </c>
      <c r="AG532" s="42" t="s">
        <v>120</v>
      </c>
      <c r="AK532" s="42" t="s">
        <v>124</v>
      </c>
      <c r="AM532" s="42" t="s">
        <v>126</v>
      </c>
      <c r="AR532" s="42" t="s">
        <v>131</v>
      </c>
    </row>
    <row r="533" spans="1:45" x14ac:dyDescent="0.3">
      <c r="A533" s="53" t="s">
        <v>280</v>
      </c>
      <c r="B533" s="36">
        <v>531</v>
      </c>
      <c r="C533" s="8" t="str">
        <f t="shared" ca="1" si="127"/>
        <v>5년 이내</v>
      </c>
      <c r="D533" s="7">
        <v>44568</v>
      </c>
      <c r="E533" s="5" t="str">
        <f t="shared" si="128"/>
        <v/>
      </c>
      <c r="F533" s="1" t="s">
        <v>1</v>
      </c>
      <c r="G533" s="33" t="s">
        <v>17</v>
      </c>
      <c r="H533" s="33" t="s">
        <v>441</v>
      </c>
      <c r="I533" s="9" t="s">
        <v>117</v>
      </c>
      <c r="J533" s="2" t="s">
        <v>4</v>
      </c>
      <c r="K533" s="3" t="s">
        <v>5</v>
      </c>
      <c r="L533" s="4">
        <v>1</v>
      </c>
      <c r="M533" s="14">
        <v>13.4</v>
      </c>
      <c r="N533" s="16">
        <v>13.4</v>
      </c>
      <c r="O533" s="47" t="str">
        <f t="shared" si="129"/>
        <v/>
      </c>
      <c r="P533" s="47" t="str">
        <f t="shared" si="130"/>
        <v/>
      </c>
      <c r="Q533" s="47" t="str">
        <f t="shared" si="131"/>
        <v/>
      </c>
      <c r="R533" s="47" t="str">
        <f t="shared" si="132"/>
        <v/>
      </c>
      <c r="S533" s="47" t="str">
        <f t="shared" si="135"/>
        <v/>
      </c>
      <c r="T533" s="47" t="str">
        <f t="shared" si="136"/>
        <v/>
      </c>
      <c r="U533" s="47" t="str">
        <f t="shared" si="133"/>
        <v/>
      </c>
      <c r="V533" s="47" t="str">
        <f t="shared" si="134"/>
        <v/>
      </c>
      <c r="W533" s="98">
        <f t="shared" si="137"/>
        <v>13.4</v>
      </c>
      <c r="X533" s="98">
        <f t="shared" si="138"/>
        <v>1</v>
      </c>
      <c r="Y533" s="36" t="s">
        <v>56</v>
      </c>
      <c r="AC533" s="42" t="s">
        <v>119</v>
      </c>
      <c r="AF533" s="42" t="s">
        <v>5</v>
      </c>
      <c r="AG533" s="42" t="s">
        <v>120</v>
      </c>
      <c r="AJ533" s="42" t="s">
        <v>123</v>
      </c>
      <c r="AM533" s="42" t="s">
        <v>126</v>
      </c>
      <c r="AN533" s="42" t="s">
        <v>127</v>
      </c>
      <c r="AS533" s="42" t="s">
        <v>132</v>
      </c>
    </row>
    <row r="534" spans="1:45" x14ac:dyDescent="0.3">
      <c r="A534" s="53" t="s">
        <v>280</v>
      </c>
      <c r="B534" s="36">
        <v>532</v>
      </c>
      <c r="C534" s="8" t="str">
        <f t="shared" ca="1" si="127"/>
        <v>5년 이내</v>
      </c>
      <c r="D534" s="7">
        <v>44568</v>
      </c>
      <c r="E534" s="5" t="str">
        <f t="shared" si="128"/>
        <v/>
      </c>
      <c r="F534" s="1" t="s">
        <v>1</v>
      </c>
      <c r="G534" s="33" t="s">
        <v>116</v>
      </c>
      <c r="H534" s="33" t="s">
        <v>61</v>
      </c>
      <c r="I534" s="9" t="s">
        <v>117</v>
      </c>
      <c r="J534" s="2" t="s">
        <v>4</v>
      </c>
      <c r="K534" s="3" t="s">
        <v>5</v>
      </c>
      <c r="L534" s="4">
        <v>1</v>
      </c>
      <c r="M534" s="14">
        <v>13.4</v>
      </c>
      <c r="N534" s="16">
        <v>13.4</v>
      </c>
      <c r="O534" s="47" t="str">
        <f t="shared" si="129"/>
        <v/>
      </c>
      <c r="P534" s="47" t="str">
        <f t="shared" si="130"/>
        <v/>
      </c>
      <c r="Q534" s="47" t="str">
        <f t="shared" si="131"/>
        <v/>
      </c>
      <c r="R534" s="47" t="str">
        <f t="shared" si="132"/>
        <v/>
      </c>
      <c r="S534" s="47" t="str">
        <f t="shared" si="135"/>
        <v/>
      </c>
      <c r="T534" s="47" t="str">
        <f t="shared" si="136"/>
        <v/>
      </c>
      <c r="U534" s="47" t="str">
        <f t="shared" si="133"/>
        <v/>
      </c>
      <c r="V534" s="47" t="str">
        <f t="shared" si="134"/>
        <v/>
      </c>
      <c r="W534" s="98">
        <f t="shared" si="137"/>
        <v>13.4</v>
      </c>
      <c r="X534" s="98">
        <f t="shared" si="138"/>
        <v>1</v>
      </c>
      <c r="Y534" s="36"/>
      <c r="AC534" s="42" t="s">
        <v>119</v>
      </c>
      <c r="AF534" s="42" t="s">
        <v>5</v>
      </c>
      <c r="AG534" s="42" t="s">
        <v>120</v>
      </c>
      <c r="AJ534" s="42" t="s">
        <v>123</v>
      </c>
      <c r="AM534" s="42" t="s">
        <v>126</v>
      </c>
      <c r="AN534" s="42" t="s">
        <v>127</v>
      </c>
      <c r="AS534" s="42" t="s">
        <v>132</v>
      </c>
    </row>
    <row r="535" spans="1:45" x14ac:dyDescent="0.3">
      <c r="A535" s="53" t="s">
        <v>280</v>
      </c>
      <c r="B535" s="36">
        <v>533</v>
      </c>
      <c r="C535" s="8" t="str">
        <f t="shared" ca="1" si="127"/>
        <v>5년 이내</v>
      </c>
      <c r="D535" s="7">
        <v>44568</v>
      </c>
      <c r="E535" s="5" t="str">
        <f t="shared" si="128"/>
        <v/>
      </c>
      <c r="F535" s="1" t="s">
        <v>1</v>
      </c>
      <c r="G535" s="33" t="s">
        <v>68</v>
      </c>
      <c r="H535" s="33" t="s">
        <v>75</v>
      </c>
      <c r="I535" s="9" t="s">
        <v>117</v>
      </c>
      <c r="J535" s="2" t="s">
        <v>4</v>
      </c>
      <c r="K535" s="3" t="s">
        <v>5</v>
      </c>
      <c r="L535" s="4">
        <v>1</v>
      </c>
      <c r="M535" s="14">
        <v>13.4</v>
      </c>
      <c r="N535" s="16">
        <v>13.4</v>
      </c>
      <c r="O535" s="47" t="str">
        <f t="shared" si="129"/>
        <v/>
      </c>
      <c r="P535" s="47" t="str">
        <f t="shared" si="130"/>
        <v/>
      </c>
      <c r="Q535" s="47" t="str">
        <f t="shared" si="131"/>
        <v/>
      </c>
      <c r="R535" s="47" t="str">
        <f t="shared" si="132"/>
        <v/>
      </c>
      <c r="S535" s="47" t="str">
        <f t="shared" si="135"/>
        <v/>
      </c>
      <c r="T535" s="47" t="str">
        <f t="shared" si="136"/>
        <v/>
      </c>
      <c r="U535" s="47" t="str">
        <f t="shared" si="133"/>
        <v/>
      </c>
      <c r="V535" s="47" t="str">
        <f t="shared" si="134"/>
        <v/>
      </c>
      <c r="W535" s="98">
        <f t="shared" si="137"/>
        <v>13.4</v>
      </c>
      <c r="X535" s="98">
        <f t="shared" si="138"/>
        <v>1</v>
      </c>
      <c r="Y535" s="36"/>
      <c r="AC535" s="42" t="s">
        <v>119</v>
      </c>
      <c r="AF535" s="42" t="s">
        <v>5</v>
      </c>
      <c r="AG535" s="42" t="s">
        <v>120</v>
      </c>
      <c r="AJ535" s="42" t="s">
        <v>123</v>
      </c>
      <c r="AM535" s="42" t="s">
        <v>126</v>
      </c>
      <c r="AN535" s="42" t="s">
        <v>127</v>
      </c>
      <c r="AS535" s="42" t="s">
        <v>132</v>
      </c>
    </row>
    <row r="536" spans="1:45" x14ac:dyDescent="0.3">
      <c r="A536" s="53" t="s">
        <v>280</v>
      </c>
      <c r="B536" s="36">
        <v>534</v>
      </c>
      <c r="C536" s="8" t="str">
        <f t="shared" ca="1" si="127"/>
        <v>5년 이내</v>
      </c>
      <c r="D536" s="7">
        <v>44599</v>
      </c>
      <c r="E536" s="5">
        <f t="shared" si="128"/>
        <v>1</v>
      </c>
      <c r="F536" s="1" t="s">
        <v>1</v>
      </c>
      <c r="G536" s="33" t="s">
        <v>17</v>
      </c>
      <c r="H536" s="33" t="s">
        <v>137</v>
      </c>
      <c r="I536" s="9" t="s">
        <v>27</v>
      </c>
      <c r="J536" s="2" t="s">
        <v>4</v>
      </c>
      <c r="K536" s="3" t="s">
        <v>6</v>
      </c>
      <c r="L536" s="4">
        <v>0.3</v>
      </c>
      <c r="M536" s="14">
        <v>347</v>
      </c>
      <c r="N536" s="16">
        <v>105.08199999999999</v>
      </c>
      <c r="O536" s="47">
        <f t="shared" si="129"/>
        <v>0.3</v>
      </c>
      <c r="P536" s="47">
        <f t="shared" si="130"/>
        <v>0.3</v>
      </c>
      <c r="Q536" s="47">
        <f t="shared" si="131"/>
        <v>347</v>
      </c>
      <c r="R536" s="47">
        <f t="shared" si="132"/>
        <v>347</v>
      </c>
      <c r="S536" s="47">
        <f t="shared" si="135"/>
        <v>0.3</v>
      </c>
      <c r="T536" s="47" t="str">
        <f t="shared" si="136"/>
        <v/>
      </c>
      <c r="U536" s="47">
        <f t="shared" si="133"/>
        <v>105.08199999999999</v>
      </c>
      <c r="V536" s="47" t="str">
        <f t="shared" si="134"/>
        <v/>
      </c>
      <c r="W536" s="98">
        <f t="shared" si="137"/>
        <v>105.08199999999999</v>
      </c>
      <c r="X536" s="98">
        <f t="shared" si="138"/>
        <v>0.3</v>
      </c>
      <c r="Y536" s="36" t="s">
        <v>20</v>
      </c>
      <c r="AE536" s="42" t="s">
        <v>24</v>
      </c>
      <c r="AK536" s="42" t="s">
        <v>124</v>
      </c>
      <c r="AN536" s="42" t="s">
        <v>127</v>
      </c>
    </row>
    <row r="537" spans="1:45" x14ac:dyDescent="0.3">
      <c r="A537" s="53" t="s">
        <v>280</v>
      </c>
      <c r="B537" s="36">
        <v>535</v>
      </c>
      <c r="C537" s="8" t="str">
        <f t="shared" ca="1" si="127"/>
        <v>5년 이내</v>
      </c>
      <c r="D537" s="7">
        <v>44714</v>
      </c>
      <c r="E537" s="5" t="str">
        <f t="shared" si="128"/>
        <v/>
      </c>
      <c r="F537" s="1" t="s">
        <v>1</v>
      </c>
      <c r="G537" s="33" t="s">
        <v>36</v>
      </c>
      <c r="H537" s="33" t="s">
        <v>227</v>
      </c>
      <c r="I537" s="9" t="s">
        <v>35</v>
      </c>
      <c r="J537" s="2" t="s">
        <v>4</v>
      </c>
      <c r="K537" s="3" t="s">
        <v>6</v>
      </c>
      <c r="L537" s="4">
        <v>0.35</v>
      </c>
      <c r="M537" s="14">
        <v>197.88200000000001</v>
      </c>
      <c r="N537" s="16">
        <v>69.257999999999996</v>
      </c>
      <c r="O537" s="47">
        <f t="shared" si="129"/>
        <v>0.35</v>
      </c>
      <c r="P537" s="47" t="str">
        <f t="shared" si="130"/>
        <v/>
      </c>
      <c r="Q537" s="47">
        <f t="shared" si="131"/>
        <v>197.88200000000001</v>
      </c>
      <c r="R537" s="47" t="str">
        <f t="shared" si="132"/>
        <v/>
      </c>
      <c r="S537" s="47" t="str">
        <f t="shared" si="135"/>
        <v/>
      </c>
      <c r="T537" s="47" t="str">
        <f t="shared" si="136"/>
        <v/>
      </c>
      <c r="U537" s="47" t="str">
        <f t="shared" si="133"/>
        <v/>
      </c>
      <c r="V537" s="47" t="str">
        <f t="shared" si="134"/>
        <v/>
      </c>
      <c r="W537" s="98">
        <f t="shared" si="137"/>
        <v>69.257999999999996</v>
      </c>
      <c r="X537" s="98">
        <f t="shared" si="138"/>
        <v>0.35</v>
      </c>
      <c r="Y537" s="36" t="s">
        <v>227</v>
      </c>
      <c r="AE537" s="42" t="s">
        <v>24</v>
      </c>
      <c r="AK537" s="42" t="s">
        <v>124</v>
      </c>
      <c r="AM537" s="42" t="s">
        <v>126</v>
      </c>
    </row>
    <row r="538" spans="1:45" x14ac:dyDescent="0.3">
      <c r="A538" s="53" t="s">
        <v>280</v>
      </c>
      <c r="B538" s="36">
        <v>536</v>
      </c>
      <c r="C538" s="8" t="str">
        <f t="shared" ca="1" si="127"/>
        <v>5년 이내</v>
      </c>
      <c r="D538" s="7">
        <v>44716</v>
      </c>
      <c r="E538" s="5" t="str">
        <f t="shared" si="128"/>
        <v/>
      </c>
      <c r="F538" s="1" t="s">
        <v>1</v>
      </c>
      <c r="G538" s="33" t="s">
        <v>17</v>
      </c>
      <c r="H538" s="33" t="s">
        <v>137</v>
      </c>
      <c r="I538" s="9" t="s">
        <v>13</v>
      </c>
      <c r="J538" s="2" t="s">
        <v>4</v>
      </c>
      <c r="K538" s="3" t="s">
        <v>18</v>
      </c>
      <c r="L538" s="4">
        <v>0.12</v>
      </c>
      <c r="M538" s="14">
        <f>538.9</f>
        <v>538.9</v>
      </c>
      <c r="N538" s="16">
        <v>71.134</v>
      </c>
      <c r="O538" s="47">
        <f t="shared" si="129"/>
        <v>0.12</v>
      </c>
      <c r="P538" s="47">
        <f t="shared" si="130"/>
        <v>0.12</v>
      </c>
      <c r="Q538" s="47">
        <f t="shared" si="131"/>
        <v>538.9</v>
      </c>
      <c r="R538" s="47">
        <f t="shared" si="132"/>
        <v>538.9</v>
      </c>
      <c r="S538" s="47" t="str">
        <f t="shared" si="135"/>
        <v/>
      </c>
      <c r="T538" s="47" t="str">
        <f t="shared" si="136"/>
        <v/>
      </c>
      <c r="U538" s="47" t="str">
        <f t="shared" si="133"/>
        <v/>
      </c>
      <c r="V538" s="47" t="str">
        <f t="shared" si="134"/>
        <v/>
      </c>
      <c r="W538" s="98">
        <f t="shared" si="137"/>
        <v>71.134</v>
      </c>
      <c r="X538" s="98">
        <f t="shared" si="138"/>
        <v>0.12</v>
      </c>
      <c r="Y538" s="36" t="s">
        <v>20</v>
      </c>
      <c r="Z538" s="42" t="s">
        <v>44</v>
      </c>
      <c r="AA538" s="42" t="s">
        <v>134</v>
      </c>
      <c r="AC538" s="42" t="s">
        <v>119</v>
      </c>
      <c r="AD538" s="42" t="s">
        <v>18</v>
      </c>
      <c r="AE538" s="42" t="s">
        <v>24</v>
      </c>
      <c r="AF538" s="42" t="s">
        <v>5</v>
      </c>
      <c r="AG538" s="42" t="s">
        <v>120</v>
      </c>
      <c r="AK538" s="42" t="s">
        <v>124</v>
      </c>
      <c r="AM538" s="42" t="s">
        <v>126</v>
      </c>
      <c r="AN538" s="42" t="s">
        <v>127</v>
      </c>
    </row>
    <row r="539" spans="1:45" x14ac:dyDescent="0.3">
      <c r="A539" s="53" t="s">
        <v>280</v>
      </c>
      <c r="B539" s="36">
        <v>537</v>
      </c>
      <c r="C539" s="8" t="str">
        <f t="shared" ca="1" si="127"/>
        <v>5년 이내</v>
      </c>
      <c r="D539" s="7">
        <v>44716</v>
      </c>
      <c r="E539" s="5" t="str">
        <f t="shared" si="128"/>
        <v/>
      </c>
      <c r="F539" s="1" t="s">
        <v>1</v>
      </c>
      <c r="G539" s="33" t="s">
        <v>80</v>
      </c>
      <c r="H539" s="33" t="s">
        <v>81</v>
      </c>
      <c r="I539" s="9" t="s">
        <v>13</v>
      </c>
      <c r="J539" s="2" t="s">
        <v>4</v>
      </c>
      <c r="K539" s="3" t="s">
        <v>18</v>
      </c>
      <c r="L539" s="4">
        <v>0.12</v>
      </c>
      <c r="M539" s="14">
        <f>538.9</f>
        <v>538.9</v>
      </c>
      <c r="N539" s="16">
        <v>71.134</v>
      </c>
      <c r="O539" s="47">
        <f t="shared" si="129"/>
        <v>0.12</v>
      </c>
      <c r="P539" s="47">
        <f t="shared" si="130"/>
        <v>0.12</v>
      </c>
      <c r="Q539" s="47">
        <f t="shared" si="131"/>
        <v>538.9</v>
      </c>
      <c r="R539" s="47">
        <f t="shared" si="132"/>
        <v>538.9</v>
      </c>
      <c r="S539" s="47" t="str">
        <f t="shared" si="135"/>
        <v/>
      </c>
      <c r="T539" s="47" t="str">
        <f t="shared" si="136"/>
        <v/>
      </c>
      <c r="U539" s="47" t="str">
        <f t="shared" si="133"/>
        <v/>
      </c>
      <c r="V539" s="47" t="str">
        <f t="shared" si="134"/>
        <v/>
      </c>
      <c r="W539" s="98">
        <f t="shared" si="137"/>
        <v>71.134</v>
      </c>
      <c r="X539" s="98">
        <f t="shared" si="138"/>
        <v>0.12</v>
      </c>
      <c r="Y539" s="36"/>
      <c r="Z539" s="42" t="s">
        <v>44</v>
      </c>
      <c r="AA539" s="42" t="s">
        <v>134</v>
      </c>
      <c r="AC539" s="42" t="s">
        <v>119</v>
      </c>
      <c r="AD539" s="42" t="s">
        <v>18</v>
      </c>
      <c r="AE539" s="42" t="s">
        <v>24</v>
      </c>
      <c r="AF539" s="42" t="s">
        <v>5</v>
      </c>
      <c r="AG539" s="42" t="s">
        <v>120</v>
      </c>
      <c r="AK539" s="42" t="s">
        <v>124</v>
      </c>
      <c r="AM539" s="42" t="s">
        <v>126</v>
      </c>
      <c r="AN539" s="42" t="s">
        <v>127</v>
      </c>
    </row>
    <row r="540" spans="1:45" x14ac:dyDescent="0.3">
      <c r="A540" s="53" t="s">
        <v>280</v>
      </c>
      <c r="B540" s="36">
        <v>538</v>
      </c>
      <c r="C540" s="8" t="str">
        <f t="shared" ca="1" si="127"/>
        <v>5년 이내</v>
      </c>
      <c r="D540" s="7">
        <v>44735</v>
      </c>
      <c r="E540" s="5" t="str">
        <f t="shared" si="128"/>
        <v/>
      </c>
      <c r="F540" s="1" t="s">
        <v>1</v>
      </c>
      <c r="G540" s="33" t="s">
        <v>17</v>
      </c>
      <c r="H540" s="33" t="s">
        <v>82</v>
      </c>
      <c r="I540" s="9" t="s">
        <v>33</v>
      </c>
      <c r="J540" s="2" t="s">
        <v>4</v>
      </c>
      <c r="K540" s="3" t="s">
        <v>5</v>
      </c>
      <c r="L540" s="4">
        <v>0.3</v>
      </c>
      <c r="M540" s="14">
        <v>249.78</v>
      </c>
      <c r="N540" s="16">
        <v>74.933999999999997</v>
      </c>
      <c r="O540" s="47">
        <f t="shared" si="129"/>
        <v>0.3</v>
      </c>
      <c r="P540" s="47">
        <f t="shared" si="130"/>
        <v>0.3</v>
      </c>
      <c r="Q540" s="47">
        <f t="shared" si="131"/>
        <v>249.78</v>
      </c>
      <c r="R540" s="47">
        <f t="shared" si="132"/>
        <v>249.78</v>
      </c>
      <c r="S540" s="47" t="str">
        <f t="shared" si="135"/>
        <v/>
      </c>
      <c r="T540" s="47" t="str">
        <f t="shared" si="136"/>
        <v/>
      </c>
      <c r="U540" s="47" t="str">
        <f t="shared" si="133"/>
        <v/>
      </c>
      <c r="V540" s="47" t="str">
        <f t="shared" si="134"/>
        <v/>
      </c>
      <c r="W540" s="98">
        <f t="shared" si="137"/>
        <v>74.933999999999997</v>
      </c>
      <c r="X540" s="98">
        <f t="shared" si="138"/>
        <v>0.3</v>
      </c>
      <c r="Y540" s="36" t="s">
        <v>82</v>
      </c>
      <c r="Z540" s="42" t="s">
        <v>44</v>
      </c>
      <c r="AD540" s="42" t="s">
        <v>18</v>
      </c>
      <c r="AE540" s="42" t="s">
        <v>24</v>
      </c>
      <c r="AK540" s="42" t="s">
        <v>124</v>
      </c>
      <c r="AM540" s="42" t="s">
        <v>126</v>
      </c>
    </row>
    <row r="541" spans="1:45" x14ac:dyDescent="0.3">
      <c r="A541" s="53" t="s">
        <v>280</v>
      </c>
      <c r="B541" s="36">
        <v>539</v>
      </c>
      <c r="C541" s="8" t="str">
        <f t="shared" ca="1" si="127"/>
        <v>5년 이내</v>
      </c>
      <c r="D541" s="7">
        <v>44735</v>
      </c>
      <c r="E541" s="5" t="str">
        <f t="shared" si="128"/>
        <v/>
      </c>
      <c r="F541" s="1" t="s">
        <v>1</v>
      </c>
      <c r="G541" s="33" t="s">
        <v>17</v>
      </c>
      <c r="H541" s="33" t="s">
        <v>76</v>
      </c>
      <c r="I541" s="9" t="s">
        <v>33</v>
      </c>
      <c r="J541" s="2" t="s">
        <v>4</v>
      </c>
      <c r="K541" s="3" t="s">
        <v>5</v>
      </c>
      <c r="L541" s="4">
        <v>0.3</v>
      </c>
      <c r="M541" s="14">
        <v>249.78</v>
      </c>
      <c r="N541" s="16">
        <v>74.933999999999997</v>
      </c>
      <c r="O541" s="47">
        <f t="shared" si="129"/>
        <v>0.3</v>
      </c>
      <c r="P541" s="47">
        <f t="shared" si="130"/>
        <v>0.3</v>
      </c>
      <c r="Q541" s="47">
        <f t="shared" si="131"/>
        <v>249.78</v>
      </c>
      <c r="R541" s="47">
        <f t="shared" si="132"/>
        <v>249.78</v>
      </c>
      <c r="S541" s="47" t="str">
        <f t="shared" si="135"/>
        <v/>
      </c>
      <c r="T541" s="47" t="str">
        <f t="shared" si="136"/>
        <v/>
      </c>
      <c r="U541" s="47" t="str">
        <f t="shared" si="133"/>
        <v/>
      </c>
      <c r="V541" s="47" t="str">
        <f t="shared" si="134"/>
        <v/>
      </c>
      <c r="W541" s="98">
        <f t="shared" si="137"/>
        <v>74.933999999999997</v>
      </c>
      <c r="X541" s="98">
        <f t="shared" si="138"/>
        <v>0.3</v>
      </c>
      <c r="Y541" s="36" t="s">
        <v>228</v>
      </c>
      <c r="Z541" s="42" t="s">
        <v>44</v>
      </c>
      <c r="AD541" s="42" t="s">
        <v>18</v>
      </c>
      <c r="AE541" s="42" t="s">
        <v>24</v>
      </c>
      <c r="AK541" s="42" t="s">
        <v>124</v>
      </c>
      <c r="AM541" s="42" t="s">
        <v>126</v>
      </c>
    </row>
    <row r="542" spans="1:45" x14ac:dyDescent="0.3">
      <c r="A542" s="53" t="s">
        <v>280</v>
      </c>
      <c r="B542" s="36">
        <v>540</v>
      </c>
      <c r="C542" s="8" t="str">
        <f t="shared" ca="1" si="127"/>
        <v>5년 이내</v>
      </c>
      <c r="D542" s="7">
        <v>44749</v>
      </c>
      <c r="E542" s="5">
        <f t="shared" si="128"/>
        <v>1</v>
      </c>
      <c r="F542" s="1" t="s">
        <v>1</v>
      </c>
      <c r="G542" s="33" t="s">
        <v>17</v>
      </c>
      <c r="H542" s="33" t="s">
        <v>449</v>
      </c>
      <c r="I542" s="9" t="s">
        <v>42</v>
      </c>
      <c r="J542" s="2" t="s">
        <v>4</v>
      </c>
      <c r="K542" s="3" t="s">
        <v>5</v>
      </c>
      <c r="L542" s="4">
        <v>0.3</v>
      </c>
      <c r="M542" s="14">
        <v>367.03699999999998</v>
      </c>
      <c r="N542" s="16">
        <v>100.026</v>
      </c>
      <c r="O542" s="47">
        <f t="shared" si="129"/>
        <v>0.3</v>
      </c>
      <c r="P542" s="47">
        <f t="shared" si="130"/>
        <v>0.3</v>
      </c>
      <c r="Q542" s="47">
        <f t="shared" si="131"/>
        <v>367.03699999999998</v>
      </c>
      <c r="R542" s="47">
        <f t="shared" si="132"/>
        <v>367.03699999999998</v>
      </c>
      <c r="S542" s="47">
        <f t="shared" si="135"/>
        <v>0.3</v>
      </c>
      <c r="T542" s="47" t="str">
        <f t="shared" si="136"/>
        <v/>
      </c>
      <c r="U542" s="47">
        <f t="shared" si="133"/>
        <v>100.026</v>
      </c>
      <c r="V542" s="47" t="str">
        <f t="shared" si="134"/>
        <v/>
      </c>
      <c r="W542" s="98">
        <f t="shared" si="137"/>
        <v>100.026</v>
      </c>
      <c r="X542" s="98">
        <f t="shared" si="138"/>
        <v>0.3</v>
      </c>
      <c r="Y542" s="36" t="s">
        <v>83</v>
      </c>
      <c r="AE542" s="42" t="s">
        <v>24</v>
      </c>
      <c r="AK542" s="42" t="s">
        <v>124</v>
      </c>
      <c r="AM542" s="42" t="s">
        <v>126</v>
      </c>
    </row>
    <row r="543" spans="1:45" x14ac:dyDescent="0.3">
      <c r="A543" s="53" t="s">
        <v>280</v>
      </c>
      <c r="B543" s="36">
        <v>541</v>
      </c>
      <c r="C543" s="8" t="str">
        <f t="shared" ca="1" si="127"/>
        <v>5년 이내</v>
      </c>
      <c r="D543" s="7">
        <v>44754</v>
      </c>
      <c r="E543" s="5" t="str">
        <f t="shared" si="128"/>
        <v/>
      </c>
      <c r="F543" s="1" t="s">
        <v>1</v>
      </c>
      <c r="G543" s="33" t="s">
        <v>17</v>
      </c>
      <c r="H543" s="33" t="s">
        <v>141</v>
      </c>
      <c r="I543" s="9" t="s">
        <v>62</v>
      </c>
      <c r="J543" s="2" t="s">
        <v>4</v>
      </c>
      <c r="K543" s="3" t="s">
        <v>5</v>
      </c>
      <c r="L543" s="4">
        <v>1</v>
      </c>
      <c r="M543" s="14">
        <v>42.290399999999998</v>
      </c>
      <c r="N543" s="14">
        <v>42.290399999999998</v>
      </c>
      <c r="O543" s="47" t="str">
        <f t="shared" si="129"/>
        <v/>
      </c>
      <c r="P543" s="47" t="str">
        <f t="shared" si="130"/>
        <v/>
      </c>
      <c r="Q543" s="47" t="str">
        <f t="shared" si="131"/>
        <v/>
      </c>
      <c r="R543" s="47" t="str">
        <f t="shared" si="132"/>
        <v/>
      </c>
      <c r="S543" s="47" t="str">
        <f t="shared" si="135"/>
        <v/>
      </c>
      <c r="T543" s="47" t="str">
        <f t="shared" si="136"/>
        <v/>
      </c>
      <c r="U543" s="47" t="str">
        <f t="shared" si="133"/>
        <v/>
      </c>
      <c r="V543" s="47" t="str">
        <f t="shared" si="134"/>
        <v/>
      </c>
      <c r="W543" s="98">
        <f t="shared" si="137"/>
        <v>42.290399999999998</v>
      </c>
      <c r="X543" s="98">
        <f t="shared" si="138"/>
        <v>1</v>
      </c>
      <c r="Y543" s="36" t="s">
        <v>63</v>
      </c>
      <c r="Z543" s="42" t="s">
        <v>44</v>
      </c>
      <c r="AD543" s="42" t="s">
        <v>18</v>
      </c>
      <c r="AE543" s="42" t="s">
        <v>24</v>
      </c>
      <c r="AF543" s="42" t="s">
        <v>5</v>
      </c>
      <c r="AG543" s="42" t="s">
        <v>120</v>
      </c>
      <c r="AJ543" s="42" t="s">
        <v>123</v>
      </c>
      <c r="AM543" s="42" t="s">
        <v>126</v>
      </c>
      <c r="AN543" s="42" t="s">
        <v>127</v>
      </c>
      <c r="AS543" s="42" t="s">
        <v>132</v>
      </c>
    </row>
    <row r="544" spans="1:45" x14ac:dyDescent="0.3">
      <c r="A544" s="53" t="s">
        <v>280</v>
      </c>
      <c r="B544" s="36">
        <v>542</v>
      </c>
      <c r="C544" s="8" t="str">
        <f t="shared" ca="1" si="127"/>
        <v>5년 이내</v>
      </c>
      <c r="D544" s="7">
        <v>44754</v>
      </c>
      <c r="E544" s="5" t="str">
        <f t="shared" si="128"/>
        <v/>
      </c>
      <c r="F544" s="1" t="s">
        <v>1</v>
      </c>
      <c r="G544" s="33" t="s">
        <v>661</v>
      </c>
      <c r="H544" s="33" t="s">
        <v>84</v>
      </c>
      <c r="I544" s="9" t="s">
        <v>62</v>
      </c>
      <c r="J544" s="2" t="s">
        <v>4</v>
      </c>
      <c r="K544" s="3" t="s">
        <v>5</v>
      </c>
      <c r="L544" s="4">
        <v>1</v>
      </c>
      <c r="M544" s="14">
        <v>42.290399999999998</v>
      </c>
      <c r="N544" s="14">
        <v>42.290399999999998</v>
      </c>
      <c r="O544" s="47" t="str">
        <f t="shared" si="129"/>
        <v/>
      </c>
      <c r="P544" s="47" t="str">
        <f t="shared" si="130"/>
        <v/>
      </c>
      <c r="Q544" s="47" t="str">
        <f t="shared" si="131"/>
        <v/>
      </c>
      <c r="R544" s="47" t="str">
        <f t="shared" si="132"/>
        <v/>
      </c>
      <c r="S544" s="47" t="str">
        <f t="shared" si="135"/>
        <v/>
      </c>
      <c r="T544" s="47" t="str">
        <f t="shared" si="136"/>
        <v/>
      </c>
      <c r="U544" s="47" t="str">
        <f t="shared" si="133"/>
        <v/>
      </c>
      <c r="V544" s="47" t="str">
        <f t="shared" si="134"/>
        <v/>
      </c>
      <c r="W544" s="98">
        <f t="shared" si="137"/>
        <v>42.290399999999998</v>
      </c>
      <c r="X544" s="98">
        <f t="shared" si="138"/>
        <v>1</v>
      </c>
      <c r="Y544" s="36"/>
      <c r="Z544" s="42" t="s">
        <v>44</v>
      </c>
      <c r="AD544" s="42" t="s">
        <v>18</v>
      </c>
      <c r="AE544" s="42" t="s">
        <v>24</v>
      </c>
      <c r="AF544" s="42" t="s">
        <v>5</v>
      </c>
      <c r="AG544" s="42" t="s">
        <v>120</v>
      </c>
      <c r="AJ544" s="42" t="s">
        <v>123</v>
      </c>
      <c r="AM544" s="42" t="s">
        <v>126</v>
      </c>
      <c r="AN544" s="42" t="s">
        <v>127</v>
      </c>
      <c r="AS544" s="42" t="s">
        <v>132</v>
      </c>
    </row>
    <row r="545" spans="1:45" x14ac:dyDescent="0.3">
      <c r="A545" s="53" t="s">
        <v>280</v>
      </c>
      <c r="B545" s="36">
        <v>543</v>
      </c>
      <c r="C545" s="8" t="str">
        <f t="shared" ca="1" si="127"/>
        <v>5년 이내</v>
      </c>
      <c r="D545" s="7">
        <v>44794</v>
      </c>
      <c r="E545" s="5" t="str">
        <f t="shared" si="128"/>
        <v/>
      </c>
      <c r="F545" s="1" t="s">
        <v>1</v>
      </c>
      <c r="G545" s="33" t="s">
        <v>39</v>
      </c>
      <c r="H545" s="33" t="s">
        <v>457</v>
      </c>
      <c r="I545" s="9" t="s">
        <v>53</v>
      </c>
      <c r="J545" s="2" t="s">
        <v>4</v>
      </c>
      <c r="K545" s="3" t="s">
        <v>5</v>
      </c>
      <c r="L545" s="4">
        <v>1</v>
      </c>
      <c r="M545" s="14">
        <v>19.53</v>
      </c>
      <c r="N545" s="14">
        <v>19.53</v>
      </c>
      <c r="O545" s="47" t="str">
        <f t="shared" si="129"/>
        <v/>
      </c>
      <c r="P545" s="47" t="str">
        <f t="shared" si="130"/>
        <v/>
      </c>
      <c r="Q545" s="47" t="str">
        <f t="shared" si="131"/>
        <v/>
      </c>
      <c r="R545" s="47" t="str">
        <f t="shared" si="132"/>
        <v/>
      </c>
      <c r="S545" s="47" t="str">
        <f t="shared" si="135"/>
        <v/>
      </c>
      <c r="T545" s="47" t="str">
        <f t="shared" si="136"/>
        <v/>
      </c>
      <c r="U545" s="47" t="str">
        <f t="shared" si="133"/>
        <v/>
      </c>
      <c r="V545" s="47" t="str">
        <f t="shared" si="134"/>
        <v/>
      </c>
      <c r="W545" s="98">
        <f t="shared" si="137"/>
        <v>19.53</v>
      </c>
      <c r="X545" s="98">
        <f t="shared" si="138"/>
        <v>1</v>
      </c>
      <c r="Y545" s="36" t="s">
        <v>55</v>
      </c>
      <c r="Z545" s="42" t="s">
        <v>44</v>
      </c>
      <c r="AC545" s="42" t="s">
        <v>119</v>
      </c>
      <c r="AD545" s="42" t="s">
        <v>18</v>
      </c>
      <c r="AE545" s="42" t="s">
        <v>24</v>
      </c>
      <c r="AF545" s="42" t="s">
        <v>5</v>
      </c>
      <c r="AG545" s="42" t="s">
        <v>120</v>
      </c>
      <c r="AJ545" s="42" t="s">
        <v>123</v>
      </c>
      <c r="AK545" s="42" t="s">
        <v>124</v>
      </c>
      <c r="AM545" s="42" t="s">
        <v>126</v>
      </c>
      <c r="AN545" s="42" t="s">
        <v>127</v>
      </c>
      <c r="AR545" s="42" t="s">
        <v>131</v>
      </c>
      <c r="AS545" s="42" t="s">
        <v>132</v>
      </c>
    </row>
    <row r="546" spans="1:45" x14ac:dyDescent="0.3">
      <c r="A546" s="53" t="s">
        <v>280</v>
      </c>
      <c r="B546" s="36">
        <v>544</v>
      </c>
      <c r="C546" s="8" t="str">
        <f t="shared" ca="1" si="127"/>
        <v>5년 이내</v>
      </c>
      <c r="D546" s="7">
        <v>44794</v>
      </c>
      <c r="E546" s="5" t="str">
        <f t="shared" si="128"/>
        <v/>
      </c>
      <c r="F546" s="1" t="s">
        <v>1</v>
      </c>
      <c r="G546" s="33" t="s">
        <v>39</v>
      </c>
      <c r="H546" s="33" t="s">
        <v>47</v>
      </c>
      <c r="I546" s="9" t="s">
        <v>53</v>
      </c>
      <c r="J546" s="2" t="s">
        <v>4</v>
      </c>
      <c r="K546" s="3" t="s">
        <v>5</v>
      </c>
      <c r="L546" s="4">
        <v>1</v>
      </c>
      <c r="M546" s="14">
        <v>19.53</v>
      </c>
      <c r="N546" s="14">
        <v>19.53</v>
      </c>
      <c r="O546" s="47" t="str">
        <f t="shared" si="129"/>
        <v/>
      </c>
      <c r="P546" s="47" t="str">
        <f t="shared" si="130"/>
        <v/>
      </c>
      <c r="Q546" s="47" t="str">
        <f t="shared" si="131"/>
        <v/>
      </c>
      <c r="R546" s="47" t="str">
        <f t="shared" si="132"/>
        <v/>
      </c>
      <c r="S546" s="47" t="str">
        <f t="shared" si="135"/>
        <v/>
      </c>
      <c r="T546" s="47" t="str">
        <f t="shared" si="136"/>
        <v/>
      </c>
      <c r="U546" s="47" t="str">
        <f t="shared" si="133"/>
        <v/>
      </c>
      <c r="V546" s="47" t="str">
        <f t="shared" si="134"/>
        <v/>
      </c>
      <c r="W546" s="98">
        <f t="shared" si="137"/>
        <v>19.53</v>
      </c>
      <c r="X546" s="98">
        <f t="shared" si="138"/>
        <v>1</v>
      </c>
      <c r="Y546" s="36" t="s">
        <v>55</v>
      </c>
      <c r="Z546" s="42" t="s">
        <v>44</v>
      </c>
      <c r="AC546" s="42" t="s">
        <v>119</v>
      </c>
      <c r="AD546" s="42" t="s">
        <v>18</v>
      </c>
      <c r="AE546" s="42" t="s">
        <v>24</v>
      </c>
      <c r="AF546" s="42" t="s">
        <v>5</v>
      </c>
      <c r="AG546" s="42" t="s">
        <v>120</v>
      </c>
      <c r="AJ546" s="42" t="s">
        <v>123</v>
      </c>
      <c r="AK546" s="42" t="s">
        <v>124</v>
      </c>
      <c r="AM546" s="42" t="s">
        <v>126</v>
      </c>
      <c r="AN546" s="42" t="s">
        <v>127</v>
      </c>
      <c r="AR546" s="42" t="s">
        <v>131</v>
      </c>
      <c r="AS546" s="42" t="s">
        <v>132</v>
      </c>
    </row>
    <row r="547" spans="1:45" x14ac:dyDescent="0.3">
      <c r="A547" s="53" t="s">
        <v>280</v>
      </c>
      <c r="B547" s="36">
        <v>545</v>
      </c>
      <c r="C547" s="8" t="str">
        <f t="shared" ca="1" si="127"/>
        <v>5년 이내</v>
      </c>
      <c r="D547" s="7">
        <v>44794</v>
      </c>
      <c r="E547" s="5" t="str">
        <f t="shared" si="128"/>
        <v/>
      </c>
      <c r="F547" s="1" t="s">
        <v>1</v>
      </c>
      <c r="G547" s="33" t="s">
        <v>39</v>
      </c>
      <c r="H547" s="33" t="s">
        <v>160</v>
      </c>
      <c r="I547" s="9" t="s">
        <v>53</v>
      </c>
      <c r="J547" s="2" t="s">
        <v>4</v>
      </c>
      <c r="K547" s="3" t="s">
        <v>5</v>
      </c>
      <c r="L547" s="4">
        <v>1</v>
      </c>
      <c r="M547" s="14">
        <v>19.53</v>
      </c>
      <c r="N547" s="14">
        <v>19.53</v>
      </c>
      <c r="O547" s="47" t="str">
        <f t="shared" si="129"/>
        <v/>
      </c>
      <c r="P547" s="47" t="str">
        <f t="shared" si="130"/>
        <v/>
      </c>
      <c r="Q547" s="47" t="str">
        <f t="shared" si="131"/>
        <v/>
      </c>
      <c r="R547" s="47" t="str">
        <f t="shared" si="132"/>
        <v/>
      </c>
      <c r="S547" s="47" t="str">
        <f t="shared" si="135"/>
        <v/>
      </c>
      <c r="T547" s="47" t="str">
        <f t="shared" si="136"/>
        <v/>
      </c>
      <c r="U547" s="47" t="str">
        <f t="shared" si="133"/>
        <v/>
      </c>
      <c r="V547" s="47" t="str">
        <f t="shared" si="134"/>
        <v/>
      </c>
      <c r="W547" s="98">
        <f t="shared" si="137"/>
        <v>19.53</v>
      </c>
      <c r="X547" s="98">
        <f t="shared" si="138"/>
        <v>1</v>
      </c>
      <c r="Y547" s="36" t="s">
        <v>55</v>
      </c>
      <c r="Z547" s="42" t="s">
        <v>44</v>
      </c>
      <c r="AC547" s="42" t="s">
        <v>119</v>
      </c>
      <c r="AD547" s="42" t="s">
        <v>18</v>
      </c>
      <c r="AE547" s="42" t="s">
        <v>24</v>
      </c>
      <c r="AF547" s="42" t="s">
        <v>5</v>
      </c>
      <c r="AG547" s="42" t="s">
        <v>120</v>
      </c>
      <c r="AJ547" s="42" t="s">
        <v>123</v>
      </c>
      <c r="AK547" s="42" t="s">
        <v>124</v>
      </c>
      <c r="AM547" s="42" t="s">
        <v>126</v>
      </c>
      <c r="AN547" s="42" t="s">
        <v>127</v>
      </c>
      <c r="AR547" s="42" t="s">
        <v>131</v>
      </c>
      <c r="AS547" s="42" t="s">
        <v>132</v>
      </c>
    </row>
    <row r="548" spans="1:45" x14ac:dyDescent="0.3">
      <c r="A548" s="53" t="s">
        <v>280</v>
      </c>
      <c r="B548" s="36">
        <v>546</v>
      </c>
      <c r="C548" s="8" t="str">
        <f t="shared" ca="1" si="127"/>
        <v>5년 이내</v>
      </c>
      <c r="D548" s="7">
        <v>44800</v>
      </c>
      <c r="E548" s="5">
        <f t="shared" si="128"/>
        <v>1</v>
      </c>
      <c r="F548" s="1" t="s">
        <v>1</v>
      </c>
      <c r="G548" s="33" t="s">
        <v>85</v>
      </c>
      <c r="H548" s="33" t="s">
        <v>86</v>
      </c>
      <c r="I548" s="9" t="s">
        <v>135</v>
      </c>
      <c r="J548" s="2" t="s">
        <v>4</v>
      </c>
      <c r="K548" s="3" t="s">
        <v>5</v>
      </c>
      <c r="L548" s="4">
        <v>0.2</v>
      </c>
      <c r="M548" s="14">
        <v>947.7</v>
      </c>
      <c r="N548" s="16">
        <f>L548*M548</f>
        <v>189.54000000000002</v>
      </c>
      <c r="O548" s="47">
        <f t="shared" si="129"/>
        <v>0.2</v>
      </c>
      <c r="P548" s="47">
        <f t="shared" si="130"/>
        <v>0.2</v>
      </c>
      <c r="Q548" s="47">
        <f t="shared" si="131"/>
        <v>947.7</v>
      </c>
      <c r="R548" s="47">
        <f t="shared" si="132"/>
        <v>947.7</v>
      </c>
      <c r="S548" s="47">
        <f t="shared" si="135"/>
        <v>0.2</v>
      </c>
      <c r="T548" s="47" t="str">
        <f t="shared" si="136"/>
        <v/>
      </c>
      <c r="U548" s="47">
        <f t="shared" si="133"/>
        <v>189.54000000000002</v>
      </c>
      <c r="V548" s="47" t="str">
        <f t="shared" si="134"/>
        <v/>
      </c>
      <c r="W548" s="98">
        <f t="shared" si="137"/>
        <v>189.54000000000002</v>
      </c>
      <c r="X548" s="98">
        <f t="shared" si="138"/>
        <v>0.2</v>
      </c>
      <c r="Y548" s="36"/>
      <c r="AD548" s="42" t="s">
        <v>18</v>
      </c>
      <c r="AK548" s="42" t="s">
        <v>124</v>
      </c>
      <c r="AM548" s="42" t="s">
        <v>126</v>
      </c>
      <c r="AR548" s="42" t="s">
        <v>131</v>
      </c>
    </row>
    <row r="549" spans="1:45" x14ac:dyDescent="0.3">
      <c r="A549" s="53" t="s">
        <v>280</v>
      </c>
      <c r="B549" s="36">
        <v>547</v>
      </c>
      <c r="C549" s="8" t="str">
        <f t="shared" ca="1" si="127"/>
        <v>5년 이내</v>
      </c>
      <c r="D549" s="7">
        <v>44800</v>
      </c>
      <c r="E549" s="5">
        <f t="shared" si="128"/>
        <v>1</v>
      </c>
      <c r="F549" s="1" t="s">
        <v>1</v>
      </c>
      <c r="G549" s="33" t="s">
        <v>87</v>
      </c>
      <c r="H549" s="33" t="s">
        <v>88</v>
      </c>
      <c r="I549" s="9" t="s">
        <v>135</v>
      </c>
      <c r="J549" s="2" t="s">
        <v>4</v>
      </c>
      <c r="K549" s="3" t="s">
        <v>5</v>
      </c>
      <c r="L549" s="4">
        <v>0.2</v>
      </c>
      <c r="M549" s="14">
        <v>947.7</v>
      </c>
      <c r="N549" s="16">
        <f>L549*M549</f>
        <v>189.54000000000002</v>
      </c>
      <c r="O549" s="47">
        <f t="shared" si="129"/>
        <v>0.2</v>
      </c>
      <c r="P549" s="47">
        <f t="shared" si="130"/>
        <v>0.2</v>
      </c>
      <c r="Q549" s="47">
        <f t="shared" si="131"/>
        <v>947.7</v>
      </c>
      <c r="R549" s="47">
        <f t="shared" si="132"/>
        <v>947.7</v>
      </c>
      <c r="S549" s="47">
        <f t="shared" si="135"/>
        <v>0.2</v>
      </c>
      <c r="T549" s="47" t="str">
        <f t="shared" si="136"/>
        <v/>
      </c>
      <c r="U549" s="47">
        <f t="shared" si="133"/>
        <v>189.54000000000002</v>
      </c>
      <c r="V549" s="47" t="str">
        <f t="shared" si="134"/>
        <v/>
      </c>
      <c r="W549" s="98">
        <f t="shared" si="137"/>
        <v>189.54000000000002</v>
      </c>
      <c r="X549" s="98">
        <f t="shared" si="138"/>
        <v>0.2</v>
      </c>
      <c r="Y549" s="36"/>
      <c r="AD549" s="42" t="s">
        <v>18</v>
      </c>
      <c r="AK549" s="42" t="s">
        <v>124</v>
      </c>
      <c r="AM549" s="42" t="s">
        <v>126</v>
      </c>
      <c r="AR549" s="42" t="s">
        <v>131</v>
      </c>
    </row>
    <row r="550" spans="1:45" x14ac:dyDescent="0.3">
      <c r="A550" s="53" t="s">
        <v>280</v>
      </c>
      <c r="B550" s="36">
        <v>548</v>
      </c>
      <c r="C550" s="8" t="str">
        <f t="shared" ca="1" si="127"/>
        <v>5년 이내</v>
      </c>
      <c r="D550" s="7">
        <v>44834</v>
      </c>
      <c r="E550" s="5">
        <f t="shared" si="128"/>
        <v>2</v>
      </c>
      <c r="F550" s="1" t="s">
        <v>1</v>
      </c>
      <c r="G550" s="33" t="s">
        <v>17</v>
      </c>
      <c r="H550" s="33" t="s">
        <v>76</v>
      </c>
      <c r="I550" s="9" t="s">
        <v>50</v>
      </c>
      <c r="J550" s="2" t="s">
        <v>4</v>
      </c>
      <c r="K550" s="3" t="s">
        <v>24</v>
      </c>
      <c r="L550" s="4">
        <v>0.71899999999999997</v>
      </c>
      <c r="M550" s="14">
        <v>944.35</v>
      </c>
      <c r="N550" s="16">
        <v>679.18600000000004</v>
      </c>
      <c r="O550" s="47">
        <f t="shared" si="129"/>
        <v>0.71899999999999997</v>
      </c>
      <c r="P550" s="47">
        <f t="shared" si="130"/>
        <v>0.71899999999999997</v>
      </c>
      <c r="Q550" s="47">
        <f t="shared" si="131"/>
        <v>944.35</v>
      </c>
      <c r="R550" s="47">
        <f t="shared" si="132"/>
        <v>944.35</v>
      </c>
      <c r="S550" s="47">
        <f t="shared" si="135"/>
        <v>0.71899999999999997</v>
      </c>
      <c r="T550" s="47">
        <f t="shared" si="136"/>
        <v>0.71899999999999997</v>
      </c>
      <c r="U550" s="47">
        <f t="shared" si="133"/>
        <v>679.18600000000004</v>
      </c>
      <c r="V550" s="47">
        <f t="shared" si="134"/>
        <v>679.18600000000004</v>
      </c>
      <c r="W550" s="98">
        <f t="shared" si="137"/>
        <v>679.18600000000004</v>
      </c>
      <c r="X550" s="98">
        <f t="shared" si="138"/>
        <v>0.71899999999999997</v>
      </c>
      <c r="Y550" s="36" t="s">
        <v>59</v>
      </c>
      <c r="AA550" s="42" t="s">
        <v>134</v>
      </c>
      <c r="AC550" s="42" t="s">
        <v>119</v>
      </c>
      <c r="AD550" s="42" t="s">
        <v>18</v>
      </c>
      <c r="AE550" s="42" t="s">
        <v>24</v>
      </c>
      <c r="AF550" s="42" t="s">
        <v>5</v>
      </c>
      <c r="AG550" s="42" t="s">
        <v>120</v>
      </c>
      <c r="AM550" s="42" t="s">
        <v>126</v>
      </c>
    </row>
    <row r="551" spans="1:45" x14ac:dyDescent="0.3">
      <c r="A551" s="53" t="s">
        <v>280</v>
      </c>
      <c r="B551" s="36">
        <v>549</v>
      </c>
      <c r="C551" s="8" t="str">
        <f t="shared" ca="1" si="127"/>
        <v>5년 이내</v>
      </c>
      <c r="D551" s="7">
        <v>44834</v>
      </c>
      <c r="E551" s="5">
        <f t="shared" si="128"/>
        <v>2</v>
      </c>
      <c r="F551" s="1" t="s">
        <v>1</v>
      </c>
      <c r="G551" s="33" t="s">
        <v>89</v>
      </c>
      <c r="H551" s="33" t="s">
        <v>90</v>
      </c>
      <c r="I551" s="9" t="s">
        <v>50</v>
      </c>
      <c r="J551" s="2" t="s">
        <v>4</v>
      </c>
      <c r="K551" s="3" t="s">
        <v>24</v>
      </c>
      <c r="L551" s="4">
        <v>0.71899999999999997</v>
      </c>
      <c r="M551" s="14">
        <v>944.35</v>
      </c>
      <c r="N551" s="16">
        <v>679.18600000000004</v>
      </c>
      <c r="O551" s="47">
        <f t="shared" si="129"/>
        <v>0.71899999999999997</v>
      </c>
      <c r="P551" s="47">
        <f t="shared" si="130"/>
        <v>0.71899999999999997</v>
      </c>
      <c r="Q551" s="47">
        <f t="shared" si="131"/>
        <v>944.35</v>
      </c>
      <c r="R551" s="47">
        <f t="shared" si="132"/>
        <v>944.35</v>
      </c>
      <c r="S551" s="47">
        <f t="shared" si="135"/>
        <v>0.71899999999999997</v>
      </c>
      <c r="T551" s="47">
        <f t="shared" si="136"/>
        <v>0.71899999999999997</v>
      </c>
      <c r="U551" s="47">
        <f t="shared" si="133"/>
        <v>679.18600000000004</v>
      </c>
      <c r="V551" s="47">
        <f t="shared" si="134"/>
        <v>679.18600000000004</v>
      </c>
      <c r="W551" s="98">
        <f t="shared" si="137"/>
        <v>679.18600000000004</v>
      </c>
      <c r="X551" s="98">
        <f t="shared" si="138"/>
        <v>0.71899999999999997</v>
      </c>
      <c r="Y551" s="36"/>
      <c r="AA551" s="42" t="s">
        <v>134</v>
      </c>
      <c r="AC551" s="42" t="s">
        <v>119</v>
      </c>
      <c r="AD551" s="42" t="s">
        <v>18</v>
      </c>
      <c r="AE551" s="42" t="s">
        <v>24</v>
      </c>
      <c r="AF551" s="42" t="s">
        <v>5</v>
      </c>
      <c r="AG551" s="42" t="s">
        <v>120</v>
      </c>
      <c r="AM551" s="42" t="s">
        <v>126</v>
      </c>
    </row>
    <row r="552" spans="1:45" x14ac:dyDescent="0.3">
      <c r="A552" s="53" t="s">
        <v>280</v>
      </c>
      <c r="B552" s="36">
        <v>550</v>
      </c>
      <c r="C552" s="8" t="str">
        <f t="shared" ca="1" si="127"/>
        <v>5년 이내</v>
      </c>
      <c r="D552" s="7">
        <v>44834</v>
      </c>
      <c r="E552" s="5">
        <f t="shared" si="128"/>
        <v>2</v>
      </c>
      <c r="F552" s="1" t="s">
        <v>1</v>
      </c>
      <c r="G552" s="33" t="s">
        <v>326</v>
      </c>
      <c r="H552" s="33" t="s">
        <v>327</v>
      </c>
      <c r="I552" s="9" t="s">
        <v>50</v>
      </c>
      <c r="J552" s="2" t="s">
        <v>4</v>
      </c>
      <c r="K552" s="3" t="s">
        <v>24</v>
      </c>
      <c r="L552" s="4">
        <v>0.71899999999999997</v>
      </c>
      <c r="M552" s="14">
        <v>944.35</v>
      </c>
      <c r="N552" s="16">
        <v>679.18600000000004</v>
      </c>
      <c r="O552" s="47">
        <f t="shared" si="129"/>
        <v>0.71899999999999997</v>
      </c>
      <c r="P552" s="47">
        <f t="shared" si="130"/>
        <v>0.71899999999999997</v>
      </c>
      <c r="Q552" s="47">
        <f t="shared" si="131"/>
        <v>944.35</v>
      </c>
      <c r="R552" s="47">
        <f t="shared" si="132"/>
        <v>944.35</v>
      </c>
      <c r="S552" s="47">
        <f t="shared" si="135"/>
        <v>0.71899999999999997</v>
      </c>
      <c r="T552" s="47">
        <f t="shared" si="136"/>
        <v>0.71899999999999997</v>
      </c>
      <c r="U552" s="47">
        <f t="shared" si="133"/>
        <v>679.18600000000004</v>
      </c>
      <c r="V552" s="47">
        <f t="shared" si="134"/>
        <v>679.18600000000004</v>
      </c>
      <c r="W552" s="98">
        <f t="shared" si="137"/>
        <v>679.18600000000004</v>
      </c>
      <c r="X552" s="98">
        <f t="shared" si="138"/>
        <v>0.71899999999999997</v>
      </c>
      <c r="Y552" s="36"/>
      <c r="AA552" s="42" t="s">
        <v>134</v>
      </c>
      <c r="AC552" s="42" t="s">
        <v>119</v>
      </c>
      <c r="AD552" s="42" t="s">
        <v>18</v>
      </c>
      <c r="AE552" s="42" t="s">
        <v>24</v>
      </c>
      <c r="AF552" s="42" t="s">
        <v>5</v>
      </c>
      <c r="AG552" s="42" t="s">
        <v>120</v>
      </c>
      <c r="AM552" s="42" t="s">
        <v>126</v>
      </c>
    </row>
    <row r="553" spans="1:45" x14ac:dyDescent="0.3">
      <c r="A553" s="53" t="s">
        <v>280</v>
      </c>
      <c r="B553" s="36">
        <v>551</v>
      </c>
      <c r="C553" s="8" t="str">
        <f t="shared" ca="1" si="127"/>
        <v>5년 이내</v>
      </c>
      <c r="D553" s="7">
        <v>44834</v>
      </c>
      <c r="E553" s="5">
        <f t="shared" si="128"/>
        <v>2</v>
      </c>
      <c r="F553" s="1" t="s">
        <v>1</v>
      </c>
      <c r="G553" s="33" t="s">
        <v>91</v>
      </c>
      <c r="H553" s="33" t="s">
        <v>92</v>
      </c>
      <c r="I553" s="9" t="s">
        <v>50</v>
      </c>
      <c r="J553" s="2" t="s">
        <v>4</v>
      </c>
      <c r="K553" s="3" t="s">
        <v>24</v>
      </c>
      <c r="L553" s="4">
        <v>0.71899999999999997</v>
      </c>
      <c r="M553" s="14">
        <v>944.35</v>
      </c>
      <c r="N553" s="16">
        <v>679.18600000000004</v>
      </c>
      <c r="O553" s="47">
        <f t="shared" si="129"/>
        <v>0.71899999999999997</v>
      </c>
      <c r="P553" s="47">
        <f t="shared" si="130"/>
        <v>0.71899999999999997</v>
      </c>
      <c r="Q553" s="47">
        <f t="shared" si="131"/>
        <v>944.35</v>
      </c>
      <c r="R553" s="47">
        <f t="shared" si="132"/>
        <v>944.35</v>
      </c>
      <c r="S553" s="47">
        <f t="shared" si="135"/>
        <v>0.71899999999999997</v>
      </c>
      <c r="T553" s="47">
        <f t="shared" si="136"/>
        <v>0.71899999999999997</v>
      </c>
      <c r="U553" s="47">
        <f t="shared" si="133"/>
        <v>679.18600000000004</v>
      </c>
      <c r="V553" s="47">
        <f t="shared" si="134"/>
        <v>679.18600000000004</v>
      </c>
      <c r="W553" s="98">
        <f t="shared" si="137"/>
        <v>679.18600000000004</v>
      </c>
      <c r="X553" s="98">
        <f t="shared" si="138"/>
        <v>0.71899999999999997</v>
      </c>
      <c r="Y553" s="36"/>
      <c r="AA553" s="42" t="s">
        <v>134</v>
      </c>
      <c r="AC553" s="42" t="s">
        <v>119</v>
      </c>
      <c r="AD553" s="42" t="s">
        <v>18</v>
      </c>
      <c r="AE553" s="42" t="s">
        <v>24</v>
      </c>
      <c r="AF553" s="42" t="s">
        <v>5</v>
      </c>
      <c r="AG553" s="42" t="s">
        <v>120</v>
      </c>
      <c r="AM553" s="42" t="s">
        <v>126</v>
      </c>
    </row>
    <row r="554" spans="1:45" x14ac:dyDescent="0.3">
      <c r="A554" s="53" t="s">
        <v>280</v>
      </c>
      <c r="B554" s="36">
        <v>552</v>
      </c>
      <c r="C554" s="8" t="str">
        <f t="shared" ca="1" si="127"/>
        <v>5년 이내</v>
      </c>
      <c r="D554" s="7">
        <v>44907</v>
      </c>
      <c r="E554" s="5">
        <f t="shared" si="128"/>
        <v>2</v>
      </c>
      <c r="F554" s="1" t="s">
        <v>1</v>
      </c>
      <c r="G554" s="33" t="s">
        <v>10</v>
      </c>
      <c r="H554" s="33" t="s">
        <v>48</v>
      </c>
      <c r="I554" s="10" t="s">
        <v>49</v>
      </c>
      <c r="J554" s="2" t="s">
        <v>4</v>
      </c>
      <c r="K554" s="3" t="s">
        <v>24</v>
      </c>
      <c r="L554" s="12">
        <v>0.45</v>
      </c>
      <c r="M554" s="14">
        <v>3830.549</v>
      </c>
      <c r="N554" s="16">
        <v>1723.7470499999999</v>
      </c>
      <c r="O554" s="47">
        <f t="shared" si="129"/>
        <v>0.45</v>
      </c>
      <c r="P554" s="47">
        <f t="shared" si="130"/>
        <v>0.45</v>
      </c>
      <c r="Q554" s="47">
        <f t="shared" si="131"/>
        <v>3830.549</v>
      </c>
      <c r="R554" s="47">
        <f t="shared" si="132"/>
        <v>3830.549</v>
      </c>
      <c r="S554" s="47">
        <f t="shared" si="135"/>
        <v>0.45</v>
      </c>
      <c r="T554" s="47">
        <f t="shared" si="136"/>
        <v>0.45</v>
      </c>
      <c r="U554" s="47">
        <f t="shared" si="133"/>
        <v>1723.7470499999999</v>
      </c>
      <c r="V554" s="47">
        <f t="shared" si="134"/>
        <v>1723.7470499999999</v>
      </c>
      <c r="W554" s="98">
        <f t="shared" si="137"/>
        <v>1723.7470499999999</v>
      </c>
      <c r="X554" s="98">
        <f t="shared" si="138"/>
        <v>0.45</v>
      </c>
      <c r="Y554" s="36"/>
      <c r="Z554" s="42" t="s">
        <v>44</v>
      </c>
      <c r="AC554" s="42" t="s">
        <v>119</v>
      </c>
      <c r="AD554" s="42" t="s">
        <v>18</v>
      </c>
      <c r="AE554" s="42" t="s">
        <v>24</v>
      </c>
      <c r="AF554" s="42" t="s">
        <v>5</v>
      </c>
    </row>
    <row r="555" spans="1:45" x14ac:dyDescent="0.3">
      <c r="A555" s="53" t="s">
        <v>280</v>
      </c>
      <c r="B555" s="36">
        <v>553</v>
      </c>
      <c r="C555" s="8" t="str">
        <f t="shared" ca="1" si="127"/>
        <v>5년 이내</v>
      </c>
      <c r="D555" s="7">
        <v>44907</v>
      </c>
      <c r="E555" s="5">
        <f t="shared" si="128"/>
        <v>2</v>
      </c>
      <c r="F555" s="1" t="s">
        <v>1</v>
      </c>
      <c r="G555" s="33" t="s">
        <v>93</v>
      </c>
      <c r="H555" s="33" t="s">
        <v>94</v>
      </c>
      <c r="I555" s="10" t="s">
        <v>49</v>
      </c>
      <c r="J555" s="2" t="s">
        <v>4</v>
      </c>
      <c r="K555" s="3" t="s">
        <v>24</v>
      </c>
      <c r="L555" s="12">
        <v>0.45</v>
      </c>
      <c r="M555" s="14">
        <v>3830.549</v>
      </c>
      <c r="N555" s="16">
        <v>1723.7470499999999</v>
      </c>
      <c r="O555" s="47">
        <f t="shared" si="129"/>
        <v>0.45</v>
      </c>
      <c r="P555" s="47">
        <f t="shared" si="130"/>
        <v>0.45</v>
      </c>
      <c r="Q555" s="47">
        <f t="shared" si="131"/>
        <v>3830.549</v>
      </c>
      <c r="R555" s="47">
        <f t="shared" si="132"/>
        <v>3830.549</v>
      </c>
      <c r="S555" s="47">
        <f t="shared" si="135"/>
        <v>0.45</v>
      </c>
      <c r="T555" s="47">
        <f t="shared" si="136"/>
        <v>0.45</v>
      </c>
      <c r="U555" s="47">
        <f t="shared" si="133"/>
        <v>1723.7470499999999</v>
      </c>
      <c r="V555" s="47">
        <f t="shared" si="134"/>
        <v>1723.7470499999999</v>
      </c>
      <c r="W555" s="98">
        <f t="shared" si="137"/>
        <v>1723.7470499999999</v>
      </c>
      <c r="X555" s="98">
        <f t="shared" si="138"/>
        <v>0.45</v>
      </c>
      <c r="Y555" s="36"/>
      <c r="Z555" s="42" t="s">
        <v>44</v>
      </c>
      <c r="AC555" s="42" t="s">
        <v>119</v>
      </c>
      <c r="AD555" s="42" t="s">
        <v>18</v>
      </c>
      <c r="AE555" s="42" t="s">
        <v>24</v>
      </c>
      <c r="AF555" s="42" t="s">
        <v>5</v>
      </c>
    </row>
    <row r="556" spans="1:45" x14ac:dyDescent="0.3">
      <c r="A556" s="53" t="s">
        <v>280</v>
      </c>
      <c r="B556" s="36">
        <v>554</v>
      </c>
      <c r="C556" s="8" t="str">
        <f t="shared" ca="1" si="127"/>
        <v>5년 이내</v>
      </c>
      <c r="D556" s="7">
        <v>44918</v>
      </c>
      <c r="E556" s="5">
        <f t="shared" si="128"/>
        <v>2</v>
      </c>
      <c r="F556" s="1" t="s">
        <v>1</v>
      </c>
      <c r="G556" s="33" t="s">
        <v>17</v>
      </c>
      <c r="H556" s="33" t="s">
        <v>138</v>
      </c>
      <c r="I556" s="9" t="s">
        <v>54</v>
      </c>
      <c r="J556" s="2" t="s">
        <v>4</v>
      </c>
      <c r="K556" s="3" t="s">
        <v>24</v>
      </c>
      <c r="L556" s="4">
        <v>0.85</v>
      </c>
      <c r="M556" s="14">
        <v>394.24</v>
      </c>
      <c r="N556" s="16">
        <v>255.01400000000001</v>
      </c>
      <c r="O556" s="47">
        <f t="shared" si="129"/>
        <v>0.85</v>
      </c>
      <c r="P556" s="47">
        <f t="shared" si="130"/>
        <v>0.85</v>
      </c>
      <c r="Q556" s="47">
        <f t="shared" si="131"/>
        <v>394.24</v>
      </c>
      <c r="R556" s="47">
        <f t="shared" si="132"/>
        <v>394.24</v>
      </c>
      <c r="S556" s="47">
        <f t="shared" si="135"/>
        <v>0.85</v>
      </c>
      <c r="T556" s="47">
        <f t="shared" si="136"/>
        <v>0.85</v>
      </c>
      <c r="U556" s="47">
        <f t="shared" si="133"/>
        <v>255.01400000000001</v>
      </c>
      <c r="V556" s="47">
        <f t="shared" si="134"/>
        <v>255.01400000000001</v>
      </c>
      <c r="W556" s="98">
        <f t="shared" si="137"/>
        <v>255.01400000000001</v>
      </c>
      <c r="X556" s="98">
        <f t="shared" si="138"/>
        <v>0.85</v>
      </c>
      <c r="Y556" s="32" t="s">
        <v>58</v>
      </c>
      <c r="AC556" s="42" t="s">
        <v>119</v>
      </c>
      <c r="AE556" s="42" t="s">
        <v>24</v>
      </c>
      <c r="AG556" s="42" t="s">
        <v>120</v>
      </c>
      <c r="AJ556" s="42" t="s">
        <v>123</v>
      </c>
      <c r="AN556" s="42" t="s">
        <v>127</v>
      </c>
      <c r="AR556" s="42" t="s">
        <v>131</v>
      </c>
      <c r="AS556" s="42" t="s">
        <v>132</v>
      </c>
    </row>
    <row r="557" spans="1:45" x14ac:dyDescent="0.3">
      <c r="A557" s="53" t="s">
        <v>280</v>
      </c>
      <c r="B557" s="36">
        <v>555</v>
      </c>
      <c r="C557" s="8" t="str">
        <f t="shared" ca="1" si="127"/>
        <v>5년 이내</v>
      </c>
      <c r="D557" s="7">
        <v>44918</v>
      </c>
      <c r="E557" s="5">
        <f t="shared" si="128"/>
        <v>2</v>
      </c>
      <c r="F557" s="1" t="s">
        <v>1</v>
      </c>
      <c r="G557" s="33" t="s">
        <v>68</v>
      </c>
      <c r="H557" s="33" t="s">
        <v>77</v>
      </c>
      <c r="I557" s="9" t="s">
        <v>54</v>
      </c>
      <c r="J557" s="2" t="s">
        <v>4</v>
      </c>
      <c r="K557" s="3" t="s">
        <v>24</v>
      </c>
      <c r="L557" s="4">
        <v>0.85</v>
      </c>
      <c r="M557" s="14">
        <v>394.24</v>
      </c>
      <c r="N557" s="16">
        <v>255.01400000000001</v>
      </c>
      <c r="O557" s="47">
        <f t="shared" si="129"/>
        <v>0.85</v>
      </c>
      <c r="P557" s="47">
        <f t="shared" si="130"/>
        <v>0.85</v>
      </c>
      <c r="Q557" s="47">
        <f t="shared" si="131"/>
        <v>394.24</v>
      </c>
      <c r="R557" s="47">
        <f t="shared" si="132"/>
        <v>394.24</v>
      </c>
      <c r="S557" s="47">
        <f t="shared" si="135"/>
        <v>0.85</v>
      </c>
      <c r="T557" s="47">
        <f t="shared" si="136"/>
        <v>0.85</v>
      </c>
      <c r="U557" s="47">
        <f t="shared" si="133"/>
        <v>255.01400000000001</v>
      </c>
      <c r="V557" s="47">
        <f t="shared" si="134"/>
        <v>255.01400000000001</v>
      </c>
      <c r="W557" s="98">
        <f t="shared" si="137"/>
        <v>255.01400000000001</v>
      </c>
      <c r="X557" s="98">
        <f t="shared" si="138"/>
        <v>0.85</v>
      </c>
      <c r="Y557" s="36"/>
      <c r="AC557" s="42" t="s">
        <v>119</v>
      </c>
      <c r="AE557" s="42" t="s">
        <v>24</v>
      </c>
      <c r="AG557" s="42" t="s">
        <v>120</v>
      </c>
      <c r="AJ557" s="42" t="s">
        <v>123</v>
      </c>
      <c r="AN557" s="42" t="s">
        <v>127</v>
      </c>
      <c r="AR557" s="42" t="s">
        <v>131</v>
      </c>
      <c r="AS557" s="42" t="s">
        <v>132</v>
      </c>
    </row>
    <row r="558" spans="1:45" x14ac:dyDescent="0.3">
      <c r="A558" s="53" t="s">
        <v>280</v>
      </c>
      <c r="B558" s="36">
        <v>556</v>
      </c>
      <c r="C558" s="8" t="str">
        <f t="shared" ca="1" si="127"/>
        <v>5년 이내</v>
      </c>
      <c r="D558" s="7">
        <v>44918</v>
      </c>
      <c r="E558" s="5">
        <f t="shared" si="128"/>
        <v>2</v>
      </c>
      <c r="F558" s="1" t="s">
        <v>1</v>
      </c>
      <c r="G558" s="33" t="s">
        <v>68</v>
      </c>
      <c r="H558" s="33" t="s">
        <v>95</v>
      </c>
      <c r="I558" s="9" t="s">
        <v>54</v>
      </c>
      <c r="J558" s="2" t="s">
        <v>4</v>
      </c>
      <c r="K558" s="3" t="s">
        <v>24</v>
      </c>
      <c r="L558" s="4">
        <v>0.85</v>
      </c>
      <c r="M558" s="14">
        <v>394.24</v>
      </c>
      <c r="N558" s="16">
        <v>255.01400000000001</v>
      </c>
      <c r="O558" s="47">
        <f t="shared" si="129"/>
        <v>0.85</v>
      </c>
      <c r="P558" s="47">
        <f t="shared" si="130"/>
        <v>0.85</v>
      </c>
      <c r="Q558" s="47">
        <f t="shared" si="131"/>
        <v>394.24</v>
      </c>
      <c r="R558" s="47">
        <f t="shared" si="132"/>
        <v>394.24</v>
      </c>
      <c r="S558" s="47">
        <f t="shared" si="135"/>
        <v>0.85</v>
      </c>
      <c r="T558" s="47">
        <f t="shared" si="136"/>
        <v>0.85</v>
      </c>
      <c r="U558" s="47">
        <f t="shared" si="133"/>
        <v>255.01400000000001</v>
      </c>
      <c r="V558" s="47">
        <f t="shared" si="134"/>
        <v>255.01400000000001</v>
      </c>
      <c r="W558" s="98">
        <f t="shared" si="137"/>
        <v>255.01400000000001</v>
      </c>
      <c r="X558" s="98">
        <f t="shared" si="138"/>
        <v>0.85</v>
      </c>
      <c r="Y558" s="36"/>
      <c r="AC558" s="42" t="s">
        <v>119</v>
      </c>
      <c r="AE558" s="42" t="s">
        <v>24</v>
      </c>
      <c r="AG558" s="42" t="s">
        <v>120</v>
      </c>
      <c r="AJ558" s="42" t="s">
        <v>123</v>
      </c>
      <c r="AN558" s="42" t="s">
        <v>127</v>
      </c>
      <c r="AR558" s="42" t="s">
        <v>131</v>
      </c>
      <c r="AS558" s="42" t="s">
        <v>132</v>
      </c>
    </row>
    <row r="559" spans="1:45" x14ac:dyDescent="0.3">
      <c r="A559" s="53" t="s">
        <v>280</v>
      </c>
      <c r="B559" s="36">
        <v>557</v>
      </c>
      <c r="C559" s="8" t="str">
        <f t="shared" ca="1" si="127"/>
        <v>5년 이내</v>
      </c>
      <c r="D559" s="7">
        <v>44948</v>
      </c>
      <c r="E559" s="5" t="str">
        <f t="shared" si="128"/>
        <v/>
      </c>
      <c r="F559" s="1" t="s">
        <v>1</v>
      </c>
      <c r="G559" s="33" t="s">
        <v>17</v>
      </c>
      <c r="H559" s="33" t="s">
        <v>138</v>
      </c>
      <c r="I559" s="9" t="s">
        <v>67</v>
      </c>
      <c r="J559" s="2" t="s">
        <v>4</v>
      </c>
      <c r="K559" s="3" t="s">
        <v>24</v>
      </c>
      <c r="L559" s="4">
        <v>0.3</v>
      </c>
      <c r="M559" s="14">
        <v>257.57600000000002</v>
      </c>
      <c r="N559" s="16">
        <v>77.272000000000006</v>
      </c>
      <c r="O559" s="47">
        <f t="shared" si="129"/>
        <v>0.3</v>
      </c>
      <c r="P559" s="47">
        <f t="shared" si="130"/>
        <v>0.3</v>
      </c>
      <c r="Q559" s="47">
        <f t="shared" si="131"/>
        <v>257.57600000000002</v>
      </c>
      <c r="R559" s="47">
        <f t="shared" si="132"/>
        <v>257.57600000000002</v>
      </c>
      <c r="S559" s="47" t="str">
        <f t="shared" si="135"/>
        <v/>
      </c>
      <c r="T559" s="47" t="str">
        <f t="shared" si="136"/>
        <v/>
      </c>
      <c r="U559" s="47" t="str">
        <f t="shared" si="133"/>
        <v/>
      </c>
      <c r="V559" s="47" t="str">
        <f t="shared" si="134"/>
        <v/>
      </c>
      <c r="W559" s="98">
        <f t="shared" si="137"/>
        <v>77.272000000000006</v>
      </c>
      <c r="X559" s="98">
        <f t="shared" si="138"/>
        <v>0.3</v>
      </c>
      <c r="Y559" s="32" t="s">
        <v>58</v>
      </c>
      <c r="AA559" s="42" t="s">
        <v>134</v>
      </c>
      <c r="AD559" s="42" t="s">
        <v>18</v>
      </c>
      <c r="AE559" s="42" t="s">
        <v>24</v>
      </c>
      <c r="AG559" s="42" t="s">
        <v>120</v>
      </c>
      <c r="AH559" s="42" t="s">
        <v>121</v>
      </c>
      <c r="AI559" s="42" t="s">
        <v>122</v>
      </c>
      <c r="AK559" s="42" t="s">
        <v>124</v>
      </c>
      <c r="AM559" s="42" t="s">
        <v>126</v>
      </c>
    </row>
    <row r="560" spans="1:45" x14ac:dyDescent="0.3">
      <c r="A560" s="53" t="s">
        <v>280</v>
      </c>
      <c r="B560" s="36">
        <v>558</v>
      </c>
      <c r="C560" s="8" t="str">
        <f t="shared" ca="1" si="127"/>
        <v>5년 이내</v>
      </c>
      <c r="D560" s="7">
        <v>44948</v>
      </c>
      <c r="E560" s="5" t="str">
        <f t="shared" si="128"/>
        <v/>
      </c>
      <c r="F560" s="1" t="s">
        <v>1</v>
      </c>
      <c r="G560" s="33" t="s">
        <v>68</v>
      </c>
      <c r="H560" s="33" t="s">
        <v>77</v>
      </c>
      <c r="I560" s="9" t="s">
        <v>67</v>
      </c>
      <c r="J560" s="2" t="s">
        <v>4</v>
      </c>
      <c r="K560" s="3" t="s">
        <v>24</v>
      </c>
      <c r="L560" s="4">
        <v>0.3</v>
      </c>
      <c r="M560" s="14">
        <v>257.57600000000002</v>
      </c>
      <c r="N560" s="16">
        <v>77.272000000000006</v>
      </c>
      <c r="O560" s="47">
        <f t="shared" si="129"/>
        <v>0.3</v>
      </c>
      <c r="P560" s="47">
        <f t="shared" si="130"/>
        <v>0.3</v>
      </c>
      <c r="Q560" s="47">
        <f t="shared" si="131"/>
        <v>257.57600000000002</v>
      </c>
      <c r="R560" s="47">
        <f t="shared" si="132"/>
        <v>257.57600000000002</v>
      </c>
      <c r="S560" s="47" t="str">
        <f t="shared" si="135"/>
        <v/>
      </c>
      <c r="T560" s="47" t="str">
        <f t="shared" si="136"/>
        <v/>
      </c>
      <c r="U560" s="47" t="str">
        <f t="shared" si="133"/>
        <v/>
      </c>
      <c r="V560" s="47" t="str">
        <f t="shared" si="134"/>
        <v/>
      </c>
      <c r="W560" s="98">
        <f t="shared" si="137"/>
        <v>77.272000000000006</v>
      </c>
      <c r="X560" s="98">
        <f t="shared" si="138"/>
        <v>0.3</v>
      </c>
      <c r="Y560" s="36" t="s">
        <v>96</v>
      </c>
      <c r="AA560" s="42" t="s">
        <v>134</v>
      </c>
      <c r="AD560" s="42" t="s">
        <v>18</v>
      </c>
      <c r="AE560" s="42" t="s">
        <v>24</v>
      </c>
      <c r="AG560" s="42" t="s">
        <v>120</v>
      </c>
      <c r="AH560" s="42" t="s">
        <v>121</v>
      </c>
      <c r="AI560" s="42" t="s">
        <v>122</v>
      </c>
      <c r="AK560" s="42" t="s">
        <v>124</v>
      </c>
      <c r="AM560" s="42" t="s">
        <v>126</v>
      </c>
    </row>
    <row r="561" spans="1:45" x14ac:dyDescent="0.3">
      <c r="A561" s="53" t="s">
        <v>280</v>
      </c>
      <c r="B561" s="36">
        <v>559</v>
      </c>
      <c r="C561" s="8" t="str">
        <f t="shared" ca="1" si="127"/>
        <v>5년 이내</v>
      </c>
      <c r="D561" s="7">
        <v>44948</v>
      </c>
      <c r="E561" s="5" t="str">
        <f t="shared" si="128"/>
        <v/>
      </c>
      <c r="F561" s="1" t="s">
        <v>1</v>
      </c>
      <c r="G561" s="33" t="s">
        <v>97</v>
      </c>
      <c r="H561" s="33" t="s">
        <v>98</v>
      </c>
      <c r="I561" s="9" t="s">
        <v>67</v>
      </c>
      <c r="J561" s="2" t="s">
        <v>4</v>
      </c>
      <c r="K561" s="3" t="s">
        <v>24</v>
      </c>
      <c r="L561" s="4">
        <v>0.3</v>
      </c>
      <c r="M561" s="14">
        <v>257.57600000000002</v>
      </c>
      <c r="N561" s="16">
        <v>77.272000000000006</v>
      </c>
      <c r="O561" s="47">
        <f t="shared" si="129"/>
        <v>0.3</v>
      </c>
      <c r="P561" s="47">
        <f t="shared" si="130"/>
        <v>0.3</v>
      </c>
      <c r="Q561" s="47">
        <f t="shared" si="131"/>
        <v>257.57600000000002</v>
      </c>
      <c r="R561" s="47">
        <f t="shared" si="132"/>
        <v>257.57600000000002</v>
      </c>
      <c r="S561" s="47" t="str">
        <f t="shared" si="135"/>
        <v/>
      </c>
      <c r="T561" s="47" t="str">
        <f t="shared" si="136"/>
        <v/>
      </c>
      <c r="U561" s="47" t="str">
        <f t="shared" si="133"/>
        <v/>
      </c>
      <c r="V561" s="47" t="str">
        <f t="shared" si="134"/>
        <v/>
      </c>
      <c r="W561" s="98">
        <f t="shared" si="137"/>
        <v>77.272000000000006</v>
      </c>
      <c r="X561" s="98">
        <f t="shared" si="138"/>
        <v>0.3</v>
      </c>
      <c r="Y561" s="36"/>
      <c r="AA561" s="42" t="s">
        <v>134</v>
      </c>
      <c r="AD561" s="42" t="s">
        <v>18</v>
      </c>
      <c r="AE561" s="42" t="s">
        <v>24</v>
      </c>
      <c r="AG561" s="42" t="s">
        <v>120</v>
      </c>
      <c r="AH561" s="42" t="s">
        <v>121</v>
      </c>
      <c r="AI561" s="42" t="s">
        <v>122</v>
      </c>
      <c r="AK561" s="42" t="s">
        <v>124</v>
      </c>
      <c r="AM561" s="42" t="s">
        <v>126</v>
      </c>
    </row>
    <row r="562" spans="1:45" x14ac:dyDescent="0.3">
      <c r="A562" s="53" t="s">
        <v>280</v>
      </c>
      <c r="B562" s="36">
        <v>560</v>
      </c>
      <c r="C562" s="8" t="str">
        <f t="shared" ca="1" si="127"/>
        <v>5년 이내</v>
      </c>
      <c r="D562" s="7">
        <v>44979</v>
      </c>
      <c r="E562" s="5">
        <f t="shared" si="128"/>
        <v>2</v>
      </c>
      <c r="F562" s="1" t="s">
        <v>1</v>
      </c>
      <c r="G562" s="33" t="s">
        <v>68</v>
      </c>
      <c r="H562" s="33" t="s">
        <v>84</v>
      </c>
      <c r="I562" s="9" t="s">
        <v>99</v>
      </c>
      <c r="J562" s="2" t="s">
        <v>40</v>
      </c>
      <c r="K562" s="3" t="s">
        <v>24</v>
      </c>
      <c r="L562" s="4">
        <v>0.7</v>
      </c>
      <c r="M562" s="14">
        <v>785.18</v>
      </c>
      <c r="N562" s="16">
        <v>549.17999999999995</v>
      </c>
      <c r="O562" s="47">
        <f t="shared" si="129"/>
        <v>0.7</v>
      </c>
      <c r="P562" s="47">
        <f t="shared" si="130"/>
        <v>0.7</v>
      </c>
      <c r="Q562" s="47">
        <f t="shared" si="131"/>
        <v>785.18</v>
      </c>
      <c r="R562" s="47">
        <f t="shared" si="132"/>
        <v>785.18</v>
      </c>
      <c r="S562" s="47">
        <f t="shared" si="135"/>
        <v>0.7</v>
      </c>
      <c r="T562" s="47">
        <f t="shared" si="136"/>
        <v>0.7</v>
      </c>
      <c r="U562" s="47">
        <f t="shared" si="133"/>
        <v>549.17999999999995</v>
      </c>
      <c r="V562" s="47">
        <f t="shared" si="134"/>
        <v>549.17999999999995</v>
      </c>
      <c r="W562" s="98">
        <f t="shared" si="137"/>
        <v>549.17999999999995</v>
      </c>
      <c r="X562" s="98">
        <f t="shared" si="138"/>
        <v>0.7</v>
      </c>
      <c r="Y562" s="36"/>
      <c r="AG562" s="42" t="s">
        <v>120</v>
      </c>
      <c r="AK562" s="42" t="s">
        <v>124</v>
      </c>
      <c r="AM562" s="42" t="s">
        <v>126</v>
      </c>
      <c r="AR562" s="42" t="s">
        <v>131</v>
      </c>
    </row>
    <row r="563" spans="1:45" x14ac:dyDescent="0.3">
      <c r="A563" s="53" t="s">
        <v>280</v>
      </c>
      <c r="B563" s="36">
        <v>561</v>
      </c>
      <c r="C563" s="8" t="str">
        <f t="shared" ca="1" si="127"/>
        <v>5년 이내</v>
      </c>
      <c r="D563" s="7">
        <v>44979</v>
      </c>
      <c r="E563" s="5">
        <f t="shared" si="128"/>
        <v>2</v>
      </c>
      <c r="F563" s="1" t="s">
        <v>1</v>
      </c>
      <c r="G563" s="33" t="s">
        <v>661</v>
      </c>
      <c r="H563" s="33" t="s">
        <v>84</v>
      </c>
      <c r="I563" s="9" t="s">
        <v>99</v>
      </c>
      <c r="J563" s="2" t="s">
        <v>40</v>
      </c>
      <c r="K563" s="3" t="s">
        <v>24</v>
      </c>
      <c r="L563" s="4">
        <v>0.7</v>
      </c>
      <c r="M563" s="14">
        <v>785.18</v>
      </c>
      <c r="N563" s="16">
        <v>549.17999999999995</v>
      </c>
      <c r="O563" s="47">
        <f t="shared" si="129"/>
        <v>0.7</v>
      </c>
      <c r="P563" s="47">
        <f t="shared" si="130"/>
        <v>0.7</v>
      </c>
      <c r="Q563" s="47">
        <f t="shared" si="131"/>
        <v>785.18</v>
      </c>
      <c r="R563" s="47">
        <f t="shared" si="132"/>
        <v>785.18</v>
      </c>
      <c r="S563" s="47">
        <f t="shared" si="135"/>
        <v>0.7</v>
      </c>
      <c r="T563" s="47">
        <f t="shared" si="136"/>
        <v>0.7</v>
      </c>
      <c r="U563" s="47">
        <f t="shared" si="133"/>
        <v>549.17999999999995</v>
      </c>
      <c r="V563" s="47">
        <f t="shared" si="134"/>
        <v>549.17999999999995</v>
      </c>
      <c r="W563" s="98">
        <f t="shared" si="137"/>
        <v>549.17999999999995</v>
      </c>
      <c r="X563" s="98">
        <f t="shared" si="138"/>
        <v>0.7</v>
      </c>
      <c r="Y563" s="36"/>
      <c r="AG563" s="42" t="s">
        <v>120</v>
      </c>
      <c r="AK563" s="42" t="s">
        <v>124</v>
      </c>
      <c r="AM563" s="42" t="s">
        <v>126</v>
      </c>
      <c r="AR563" s="42" t="s">
        <v>131</v>
      </c>
    </row>
    <row r="564" spans="1:45" x14ac:dyDescent="0.3">
      <c r="A564" s="53" t="s">
        <v>280</v>
      </c>
      <c r="B564" s="36">
        <v>562</v>
      </c>
      <c r="C564" s="8" t="str">
        <f t="shared" ca="1" si="127"/>
        <v>5년 이내</v>
      </c>
      <c r="D564" s="7">
        <v>44979</v>
      </c>
      <c r="E564" s="5">
        <f t="shared" si="128"/>
        <v>2</v>
      </c>
      <c r="F564" s="1" t="s">
        <v>1</v>
      </c>
      <c r="G564" s="33" t="s">
        <v>68</v>
      </c>
      <c r="H564" s="33" t="s">
        <v>233</v>
      </c>
      <c r="I564" s="9" t="s">
        <v>99</v>
      </c>
      <c r="J564" s="2" t="s">
        <v>40</v>
      </c>
      <c r="K564" s="3" t="s">
        <v>24</v>
      </c>
      <c r="L564" s="4">
        <v>0.7</v>
      </c>
      <c r="M564" s="14">
        <v>785.18</v>
      </c>
      <c r="N564" s="16">
        <v>549.17999999999995</v>
      </c>
      <c r="O564" s="47">
        <f t="shared" si="129"/>
        <v>0.7</v>
      </c>
      <c r="P564" s="47">
        <f t="shared" si="130"/>
        <v>0.7</v>
      </c>
      <c r="Q564" s="47">
        <f t="shared" si="131"/>
        <v>785.18</v>
      </c>
      <c r="R564" s="47">
        <f t="shared" si="132"/>
        <v>785.18</v>
      </c>
      <c r="S564" s="47">
        <f t="shared" si="135"/>
        <v>0.7</v>
      </c>
      <c r="T564" s="47">
        <f t="shared" si="136"/>
        <v>0.7</v>
      </c>
      <c r="U564" s="47">
        <f t="shared" si="133"/>
        <v>549.17999999999995</v>
      </c>
      <c r="V564" s="47">
        <f t="shared" si="134"/>
        <v>549.17999999999995</v>
      </c>
      <c r="W564" s="98">
        <f t="shared" si="137"/>
        <v>549.17999999999995</v>
      </c>
      <c r="X564" s="98">
        <f t="shared" si="138"/>
        <v>0.7</v>
      </c>
      <c r="Y564" s="36"/>
      <c r="AG564" s="42" t="s">
        <v>120</v>
      </c>
      <c r="AK564" s="42" t="s">
        <v>124</v>
      </c>
      <c r="AM564" s="42" t="s">
        <v>126</v>
      </c>
      <c r="AR564" s="42" t="s">
        <v>131</v>
      </c>
    </row>
    <row r="565" spans="1:45" x14ac:dyDescent="0.3">
      <c r="A565" s="53" t="s">
        <v>280</v>
      </c>
      <c r="B565" s="107">
        <v>563</v>
      </c>
      <c r="C565" s="8" t="str">
        <f t="shared" ca="1" si="127"/>
        <v>5년 이내</v>
      </c>
      <c r="D565" s="7">
        <v>44979</v>
      </c>
      <c r="E565" s="5">
        <f t="shared" si="128"/>
        <v>2</v>
      </c>
      <c r="F565" s="1" t="s">
        <v>1</v>
      </c>
      <c r="G565" s="33" t="s">
        <v>230</v>
      </c>
      <c r="H565" s="33" t="s">
        <v>229</v>
      </c>
      <c r="I565" s="9" t="s">
        <v>99</v>
      </c>
      <c r="J565" s="2" t="s">
        <v>40</v>
      </c>
      <c r="K565" s="3" t="s">
        <v>24</v>
      </c>
      <c r="L565" s="4">
        <v>0.7</v>
      </c>
      <c r="M565" s="14">
        <v>785.18</v>
      </c>
      <c r="N565" s="16">
        <v>549.17999999999995</v>
      </c>
      <c r="O565" s="47">
        <f t="shared" si="129"/>
        <v>0.7</v>
      </c>
      <c r="P565" s="47">
        <f t="shared" si="130"/>
        <v>0.7</v>
      </c>
      <c r="Q565" s="47">
        <f t="shared" si="131"/>
        <v>785.18</v>
      </c>
      <c r="R565" s="47">
        <f t="shared" si="132"/>
        <v>785.18</v>
      </c>
      <c r="S565" s="47">
        <f t="shared" si="135"/>
        <v>0.7</v>
      </c>
      <c r="T565" s="47">
        <f t="shared" si="136"/>
        <v>0.7</v>
      </c>
      <c r="U565" s="47">
        <f t="shared" si="133"/>
        <v>549.17999999999995</v>
      </c>
      <c r="V565" s="47">
        <f t="shared" si="134"/>
        <v>549.17999999999995</v>
      </c>
      <c r="W565" s="98">
        <f t="shared" si="137"/>
        <v>549.17999999999995</v>
      </c>
      <c r="X565" s="98">
        <f t="shared" si="138"/>
        <v>0.7</v>
      </c>
      <c r="Y565" s="36"/>
      <c r="AG565" s="42" t="s">
        <v>120</v>
      </c>
      <c r="AK565" s="42" t="s">
        <v>124</v>
      </c>
      <c r="AM565" s="42" t="s">
        <v>126</v>
      </c>
      <c r="AR565" s="42" t="s">
        <v>131</v>
      </c>
    </row>
    <row r="566" spans="1:45" x14ac:dyDescent="0.3">
      <c r="A566" s="53" t="s">
        <v>280</v>
      </c>
      <c r="B566" s="107">
        <v>564</v>
      </c>
      <c r="C566" s="8" t="str">
        <f t="shared" ca="1" si="127"/>
        <v>5년 이내</v>
      </c>
      <c r="D566" s="7">
        <v>44979</v>
      </c>
      <c r="E566" s="5">
        <f t="shared" si="128"/>
        <v>2</v>
      </c>
      <c r="F566" s="1" t="s">
        <v>1</v>
      </c>
      <c r="G566" s="33" t="s">
        <v>97</v>
      </c>
      <c r="H566" s="33" t="s">
        <v>98</v>
      </c>
      <c r="I566" s="9" t="s">
        <v>99</v>
      </c>
      <c r="J566" s="2" t="s">
        <v>40</v>
      </c>
      <c r="K566" s="3" t="s">
        <v>24</v>
      </c>
      <c r="L566" s="4">
        <v>0.7</v>
      </c>
      <c r="M566" s="14">
        <v>785.18</v>
      </c>
      <c r="N566" s="16">
        <v>549.17999999999995</v>
      </c>
      <c r="O566" s="47">
        <f t="shared" si="129"/>
        <v>0.7</v>
      </c>
      <c r="P566" s="47">
        <f t="shared" si="130"/>
        <v>0.7</v>
      </c>
      <c r="Q566" s="47">
        <f t="shared" si="131"/>
        <v>785.18</v>
      </c>
      <c r="R566" s="47">
        <f t="shared" si="132"/>
        <v>785.18</v>
      </c>
      <c r="S566" s="47">
        <f t="shared" si="135"/>
        <v>0.7</v>
      </c>
      <c r="T566" s="47">
        <f t="shared" si="136"/>
        <v>0.7</v>
      </c>
      <c r="U566" s="47">
        <f t="shared" si="133"/>
        <v>549.17999999999995</v>
      </c>
      <c r="V566" s="47">
        <f t="shared" si="134"/>
        <v>549.17999999999995</v>
      </c>
      <c r="W566" s="98">
        <f t="shared" si="137"/>
        <v>549.17999999999995</v>
      </c>
      <c r="X566" s="98">
        <f t="shared" si="138"/>
        <v>0.7</v>
      </c>
      <c r="Y566" s="36"/>
      <c r="AG566" s="42" t="s">
        <v>120</v>
      </c>
      <c r="AK566" s="42" t="s">
        <v>124</v>
      </c>
      <c r="AM566" s="42" t="s">
        <v>126</v>
      </c>
      <c r="AR566" s="42" t="s">
        <v>131</v>
      </c>
    </row>
    <row r="567" spans="1:45" x14ac:dyDescent="0.3">
      <c r="A567" s="53" t="s">
        <v>280</v>
      </c>
      <c r="B567" s="107">
        <v>565</v>
      </c>
      <c r="C567" s="8" t="str">
        <f t="shared" ca="1" si="127"/>
        <v>5년 이내</v>
      </c>
      <c r="D567" s="7">
        <v>44979</v>
      </c>
      <c r="E567" s="5">
        <f t="shared" si="128"/>
        <v>2</v>
      </c>
      <c r="F567" s="1" t="s">
        <v>1</v>
      </c>
      <c r="G567" s="33" t="s">
        <v>234</v>
      </c>
      <c r="H567" s="33" t="s">
        <v>235</v>
      </c>
      <c r="I567" s="9" t="s">
        <v>99</v>
      </c>
      <c r="J567" s="2" t="s">
        <v>40</v>
      </c>
      <c r="K567" s="3" t="s">
        <v>24</v>
      </c>
      <c r="L567" s="4">
        <v>0.7</v>
      </c>
      <c r="M567" s="14">
        <v>785.18</v>
      </c>
      <c r="N567" s="16">
        <v>549.17999999999995</v>
      </c>
      <c r="O567" s="47">
        <f t="shared" si="129"/>
        <v>0.7</v>
      </c>
      <c r="P567" s="47">
        <f t="shared" si="130"/>
        <v>0.7</v>
      </c>
      <c r="Q567" s="47">
        <f t="shared" si="131"/>
        <v>785.18</v>
      </c>
      <c r="R567" s="47">
        <f t="shared" si="132"/>
        <v>785.18</v>
      </c>
      <c r="S567" s="47">
        <f t="shared" si="135"/>
        <v>0.7</v>
      </c>
      <c r="T567" s="47">
        <f t="shared" si="136"/>
        <v>0.7</v>
      </c>
      <c r="U567" s="47">
        <f t="shared" si="133"/>
        <v>549.17999999999995</v>
      </c>
      <c r="V567" s="47">
        <f t="shared" si="134"/>
        <v>549.17999999999995</v>
      </c>
      <c r="W567" s="98">
        <f t="shared" si="137"/>
        <v>549.17999999999995</v>
      </c>
      <c r="X567" s="98">
        <f t="shared" si="138"/>
        <v>0.7</v>
      </c>
      <c r="Y567" s="36"/>
      <c r="AG567" s="42" t="s">
        <v>120</v>
      </c>
      <c r="AK567" s="42" t="s">
        <v>124</v>
      </c>
      <c r="AM567" s="42" t="s">
        <v>126</v>
      </c>
      <c r="AR567" s="42" t="s">
        <v>131</v>
      </c>
    </row>
    <row r="568" spans="1:45" x14ac:dyDescent="0.3">
      <c r="A568" s="53" t="s">
        <v>280</v>
      </c>
      <c r="B568" s="107">
        <v>566</v>
      </c>
      <c r="C568" s="8" t="str">
        <f t="shared" ca="1" si="127"/>
        <v>5년 이내</v>
      </c>
      <c r="D568" s="7">
        <v>45156</v>
      </c>
      <c r="E568" s="5" t="str">
        <f t="shared" si="128"/>
        <v/>
      </c>
      <c r="F568" s="1" t="s">
        <v>1</v>
      </c>
      <c r="G568" s="33" t="s">
        <v>39</v>
      </c>
      <c r="H568" s="33" t="s">
        <v>457</v>
      </c>
      <c r="I568" s="9" t="s">
        <v>100</v>
      </c>
      <c r="J568" s="2" t="s">
        <v>4</v>
      </c>
      <c r="K568" s="3" t="s">
        <v>5</v>
      </c>
      <c r="L568" s="4">
        <v>1</v>
      </c>
      <c r="M568" s="14">
        <v>19.510000000000002</v>
      </c>
      <c r="N568" s="14">
        <v>19.510000000000002</v>
      </c>
      <c r="O568" s="47" t="str">
        <f t="shared" si="129"/>
        <v/>
      </c>
      <c r="P568" s="47" t="str">
        <f t="shared" si="130"/>
        <v/>
      </c>
      <c r="Q568" s="47" t="str">
        <f t="shared" si="131"/>
        <v/>
      </c>
      <c r="R568" s="47" t="str">
        <f t="shared" si="132"/>
        <v/>
      </c>
      <c r="S568" s="47" t="str">
        <f t="shared" si="135"/>
        <v/>
      </c>
      <c r="T568" s="47" t="str">
        <f t="shared" si="136"/>
        <v/>
      </c>
      <c r="U568" s="47" t="str">
        <f t="shared" si="133"/>
        <v/>
      </c>
      <c r="V568" s="47" t="str">
        <f t="shared" si="134"/>
        <v/>
      </c>
      <c r="W568" s="98">
        <f t="shared" si="137"/>
        <v>19.510000000000002</v>
      </c>
      <c r="X568" s="98">
        <f t="shared" si="138"/>
        <v>1</v>
      </c>
      <c r="Y568" s="36" t="s">
        <v>55</v>
      </c>
      <c r="Z568" s="42" t="s">
        <v>44</v>
      </c>
      <c r="AA568" s="42" t="s">
        <v>134</v>
      </c>
      <c r="AC568" s="42" t="s">
        <v>119</v>
      </c>
      <c r="AD568" s="42" t="s">
        <v>18</v>
      </c>
      <c r="AE568" s="42" t="s">
        <v>24</v>
      </c>
      <c r="AF568" s="42" t="s">
        <v>5</v>
      </c>
      <c r="AG568" s="42" t="s">
        <v>120</v>
      </c>
      <c r="AH568" s="42" t="s">
        <v>121</v>
      </c>
      <c r="AI568" s="42" t="s">
        <v>122</v>
      </c>
      <c r="AJ568" s="42" t="s">
        <v>123</v>
      </c>
      <c r="AK568" s="42" t="s">
        <v>124</v>
      </c>
      <c r="AL568" s="42" t="s">
        <v>125</v>
      </c>
      <c r="AM568" s="42" t="s">
        <v>126</v>
      </c>
      <c r="AN568" s="42" t="s">
        <v>127</v>
      </c>
      <c r="AP568" s="42" t="s">
        <v>129</v>
      </c>
      <c r="AR568" s="42" t="s">
        <v>131</v>
      </c>
      <c r="AS568" s="42" t="s">
        <v>132</v>
      </c>
    </row>
    <row r="569" spans="1:45" x14ac:dyDescent="0.3">
      <c r="A569" s="53" t="s">
        <v>280</v>
      </c>
      <c r="B569" s="107">
        <v>567</v>
      </c>
      <c r="C569" s="8" t="str">
        <f t="shared" ca="1" si="127"/>
        <v>5년 이내</v>
      </c>
      <c r="D569" s="7">
        <v>45156</v>
      </c>
      <c r="E569" s="5" t="str">
        <f t="shared" si="128"/>
        <v/>
      </c>
      <c r="F569" s="1" t="s">
        <v>1</v>
      </c>
      <c r="G569" s="33" t="s">
        <v>39</v>
      </c>
      <c r="H569" s="33" t="s">
        <v>456</v>
      </c>
      <c r="I569" s="9" t="s">
        <v>100</v>
      </c>
      <c r="J569" s="2" t="s">
        <v>4</v>
      </c>
      <c r="K569" s="3" t="s">
        <v>5</v>
      </c>
      <c r="L569" s="4">
        <v>1</v>
      </c>
      <c r="M569" s="14">
        <v>19.510000000000002</v>
      </c>
      <c r="N569" s="14">
        <v>19.510000000000002</v>
      </c>
      <c r="O569" s="47" t="str">
        <f t="shared" si="129"/>
        <v/>
      </c>
      <c r="P569" s="47" t="str">
        <f t="shared" si="130"/>
        <v/>
      </c>
      <c r="Q569" s="47" t="str">
        <f t="shared" si="131"/>
        <v/>
      </c>
      <c r="R569" s="47" t="str">
        <f t="shared" si="132"/>
        <v/>
      </c>
      <c r="S569" s="47" t="str">
        <f t="shared" si="135"/>
        <v/>
      </c>
      <c r="T569" s="47" t="str">
        <f t="shared" si="136"/>
        <v/>
      </c>
      <c r="U569" s="47" t="str">
        <f t="shared" si="133"/>
        <v/>
      </c>
      <c r="V569" s="47" t="str">
        <f t="shared" si="134"/>
        <v/>
      </c>
      <c r="W569" s="98">
        <f t="shared" si="137"/>
        <v>19.510000000000002</v>
      </c>
      <c r="X569" s="98">
        <f t="shared" si="138"/>
        <v>1</v>
      </c>
      <c r="Y569" s="36" t="s">
        <v>55</v>
      </c>
      <c r="Z569" s="42" t="s">
        <v>44</v>
      </c>
      <c r="AA569" s="42" t="s">
        <v>134</v>
      </c>
      <c r="AC569" s="42" t="s">
        <v>119</v>
      </c>
      <c r="AD569" s="42" t="s">
        <v>18</v>
      </c>
      <c r="AE569" s="42" t="s">
        <v>24</v>
      </c>
      <c r="AF569" s="42" t="s">
        <v>5</v>
      </c>
      <c r="AG569" s="42" t="s">
        <v>120</v>
      </c>
      <c r="AH569" s="42" t="s">
        <v>121</v>
      </c>
      <c r="AI569" s="42" t="s">
        <v>122</v>
      </c>
      <c r="AJ569" s="42" t="s">
        <v>123</v>
      </c>
      <c r="AK569" s="42" t="s">
        <v>124</v>
      </c>
      <c r="AL569" s="42" t="s">
        <v>125</v>
      </c>
      <c r="AM569" s="42" t="s">
        <v>126</v>
      </c>
      <c r="AN569" s="42" t="s">
        <v>127</v>
      </c>
      <c r="AP569" s="42" t="s">
        <v>129</v>
      </c>
      <c r="AR569" s="42" t="s">
        <v>131</v>
      </c>
      <c r="AS569" s="42" t="s">
        <v>132</v>
      </c>
    </row>
    <row r="570" spans="1:45" x14ac:dyDescent="0.3">
      <c r="A570" s="53" t="s">
        <v>280</v>
      </c>
      <c r="B570" s="107">
        <v>568</v>
      </c>
      <c r="C570" s="8" t="str">
        <f t="shared" ca="1" si="127"/>
        <v>5년 이내</v>
      </c>
      <c r="D570" s="7">
        <v>45156</v>
      </c>
      <c r="E570" s="5" t="str">
        <f t="shared" si="128"/>
        <v/>
      </c>
      <c r="F570" s="1" t="s">
        <v>1</v>
      </c>
      <c r="G570" s="33" t="s">
        <v>236</v>
      </c>
      <c r="H570" s="33" t="s">
        <v>236</v>
      </c>
      <c r="I570" s="9" t="s">
        <v>100</v>
      </c>
      <c r="J570" s="2" t="s">
        <v>4</v>
      </c>
      <c r="K570" s="3" t="s">
        <v>5</v>
      </c>
      <c r="L570" s="4">
        <v>1</v>
      </c>
      <c r="M570" s="14">
        <v>19.510000000000002</v>
      </c>
      <c r="N570" s="14">
        <v>19.510000000000002</v>
      </c>
      <c r="O570" s="47" t="str">
        <f t="shared" si="129"/>
        <v/>
      </c>
      <c r="P570" s="47" t="str">
        <f t="shared" si="130"/>
        <v/>
      </c>
      <c r="Q570" s="47" t="str">
        <f t="shared" si="131"/>
        <v/>
      </c>
      <c r="R570" s="47" t="str">
        <f t="shared" si="132"/>
        <v/>
      </c>
      <c r="S570" s="47" t="str">
        <f t="shared" si="135"/>
        <v/>
      </c>
      <c r="T570" s="47" t="str">
        <f t="shared" si="136"/>
        <v/>
      </c>
      <c r="U570" s="47" t="str">
        <f t="shared" si="133"/>
        <v/>
      </c>
      <c r="V570" s="47" t="str">
        <f t="shared" si="134"/>
        <v/>
      </c>
      <c r="W570" s="98">
        <f t="shared" si="137"/>
        <v>19.510000000000002</v>
      </c>
      <c r="X570" s="98">
        <f t="shared" si="138"/>
        <v>1</v>
      </c>
      <c r="Y570" s="36" t="s">
        <v>55</v>
      </c>
      <c r="Z570" s="42" t="s">
        <v>44</v>
      </c>
      <c r="AA570" s="42" t="s">
        <v>134</v>
      </c>
      <c r="AC570" s="42" t="s">
        <v>119</v>
      </c>
      <c r="AD570" s="42" t="s">
        <v>18</v>
      </c>
      <c r="AE570" s="42" t="s">
        <v>24</v>
      </c>
      <c r="AF570" s="42" t="s">
        <v>5</v>
      </c>
      <c r="AG570" s="42" t="s">
        <v>120</v>
      </c>
      <c r="AH570" s="42" t="s">
        <v>121</v>
      </c>
      <c r="AI570" s="42" t="s">
        <v>122</v>
      </c>
      <c r="AJ570" s="42" t="s">
        <v>123</v>
      </c>
      <c r="AK570" s="42" t="s">
        <v>124</v>
      </c>
      <c r="AL570" s="42" t="s">
        <v>125</v>
      </c>
      <c r="AM570" s="42" t="s">
        <v>126</v>
      </c>
      <c r="AN570" s="42" t="s">
        <v>127</v>
      </c>
      <c r="AP570" s="42" t="s">
        <v>129</v>
      </c>
      <c r="AR570" s="42" t="s">
        <v>131</v>
      </c>
      <c r="AS570" s="42" t="s">
        <v>132</v>
      </c>
    </row>
    <row r="571" spans="1:45" x14ac:dyDescent="0.3">
      <c r="A571" s="53" t="s">
        <v>280</v>
      </c>
      <c r="B571" s="107">
        <v>569</v>
      </c>
      <c r="C571" s="8" t="str">
        <f t="shared" ca="1" si="127"/>
        <v>5년 이내</v>
      </c>
      <c r="D571" s="7">
        <v>45217</v>
      </c>
      <c r="E571" s="5" t="str">
        <f t="shared" si="128"/>
        <v/>
      </c>
      <c r="F571" s="1" t="s">
        <v>1</v>
      </c>
      <c r="G571" s="33" t="s">
        <v>39</v>
      </c>
      <c r="H571" s="33" t="s">
        <v>101</v>
      </c>
      <c r="I571" s="9" t="s">
        <v>65</v>
      </c>
      <c r="J571" s="2" t="s">
        <v>4</v>
      </c>
      <c r="K571" s="3" t="s">
        <v>5</v>
      </c>
      <c r="L571" s="4">
        <v>1</v>
      </c>
      <c r="M571" s="14">
        <v>19.75</v>
      </c>
      <c r="N571" s="14">
        <v>19.75</v>
      </c>
      <c r="O571" s="47" t="str">
        <f t="shared" si="129"/>
        <v/>
      </c>
      <c r="P571" s="47" t="str">
        <f t="shared" si="130"/>
        <v/>
      </c>
      <c r="Q571" s="47" t="str">
        <f t="shared" si="131"/>
        <v/>
      </c>
      <c r="R571" s="47" t="str">
        <f t="shared" si="132"/>
        <v/>
      </c>
      <c r="S571" s="47" t="str">
        <f t="shared" si="135"/>
        <v/>
      </c>
      <c r="T571" s="47" t="str">
        <f t="shared" si="136"/>
        <v/>
      </c>
      <c r="U571" s="47" t="str">
        <f t="shared" si="133"/>
        <v/>
      </c>
      <c r="V571" s="47" t="str">
        <f t="shared" si="134"/>
        <v/>
      </c>
      <c r="W571" s="98">
        <f t="shared" si="137"/>
        <v>19.75</v>
      </c>
      <c r="X571" s="98">
        <f t="shared" si="138"/>
        <v>1</v>
      </c>
      <c r="Y571" s="36" t="s">
        <v>66</v>
      </c>
      <c r="Z571" s="42" t="s">
        <v>44</v>
      </c>
      <c r="AA571" s="42" t="s">
        <v>134</v>
      </c>
      <c r="AC571" s="42" t="s">
        <v>119</v>
      </c>
      <c r="AD571" s="42" t="s">
        <v>18</v>
      </c>
      <c r="AE571" s="42" t="s">
        <v>24</v>
      </c>
      <c r="AF571" s="42" t="s">
        <v>5</v>
      </c>
      <c r="AG571" s="42" t="s">
        <v>120</v>
      </c>
      <c r="AH571" s="42" t="s">
        <v>121</v>
      </c>
      <c r="AI571" s="42" t="s">
        <v>122</v>
      </c>
      <c r="AJ571" s="42" t="s">
        <v>123</v>
      </c>
      <c r="AK571" s="42" t="s">
        <v>124</v>
      </c>
      <c r="AL571" s="42" t="s">
        <v>125</v>
      </c>
      <c r="AM571" s="42" t="s">
        <v>126</v>
      </c>
      <c r="AN571" s="42" t="s">
        <v>127</v>
      </c>
      <c r="AP571" s="42" t="s">
        <v>129</v>
      </c>
      <c r="AR571" s="42" t="s">
        <v>131</v>
      </c>
      <c r="AS571" s="42" t="s">
        <v>132</v>
      </c>
    </row>
    <row r="572" spans="1:45" x14ac:dyDescent="0.3">
      <c r="A572" s="53" t="s">
        <v>280</v>
      </c>
      <c r="B572" s="107">
        <v>570</v>
      </c>
      <c r="C572" s="8" t="str">
        <f t="shared" ca="1" si="127"/>
        <v>5년 이내</v>
      </c>
      <c r="D572" s="7">
        <v>45217</v>
      </c>
      <c r="E572" s="5" t="str">
        <f t="shared" si="128"/>
        <v/>
      </c>
      <c r="F572" s="1" t="s">
        <v>1</v>
      </c>
      <c r="G572" s="33" t="s">
        <v>39</v>
      </c>
      <c r="H572" s="33" t="s">
        <v>47</v>
      </c>
      <c r="I572" s="9" t="s">
        <v>65</v>
      </c>
      <c r="J572" s="2" t="s">
        <v>4</v>
      </c>
      <c r="K572" s="3" t="s">
        <v>5</v>
      </c>
      <c r="L572" s="4">
        <v>1</v>
      </c>
      <c r="M572" s="14">
        <v>19.75</v>
      </c>
      <c r="N572" s="14">
        <v>19.75</v>
      </c>
      <c r="O572" s="47" t="str">
        <f t="shared" si="129"/>
        <v/>
      </c>
      <c r="P572" s="47" t="str">
        <f t="shared" si="130"/>
        <v/>
      </c>
      <c r="Q572" s="47" t="str">
        <f t="shared" si="131"/>
        <v/>
      </c>
      <c r="R572" s="47" t="str">
        <f t="shared" si="132"/>
        <v/>
      </c>
      <c r="S572" s="47" t="str">
        <f t="shared" si="135"/>
        <v/>
      </c>
      <c r="T572" s="47" t="str">
        <f t="shared" si="136"/>
        <v/>
      </c>
      <c r="U572" s="47" t="str">
        <f t="shared" si="133"/>
        <v/>
      </c>
      <c r="V572" s="47" t="str">
        <f t="shared" si="134"/>
        <v/>
      </c>
      <c r="W572" s="98">
        <f t="shared" si="137"/>
        <v>19.75</v>
      </c>
      <c r="X572" s="98">
        <f t="shared" si="138"/>
        <v>1</v>
      </c>
      <c r="Y572" s="36"/>
      <c r="Z572" s="42" t="s">
        <v>44</v>
      </c>
      <c r="AA572" s="42" t="s">
        <v>134</v>
      </c>
      <c r="AC572" s="42" t="s">
        <v>119</v>
      </c>
      <c r="AD572" s="42" t="s">
        <v>18</v>
      </c>
      <c r="AE572" s="42" t="s">
        <v>24</v>
      </c>
      <c r="AF572" s="42" t="s">
        <v>5</v>
      </c>
      <c r="AG572" s="42" t="s">
        <v>120</v>
      </c>
      <c r="AH572" s="42" t="s">
        <v>121</v>
      </c>
      <c r="AI572" s="42" t="s">
        <v>122</v>
      </c>
      <c r="AJ572" s="42" t="s">
        <v>123</v>
      </c>
      <c r="AK572" s="42" t="s">
        <v>124</v>
      </c>
      <c r="AL572" s="42" t="s">
        <v>125</v>
      </c>
      <c r="AM572" s="42" t="s">
        <v>126</v>
      </c>
      <c r="AN572" s="42" t="s">
        <v>127</v>
      </c>
      <c r="AP572" s="42" t="s">
        <v>129</v>
      </c>
      <c r="AR572" s="42" t="s">
        <v>131</v>
      </c>
      <c r="AS572" s="42" t="s">
        <v>132</v>
      </c>
    </row>
    <row r="573" spans="1:45" x14ac:dyDescent="0.3">
      <c r="A573" s="53" t="s">
        <v>280</v>
      </c>
      <c r="B573" s="107">
        <v>571</v>
      </c>
      <c r="C573" s="8" t="str">
        <f t="shared" ca="1" si="127"/>
        <v>5년 이내</v>
      </c>
      <c r="D573" s="7">
        <v>45217</v>
      </c>
      <c r="E573" s="5" t="str">
        <f t="shared" si="128"/>
        <v/>
      </c>
      <c r="F573" s="1" t="s">
        <v>1</v>
      </c>
      <c r="G573" s="33" t="s">
        <v>39</v>
      </c>
      <c r="H573" s="33" t="s">
        <v>160</v>
      </c>
      <c r="I573" s="9" t="s">
        <v>65</v>
      </c>
      <c r="J573" s="2" t="s">
        <v>4</v>
      </c>
      <c r="K573" s="3" t="s">
        <v>5</v>
      </c>
      <c r="L573" s="4">
        <v>1</v>
      </c>
      <c r="M573" s="14">
        <v>19.75</v>
      </c>
      <c r="N573" s="14">
        <v>19.75</v>
      </c>
      <c r="O573" s="47" t="str">
        <f t="shared" si="129"/>
        <v/>
      </c>
      <c r="P573" s="47" t="str">
        <f t="shared" si="130"/>
        <v/>
      </c>
      <c r="Q573" s="47" t="str">
        <f t="shared" si="131"/>
        <v/>
      </c>
      <c r="R573" s="47" t="str">
        <f t="shared" si="132"/>
        <v/>
      </c>
      <c r="S573" s="47" t="str">
        <f t="shared" si="135"/>
        <v/>
      </c>
      <c r="T573" s="47" t="str">
        <f t="shared" si="136"/>
        <v/>
      </c>
      <c r="U573" s="47" t="str">
        <f t="shared" si="133"/>
        <v/>
      </c>
      <c r="V573" s="47" t="str">
        <f t="shared" si="134"/>
        <v/>
      </c>
      <c r="W573" s="98">
        <f t="shared" si="137"/>
        <v>19.75</v>
      </c>
      <c r="X573" s="98">
        <f t="shared" si="138"/>
        <v>1</v>
      </c>
      <c r="Y573" s="36" t="s">
        <v>76</v>
      </c>
      <c r="Z573" s="42" t="s">
        <v>44</v>
      </c>
      <c r="AA573" s="42" t="s">
        <v>134</v>
      </c>
      <c r="AC573" s="42" t="s">
        <v>119</v>
      </c>
      <c r="AD573" s="42" t="s">
        <v>18</v>
      </c>
      <c r="AE573" s="42" t="s">
        <v>24</v>
      </c>
      <c r="AF573" s="42" t="s">
        <v>5</v>
      </c>
      <c r="AG573" s="42" t="s">
        <v>120</v>
      </c>
      <c r="AH573" s="42" t="s">
        <v>121</v>
      </c>
      <c r="AI573" s="42" t="s">
        <v>122</v>
      </c>
      <c r="AJ573" s="42" t="s">
        <v>123</v>
      </c>
      <c r="AK573" s="42" t="s">
        <v>124</v>
      </c>
      <c r="AL573" s="42" t="s">
        <v>125</v>
      </c>
      <c r="AM573" s="42" t="s">
        <v>126</v>
      </c>
      <c r="AN573" s="42" t="s">
        <v>127</v>
      </c>
      <c r="AP573" s="42" t="s">
        <v>129</v>
      </c>
      <c r="AR573" s="42" t="s">
        <v>131</v>
      </c>
      <c r="AS573" s="42" t="s">
        <v>132</v>
      </c>
    </row>
    <row r="574" spans="1:45" x14ac:dyDescent="0.3">
      <c r="A574" s="53" t="s">
        <v>280</v>
      </c>
      <c r="B574" s="107">
        <v>572</v>
      </c>
      <c r="C574" s="8" t="str">
        <f t="shared" ca="1" si="127"/>
        <v>5년 이내</v>
      </c>
      <c r="D574" s="7">
        <v>45217</v>
      </c>
      <c r="E574" s="5" t="str">
        <f t="shared" si="128"/>
        <v/>
      </c>
      <c r="F574" s="1" t="s">
        <v>1</v>
      </c>
      <c r="G574" s="33" t="s">
        <v>68</v>
      </c>
      <c r="H574" s="33" t="s">
        <v>75</v>
      </c>
      <c r="I574" s="9" t="s">
        <v>65</v>
      </c>
      <c r="J574" s="2" t="s">
        <v>4</v>
      </c>
      <c r="K574" s="3" t="s">
        <v>5</v>
      </c>
      <c r="L574" s="4">
        <v>1</v>
      </c>
      <c r="M574" s="14">
        <v>19.75</v>
      </c>
      <c r="N574" s="14">
        <v>19.75</v>
      </c>
      <c r="O574" s="47" t="str">
        <f t="shared" si="129"/>
        <v/>
      </c>
      <c r="P574" s="47" t="str">
        <f t="shared" si="130"/>
        <v/>
      </c>
      <c r="Q574" s="47" t="str">
        <f t="shared" si="131"/>
        <v/>
      </c>
      <c r="R574" s="47" t="str">
        <f t="shared" si="132"/>
        <v/>
      </c>
      <c r="S574" s="47" t="str">
        <f t="shared" si="135"/>
        <v/>
      </c>
      <c r="T574" s="47" t="str">
        <f t="shared" si="136"/>
        <v/>
      </c>
      <c r="U574" s="47" t="str">
        <f t="shared" si="133"/>
        <v/>
      </c>
      <c r="V574" s="47" t="str">
        <f t="shared" si="134"/>
        <v/>
      </c>
      <c r="W574" s="98">
        <f t="shared" si="137"/>
        <v>19.75</v>
      </c>
      <c r="X574" s="98">
        <f t="shared" si="138"/>
        <v>1</v>
      </c>
      <c r="Y574" s="36"/>
      <c r="Z574" s="42" t="s">
        <v>44</v>
      </c>
      <c r="AA574" s="42" t="s">
        <v>134</v>
      </c>
      <c r="AC574" s="42" t="s">
        <v>119</v>
      </c>
      <c r="AD574" s="42" t="s">
        <v>18</v>
      </c>
      <c r="AE574" s="42" t="s">
        <v>24</v>
      </c>
      <c r="AF574" s="42" t="s">
        <v>5</v>
      </c>
      <c r="AG574" s="42" t="s">
        <v>120</v>
      </c>
      <c r="AH574" s="42" t="s">
        <v>121</v>
      </c>
      <c r="AI574" s="42" t="s">
        <v>122</v>
      </c>
      <c r="AJ574" s="42" t="s">
        <v>123</v>
      </c>
      <c r="AK574" s="42" t="s">
        <v>124</v>
      </c>
      <c r="AL574" s="42" t="s">
        <v>125</v>
      </c>
      <c r="AM574" s="42" t="s">
        <v>126</v>
      </c>
      <c r="AN574" s="42" t="s">
        <v>127</v>
      </c>
      <c r="AP574" s="42" t="s">
        <v>129</v>
      </c>
      <c r="AR574" s="42" t="s">
        <v>131</v>
      </c>
      <c r="AS574" s="42" t="s">
        <v>132</v>
      </c>
    </row>
    <row r="575" spans="1:45" x14ac:dyDescent="0.3">
      <c r="A575" s="53" t="s">
        <v>280</v>
      </c>
      <c r="B575" s="107">
        <v>573</v>
      </c>
      <c r="C575" s="8" t="str">
        <f t="shared" ref="C575:C638" ca="1" si="139">IF(TODAY()-10*365&gt;D575,"10년 초과",IF(TODAY()-5*365&gt;D575,"10년~5년 사이","5년 이내"))</f>
        <v>5년 이내</v>
      </c>
      <c r="D575" s="7">
        <v>45217</v>
      </c>
      <c r="E575" s="5" t="str">
        <f t="shared" ref="E575:E624" si="140">IF((N575&gt;200),2,IF(N575&gt;100,1,IF((N575&lt;99.9),"")))</f>
        <v/>
      </c>
      <c r="F575" s="1" t="s">
        <v>1</v>
      </c>
      <c r="G575" s="33" t="s">
        <v>17</v>
      </c>
      <c r="H575" s="33" t="s">
        <v>137</v>
      </c>
      <c r="I575" s="9" t="s">
        <v>65</v>
      </c>
      <c r="J575" s="2" t="s">
        <v>4</v>
      </c>
      <c r="K575" s="3" t="s">
        <v>5</v>
      </c>
      <c r="L575" s="4">
        <v>1</v>
      </c>
      <c r="M575" s="14">
        <v>19.75</v>
      </c>
      <c r="N575" s="14">
        <v>19.75</v>
      </c>
      <c r="O575" s="47" t="str">
        <f t="shared" si="129"/>
        <v/>
      </c>
      <c r="P575" s="47" t="str">
        <f t="shared" si="130"/>
        <v/>
      </c>
      <c r="Q575" s="47" t="str">
        <f t="shared" si="131"/>
        <v/>
      </c>
      <c r="R575" s="47" t="str">
        <f t="shared" si="132"/>
        <v/>
      </c>
      <c r="S575" s="47" t="str">
        <f t="shared" si="135"/>
        <v/>
      </c>
      <c r="T575" s="47" t="str">
        <f t="shared" si="136"/>
        <v/>
      </c>
      <c r="U575" s="47" t="str">
        <f t="shared" si="133"/>
        <v/>
      </c>
      <c r="V575" s="47" t="str">
        <f t="shared" si="134"/>
        <v/>
      </c>
      <c r="W575" s="98">
        <f t="shared" si="137"/>
        <v>19.75</v>
      </c>
      <c r="X575" s="98">
        <f t="shared" si="138"/>
        <v>1</v>
      </c>
      <c r="Y575" s="36" t="s">
        <v>226</v>
      </c>
      <c r="Z575" s="42" t="s">
        <v>44</v>
      </c>
      <c r="AA575" s="42" t="s">
        <v>134</v>
      </c>
      <c r="AC575" s="42" t="s">
        <v>119</v>
      </c>
      <c r="AD575" s="42" t="s">
        <v>18</v>
      </c>
      <c r="AE575" s="42" t="s">
        <v>24</v>
      </c>
      <c r="AF575" s="42" t="s">
        <v>5</v>
      </c>
      <c r="AG575" s="42" t="s">
        <v>120</v>
      </c>
      <c r="AH575" s="42" t="s">
        <v>121</v>
      </c>
      <c r="AI575" s="42" t="s">
        <v>122</v>
      </c>
      <c r="AJ575" s="42" t="s">
        <v>123</v>
      </c>
      <c r="AK575" s="42" t="s">
        <v>124</v>
      </c>
      <c r="AL575" s="42" t="s">
        <v>125</v>
      </c>
      <c r="AM575" s="42" t="s">
        <v>126</v>
      </c>
      <c r="AN575" s="42" t="s">
        <v>127</v>
      </c>
      <c r="AP575" s="42" t="s">
        <v>129</v>
      </c>
      <c r="AR575" s="42" t="s">
        <v>131</v>
      </c>
      <c r="AS575" s="42" t="s">
        <v>132</v>
      </c>
    </row>
    <row r="576" spans="1:45" x14ac:dyDescent="0.3">
      <c r="A576" s="53" t="s">
        <v>280</v>
      </c>
      <c r="B576" s="107">
        <v>574</v>
      </c>
      <c r="C576" s="8" t="str">
        <f t="shared" ca="1" si="139"/>
        <v>5년 이내</v>
      </c>
      <c r="D576" s="7">
        <v>45217</v>
      </c>
      <c r="E576" s="5" t="str">
        <f t="shared" si="140"/>
        <v/>
      </c>
      <c r="F576" s="1" t="s">
        <v>1</v>
      </c>
      <c r="G576" s="33" t="s">
        <v>241</v>
      </c>
      <c r="H576" s="33" t="s">
        <v>114</v>
      </c>
      <c r="I576" s="9" t="s">
        <v>65</v>
      </c>
      <c r="J576" s="2" t="s">
        <v>4</v>
      </c>
      <c r="K576" s="3" t="s">
        <v>5</v>
      </c>
      <c r="L576" s="4">
        <v>1</v>
      </c>
      <c r="M576" s="14">
        <v>19.75</v>
      </c>
      <c r="N576" s="14">
        <v>19.75</v>
      </c>
      <c r="O576" s="47" t="str">
        <f t="shared" si="129"/>
        <v/>
      </c>
      <c r="P576" s="47" t="str">
        <f t="shared" si="130"/>
        <v/>
      </c>
      <c r="Q576" s="47" t="str">
        <f t="shared" si="131"/>
        <v/>
      </c>
      <c r="R576" s="47" t="str">
        <f t="shared" si="132"/>
        <v/>
      </c>
      <c r="S576" s="47" t="str">
        <f t="shared" si="135"/>
        <v/>
      </c>
      <c r="T576" s="47" t="str">
        <f t="shared" si="136"/>
        <v/>
      </c>
      <c r="U576" s="47" t="str">
        <f t="shared" si="133"/>
        <v/>
      </c>
      <c r="V576" s="47" t="str">
        <f t="shared" si="134"/>
        <v/>
      </c>
      <c r="W576" s="98">
        <f t="shared" si="137"/>
        <v>19.75</v>
      </c>
      <c r="X576" s="98">
        <f t="shared" si="138"/>
        <v>1</v>
      </c>
      <c r="Y576" s="36" t="s">
        <v>76</v>
      </c>
      <c r="Z576" s="42" t="s">
        <v>44</v>
      </c>
      <c r="AA576" s="42" t="s">
        <v>134</v>
      </c>
      <c r="AC576" s="42" t="s">
        <v>119</v>
      </c>
      <c r="AD576" s="42" t="s">
        <v>18</v>
      </c>
      <c r="AE576" s="42" t="s">
        <v>24</v>
      </c>
      <c r="AF576" s="42" t="s">
        <v>5</v>
      </c>
      <c r="AG576" s="42" t="s">
        <v>120</v>
      </c>
      <c r="AH576" s="42" t="s">
        <v>121</v>
      </c>
      <c r="AI576" s="42" t="s">
        <v>122</v>
      </c>
      <c r="AJ576" s="42" t="s">
        <v>123</v>
      </c>
      <c r="AK576" s="42" t="s">
        <v>124</v>
      </c>
      <c r="AL576" s="42" t="s">
        <v>125</v>
      </c>
      <c r="AM576" s="42" t="s">
        <v>126</v>
      </c>
      <c r="AN576" s="42" t="s">
        <v>127</v>
      </c>
      <c r="AP576" s="42" t="s">
        <v>129</v>
      </c>
      <c r="AR576" s="42" t="s">
        <v>131</v>
      </c>
      <c r="AS576" s="42" t="s">
        <v>132</v>
      </c>
    </row>
    <row r="577" spans="1:46" x14ac:dyDescent="0.3">
      <c r="A577" s="53" t="s">
        <v>280</v>
      </c>
      <c r="B577" s="107">
        <v>575</v>
      </c>
      <c r="C577" s="8" t="str">
        <f t="shared" ca="1" si="139"/>
        <v>5년 이내</v>
      </c>
      <c r="D577" s="7">
        <v>45219</v>
      </c>
      <c r="E577" s="5">
        <f t="shared" si="140"/>
        <v>1</v>
      </c>
      <c r="F577" s="1" t="s">
        <v>1</v>
      </c>
      <c r="G577" s="33" t="s">
        <v>102</v>
      </c>
      <c r="H577" s="33" t="s">
        <v>103</v>
      </c>
      <c r="I577" s="9" t="s">
        <v>64</v>
      </c>
      <c r="J577" s="2" t="s">
        <v>4</v>
      </c>
      <c r="K577" s="3" t="s">
        <v>5</v>
      </c>
      <c r="L577" s="4">
        <v>0.7</v>
      </c>
      <c r="M577" s="14">
        <v>253.33</v>
      </c>
      <c r="N577" s="16">
        <v>177.33099999999999</v>
      </c>
      <c r="O577" s="47">
        <f t="shared" si="129"/>
        <v>0.7</v>
      </c>
      <c r="P577" s="47">
        <f t="shared" si="130"/>
        <v>0.7</v>
      </c>
      <c r="Q577" s="47">
        <f t="shared" si="131"/>
        <v>253.33</v>
      </c>
      <c r="R577" s="47">
        <f t="shared" si="132"/>
        <v>253.33</v>
      </c>
      <c r="S577" s="47">
        <f t="shared" si="135"/>
        <v>0.7</v>
      </c>
      <c r="T577" s="47" t="str">
        <f t="shared" si="136"/>
        <v/>
      </c>
      <c r="U577" s="47">
        <f t="shared" si="133"/>
        <v>177.33099999999999</v>
      </c>
      <c r="V577" s="47" t="str">
        <f t="shared" si="134"/>
        <v/>
      </c>
      <c r="W577" s="98">
        <f t="shared" si="137"/>
        <v>177.33099999999999</v>
      </c>
      <c r="X577" s="98">
        <f t="shared" si="138"/>
        <v>0.7</v>
      </c>
      <c r="Y577" s="36"/>
      <c r="AF577" s="42" t="s">
        <v>5</v>
      </c>
      <c r="AS577" s="42" t="s">
        <v>132</v>
      </c>
    </row>
    <row r="578" spans="1:46" x14ac:dyDescent="0.3">
      <c r="A578" s="53" t="s">
        <v>280</v>
      </c>
      <c r="B578" s="107">
        <v>576</v>
      </c>
      <c r="C578" s="8" t="str">
        <f t="shared" ca="1" si="139"/>
        <v>5년 이내</v>
      </c>
      <c r="D578" s="7">
        <v>45219</v>
      </c>
      <c r="E578" s="5">
        <f t="shared" si="140"/>
        <v>1</v>
      </c>
      <c r="F578" s="1" t="s">
        <v>1</v>
      </c>
      <c r="G578" s="33" t="s">
        <v>10</v>
      </c>
      <c r="H578" s="33" t="s">
        <v>48</v>
      </c>
      <c r="I578" s="9" t="s">
        <v>64</v>
      </c>
      <c r="J578" s="2" t="s">
        <v>4</v>
      </c>
      <c r="K578" s="3" t="s">
        <v>5</v>
      </c>
      <c r="L578" s="4">
        <v>0.7</v>
      </c>
      <c r="M578" s="14">
        <v>253.33</v>
      </c>
      <c r="N578" s="16">
        <v>177.33099999999999</v>
      </c>
      <c r="O578" s="47">
        <f t="shared" si="129"/>
        <v>0.7</v>
      </c>
      <c r="P578" s="47">
        <f t="shared" si="130"/>
        <v>0.7</v>
      </c>
      <c r="Q578" s="47">
        <f t="shared" si="131"/>
        <v>253.33</v>
      </c>
      <c r="R578" s="47">
        <f t="shared" si="132"/>
        <v>253.33</v>
      </c>
      <c r="S578" s="47">
        <f t="shared" si="135"/>
        <v>0.7</v>
      </c>
      <c r="T578" s="47" t="str">
        <f t="shared" si="136"/>
        <v/>
      </c>
      <c r="U578" s="47">
        <f t="shared" si="133"/>
        <v>177.33099999999999</v>
      </c>
      <c r="V578" s="47" t="str">
        <f t="shared" si="134"/>
        <v/>
      </c>
      <c r="W578" s="98">
        <f t="shared" si="137"/>
        <v>177.33099999999999</v>
      </c>
      <c r="X578" s="98">
        <f t="shared" si="138"/>
        <v>0.7</v>
      </c>
      <c r="Y578" s="36"/>
      <c r="AF578" s="42" t="s">
        <v>5</v>
      </c>
      <c r="AS578" s="42" t="s">
        <v>132</v>
      </c>
    </row>
    <row r="579" spans="1:46" x14ac:dyDescent="0.3">
      <c r="A579" s="53" t="s">
        <v>280</v>
      </c>
      <c r="B579" s="107">
        <v>577</v>
      </c>
      <c r="C579" s="8" t="str">
        <f t="shared" ca="1" si="139"/>
        <v>5년 이내</v>
      </c>
      <c r="D579" s="7">
        <v>45219</v>
      </c>
      <c r="E579" s="5">
        <f t="shared" si="140"/>
        <v>1</v>
      </c>
      <c r="F579" s="1" t="s">
        <v>1</v>
      </c>
      <c r="G579" s="33" t="s">
        <v>104</v>
      </c>
      <c r="H579" s="33" t="s">
        <v>105</v>
      </c>
      <c r="I579" s="9" t="s">
        <v>64</v>
      </c>
      <c r="J579" s="2" t="s">
        <v>4</v>
      </c>
      <c r="K579" s="3" t="s">
        <v>5</v>
      </c>
      <c r="L579" s="4">
        <v>0.7</v>
      </c>
      <c r="M579" s="14">
        <v>253.33</v>
      </c>
      <c r="N579" s="16">
        <v>177.33099999999999</v>
      </c>
      <c r="O579" s="47">
        <f t="shared" si="129"/>
        <v>0.7</v>
      </c>
      <c r="P579" s="47">
        <f t="shared" si="130"/>
        <v>0.7</v>
      </c>
      <c r="Q579" s="47">
        <f t="shared" si="131"/>
        <v>253.33</v>
      </c>
      <c r="R579" s="47">
        <f t="shared" si="132"/>
        <v>253.33</v>
      </c>
      <c r="S579" s="47">
        <f t="shared" si="135"/>
        <v>0.7</v>
      </c>
      <c r="T579" s="47" t="str">
        <f t="shared" si="136"/>
        <v/>
      </c>
      <c r="U579" s="47">
        <f t="shared" si="133"/>
        <v>177.33099999999999</v>
      </c>
      <c r="V579" s="47" t="str">
        <f t="shared" si="134"/>
        <v/>
      </c>
      <c r="W579" s="98">
        <f t="shared" si="137"/>
        <v>177.33099999999999</v>
      </c>
      <c r="X579" s="98">
        <f t="shared" si="138"/>
        <v>0.7</v>
      </c>
      <c r="Y579" s="36"/>
      <c r="AF579" s="42" t="s">
        <v>5</v>
      </c>
      <c r="AS579" s="42" t="s">
        <v>132</v>
      </c>
    </row>
    <row r="580" spans="1:46" x14ac:dyDescent="0.3">
      <c r="A580" s="53" t="s">
        <v>280</v>
      </c>
      <c r="B580" s="107">
        <v>578</v>
      </c>
      <c r="C580" s="8" t="str">
        <f t="shared" ca="1" si="139"/>
        <v>5년 이내</v>
      </c>
      <c r="D580" s="7">
        <v>45219</v>
      </c>
      <c r="E580" s="5">
        <f t="shared" si="140"/>
        <v>1</v>
      </c>
      <c r="F580" s="1" t="s">
        <v>1</v>
      </c>
      <c r="G580" s="33" t="s">
        <v>39</v>
      </c>
      <c r="H580" s="33" t="s">
        <v>55</v>
      </c>
      <c r="I580" s="9" t="s">
        <v>64</v>
      </c>
      <c r="J580" s="2" t="s">
        <v>4</v>
      </c>
      <c r="K580" s="3" t="s">
        <v>5</v>
      </c>
      <c r="L580" s="4">
        <v>0.7</v>
      </c>
      <c r="M580" s="14">
        <v>253.33</v>
      </c>
      <c r="N580" s="16">
        <v>177.33099999999999</v>
      </c>
      <c r="O580" s="47">
        <f t="shared" si="129"/>
        <v>0.7</v>
      </c>
      <c r="P580" s="47">
        <f t="shared" si="130"/>
        <v>0.7</v>
      </c>
      <c r="Q580" s="47">
        <f t="shared" si="131"/>
        <v>253.33</v>
      </c>
      <c r="R580" s="47">
        <f t="shared" si="132"/>
        <v>253.33</v>
      </c>
      <c r="S580" s="47">
        <f t="shared" si="135"/>
        <v>0.7</v>
      </c>
      <c r="T580" s="47" t="str">
        <f t="shared" si="136"/>
        <v/>
      </c>
      <c r="U580" s="47">
        <f t="shared" si="133"/>
        <v>177.33099999999999</v>
      </c>
      <c r="V580" s="47" t="str">
        <f t="shared" si="134"/>
        <v/>
      </c>
      <c r="W580" s="98">
        <f t="shared" si="137"/>
        <v>177.33099999999999</v>
      </c>
      <c r="X580" s="98">
        <f t="shared" si="138"/>
        <v>0.7</v>
      </c>
      <c r="Y580" s="36"/>
      <c r="AF580" s="42" t="s">
        <v>5</v>
      </c>
      <c r="AS580" s="42" t="s">
        <v>132</v>
      </c>
    </row>
    <row r="581" spans="1:46" x14ac:dyDescent="0.3">
      <c r="A581" s="53" t="s">
        <v>280</v>
      </c>
      <c r="B581" s="107">
        <v>579</v>
      </c>
      <c r="C581" s="8" t="str">
        <f t="shared" ca="1" si="139"/>
        <v>5년 이내</v>
      </c>
      <c r="D581" s="7">
        <v>45219</v>
      </c>
      <c r="E581" s="5">
        <f t="shared" si="140"/>
        <v>1</v>
      </c>
      <c r="F581" s="1" t="s">
        <v>1</v>
      </c>
      <c r="G581" s="33" t="s">
        <v>39</v>
      </c>
      <c r="H581" s="33" t="s">
        <v>160</v>
      </c>
      <c r="I581" s="9" t="s">
        <v>64</v>
      </c>
      <c r="J581" s="2" t="s">
        <v>4</v>
      </c>
      <c r="K581" s="3" t="s">
        <v>5</v>
      </c>
      <c r="L581" s="4">
        <v>0.7</v>
      </c>
      <c r="M581" s="14">
        <v>253.33</v>
      </c>
      <c r="N581" s="16">
        <v>177.33099999999999</v>
      </c>
      <c r="O581" s="47">
        <f t="shared" ref="O581:O647" si="141">IF(M581&gt;100,L581,"")</f>
        <v>0.7</v>
      </c>
      <c r="P581" s="47">
        <f t="shared" ref="P581:P647" si="142">IF(M581&gt;200,L581,"")</f>
        <v>0.7</v>
      </c>
      <c r="Q581" s="47">
        <f t="shared" ref="Q581:Q647" si="143">IF(M581&gt;100,M581,"")</f>
        <v>253.33</v>
      </c>
      <c r="R581" s="47">
        <f t="shared" ref="R581:R647" si="144">IF(M581&gt;200,M581,"")</f>
        <v>253.33</v>
      </c>
      <c r="S581" s="47">
        <f t="shared" si="135"/>
        <v>0.7</v>
      </c>
      <c r="T581" s="47" t="str">
        <f t="shared" si="136"/>
        <v/>
      </c>
      <c r="U581" s="47">
        <f t="shared" ref="U581:U647" si="145">IF(N581&gt;100,N581,"")</f>
        <v>177.33099999999999</v>
      </c>
      <c r="V581" s="47" t="str">
        <f t="shared" ref="V581:V647" si="146">IF(N581&gt;200,N581,"")</f>
        <v/>
      </c>
      <c r="W581" s="98">
        <f t="shared" si="137"/>
        <v>177.33099999999999</v>
      </c>
      <c r="X581" s="98">
        <f t="shared" si="138"/>
        <v>0.7</v>
      </c>
      <c r="Y581" s="36"/>
      <c r="AF581" s="42" t="s">
        <v>5</v>
      </c>
      <c r="AS581" s="42" t="s">
        <v>132</v>
      </c>
    </row>
    <row r="582" spans="1:46" x14ac:dyDescent="0.3">
      <c r="A582" s="53" t="s">
        <v>280</v>
      </c>
      <c r="B582" s="107">
        <v>580</v>
      </c>
      <c r="C582" s="8" t="str">
        <f t="shared" ca="1" si="139"/>
        <v>5년 이내</v>
      </c>
      <c r="D582" s="7">
        <v>45219</v>
      </c>
      <c r="E582" s="5">
        <f t="shared" si="140"/>
        <v>1</v>
      </c>
      <c r="F582" s="1" t="s">
        <v>1</v>
      </c>
      <c r="G582" s="33" t="s">
        <v>106</v>
      </c>
      <c r="H582" s="33" t="s">
        <v>107</v>
      </c>
      <c r="I582" s="9" t="s">
        <v>64</v>
      </c>
      <c r="J582" s="2" t="s">
        <v>4</v>
      </c>
      <c r="K582" s="3" t="s">
        <v>5</v>
      </c>
      <c r="L582" s="4">
        <v>0.7</v>
      </c>
      <c r="M582" s="14">
        <v>253.33</v>
      </c>
      <c r="N582" s="16">
        <v>177.33099999999999</v>
      </c>
      <c r="O582" s="47">
        <f t="shared" si="141"/>
        <v>0.7</v>
      </c>
      <c r="P582" s="47">
        <f t="shared" si="142"/>
        <v>0.7</v>
      </c>
      <c r="Q582" s="47">
        <f t="shared" si="143"/>
        <v>253.33</v>
      </c>
      <c r="R582" s="47">
        <f t="shared" si="144"/>
        <v>253.33</v>
      </c>
      <c r="S582" s="47">
        <f t="shared" si="135"/>
        <v>0.7</v>
      </c>
      <c r="T582" s="47" t="str">
        <f t="shared" si="136"/>
        <v/>
      </c>
      <c r="U582" s="47">
        <f t="shared" si="145"/>
        <v>177.33099999999999</v>
      </c>
      <c r="V582" s="47" t="str">
        <f t="shared" si="146"/>
        <v/>
      </c>
      <c r="W582" s="98">
        <f t="shared" si="137"/>
        <v>177.33099999999999</v>
      </c>
      <c r="X582" s="98">
        <f t="shared" si="138"/>
        <v>0.7</v>
      </c>
      <c r="Y582" s="36"/>
      <c r="AF582" s="42" t="s">
        <v>5</v>
      </c>
      <c r="AS582" s="42" t="s">
        <v>132</v>
      </c>
    </row>
    <row r="583" spans="1:46" x14ac:dyDescent="0.3">
      <c r="A583" s="53" t="s">
        <v>280</v>
      </c>
      <c r="B583" s="107">
        <v>581</v>
      </c>
      <c r="C583" s="8" t="str">
        <f t="shared" ca="1" si="139"/>
        <v>5년 이내</v>
      </c>
      <c r="D583" s="7">
        <v>45271</v>
      </c>
      <c r="E583" s="5">
        <f t="shared" si="140"/>
        <v>2</v>
      </c>
      <c r="F583" s="1" t="s">
        <v>1</v>
      </c>
      <c r="G583" s="33" t="s">
        <v>68</v>
      </c>
      <c r="H583" s="33" t="s">
        <v>108</v>
      </c>
      <c r="I583" s="9" t="s">
        <v>69</v>
      </c>
      <c r="J583" s="2" t="s">
        <v>4</v>
      </c>
      <c r="K583" s="3" t="s">
        <v>24</v>
      </c>
      <c r="L583" s="4">
        <v>0.3</v>
      </c>
      <c r="M583" s="14">
        <v>942.48</v>
      </c>
      <c r="N583" s="16">
        <v>282.74400000000003</v>
      </c>
      <c r="O583" s="47">
        <f t="shared" si="141"/>
        <v>0.3</v>
      </c>
      <c r="P583" s="47">
        <f t="shared" si="142"/>
        <v>0.3</v>
      </c>
      <c r="Q583" s="47">
        <f t="shared" si="143"/>
        <v>942.48</v>
      </c>
      <c r="R583" s="47">
        <f t="shared" si="144"/>
        <v>942.48</v>
      </c>
      <c r="S583" s="47">
        <f t="shared" si="135"/>
        <v>0.3</v>
      </c>
      <c r="T583" s="47">
        <f t="shared" si="136"/>
        <v>0.3</v>
      </c>
      <c r="U583" s="47">
        <f t="shared" si="145"/>
        <v>282.74400000000003</v>
      </c>
      <c r="V583" s="47">
        <f t="shared" si="146"/>
        <v>282.74400000000003</v>
      </c>
      <c r="W583" s="98">
        <f t="shared" si="137"/>
        <v>282.74400000000003</v>
      </c>
      <c r="X583" s="98">
        <f t="shared" si="138"/>
        <v>0.3</v>
      </c>
      <c r="Y583" s="8" t="s">
        <v>108</v>
      </c>
      <c r="Z583" s="42" t="s">
        <v>44</v>
      </c>
      <c r="AD583" s="42" t="s">
        <v>18</v>
      </c>
      <c r="AG583" s="42" t="s">
        <v>120</v>
      </c>
      <c r="AJ583" s="42" t="s">
        <v>123</v>
      </c>
      <c r="AK583" s="42" t="s">
        <v>124</v>
      </c>
      <c r="AL583" s="42" t="s">
        <v>125</v>
      </c>
      <c r="AM583" s="42" t="s">
        <v>126</v>
      </c>
      <c r="AN583" s="42" t="s">
        <v>127</v>
      </c>
      <c r="AQ583" s="42" t="s">
        <v>130</v>
      </c>
      <c r="AR583" s="42" t="s">
        <v>131</v>
      </c>
      <c r="AS583" s="42" t="s">
        <v>132</v>
      </c>
    </row>
    <row r="584" spans="1:46" x14ac:dyDescent="0.3">
      <c r="A584" s="53" t="s">
        <v>280</v>
      </c>
      <c r="B584" s="107">
        <v>582</v>
      </c>
      <c r="C584" s="8" t="str">
        <f t="shared" ca="1" si="139"/>
        <v>5년 이내</v>
      </c>
      <c r="D584" s="7">
        <v>45338</v>
      </c>
      <c r="E584" s="5">
        <f t="shared" si="140"/>
        <v>1</v>
      </c>
      <c r="F584" s="1" t="s">
        <v>1</v>
      </c>
      <c r="G584" s="33" t="s">
        <v>68</v>
      </c>
      <c r="H584" s="33" t="s">
        <v>74</v>
      </c>
      <c r="I584" s="9" t="s">
        <v>109</v>
      </c>
      <c r="J584" s="2" t="s">
        <v>4</v>
      </c>
      <c r="K584" s="3" t="s">
        <v>5</v>
      </c>
      <c r="L584" s="4">
        <v>0.7</v>
      </c>
      <c r="M584" s="14">
        <v>212.52</v>
      </c>
      <c r="N584" s="16">
        <v>148.76400000000001</v>
      </c>
      <c r="O584" s="47">
        <f t="shared" si="141"/>
        <v>0.7</v>
      </c>
      <c r="P584" s="47">
        <f t="shared" si="142"/>
        <v>0.7</v>
      </c>
      <c r="Q584" s="47">
        <f t="shared" si="143"/>
        <v>212.52</v>
      </c>
      <c r="R584" s="47">
        <f t="shared" si="144"/>
        <v>212.52</v>
      </c>
      <c r="S584" s="47">
        <f t="shared" ref="S584:S657" si="147">IF(N584&gt;100,L584,"")</f>
        <v>0.7</v>
      </c>
      <c r="T584" s="47" t="str">
        <f t="shared" ref="T584:T657" si="148">IF(N584&gt;200,L584,"")</f>
        <v/>
      </c>
      <c r="U584" s="47">
        <f t="shared" si="145"/>
        <v>148.76400000000001</v>
      </c>
      <c r="V584" s="47" t="str">
        <f t="shared" si="146"/>
        <v/>
      </c>
      <c r="W584" s="98">
        <f t="shared" si="137"/>
        <v>148.76400000000001</v>
      </c>
      <c r="X584" s="98">
        <f t="shared" si="138"/>
        <v>0.7</v>
      </c>
      <c r="Y584" s="36"/>
      <c r="AC584" s="42" t="s">
        <v>119</v>
      </c>
      <c r="AE584" s="42" t="s">
        <v>24</v>
      </c>
      <c r="AF584" s="42" t="s">
        <v>5</v>
      </c>
      <c r="AH584" s="42" t="s">
        <v>121</v>
      </c>
      <c r="AM584" s="42" t="s">
        <v>126</v>
      </c>
      <c r="AS584" s="42" t="s">
        <v>132</v>
      </c>
    </row>
    <row r="585" spans="1:46" x14ac:dyDescent="0.3">
      <c r="A585" s="53" t="s">
        <v>280</v>
      </c>
      <c r="B585" s="107">
        <v>583</v>
      </c>
      <c r="C585" s="8" t="str">
        <f t="shared" ca="1" si="139"/>
        <v>5년 이내</v>
      </c>
      <c r="D585" s="7">
        <v>45338</v>
      </c>
      <c r="E585" s="5">
        <f t="shared" si="140"/>
        <v>1</v>
      </c>
      <c r="F585" s="1" t="s">
        <v>1</v>
      </c>
      <c r="G585" s="33" t="s">
        <v>241</v>
      </c>
      <c r="H585" s="33" t="s">
        <v>114</v>
      </c>
      <c r="I585" s="9" t="s">
        <v>109</v>
      </c>
      <c r="J585" s="2" t="s">
        <v>4</v>
      </c>
      <c r="K585" s="3" t="s">
        <v>5</v>
      </c>
      <c r="L585" s="4">
        <v>0.7</v>
      </c>
      <c r="M585" s="14">
        <v>212.52</v>
      </c>
      <c r="N585" s="16">
        <v>148.76400000000001</v>
      </c>
      <c r="O585" s="47">
        <f t="shared" si="141"/>
        <v>0.7</v>
      </c>
      <c r="P585" s="47">
        <f t="shared" si="142"/>
        <v>0.7</v>
      </c>
      <c r="Q585" s="47">
        <f t="shared" si="143"/>
        <v>212.52</v>
      </c>
      <c r="R585" s="47">
        <f t="shared" si="144"/>
        <v>212.52</v>
      </c>
      <c r="S585" s="47">
        <f t="shared" si="147"/>
        <v>0.7</v>
      </c>
      <c r="T585" s="47" t="str">
        <f t="shared" si="148"/>
        <v/>
      </c>
      <c r="U585" s="47">
        <f t="shared" si="145"/>
        <v>148.76400000000001</v>
      </c>
      <c r="V585" s="47" t="str">
        <f t="shared" si="146"/>
        <v/>
      </c>
      <c r="W585" s="98">
        <f t="shared" si="137"/>
        <v>148.76400000000001</v>
      </c>
      <c r="X585" s="98">
        <f t="shared" si="138"/>
        <v>0.7</v>
      </c>
      <c r="Y585" s="36"/>
      <c r="AC585" s="42" t="s">
        <v>119</v>
      </c>
      <c r="AE585" s="42" t="s">
        <v>24</v>
      </c>
      <c r="AF585" s="42" t="s">
        <v>5</v>
      </c>
      <c r="AH585" s="42" t="s">
        <v>121</v>
      </c>
      <c r="AM585" s="42" t="s">
        <v>126</v>
      </c>
      <c r="AS585" s="42" t="s">
        <v>132</v>
      </c>
    </row>
    <row r="586" spans="1:46" x14ac:dyDescent="0.3">
      <c r="A586" s="53" t="s">
        <v>280</v>
      </c>
      <c r="B586" s="107">
        <v>584</v>
      </c>
      <c r="C586" s="8" t="str">
        <f t="shared" ca="1" si="139"/>
        <v>5년 이내</v>
      </c>
      <c r="D586" s="7">
        <v>45428</v>
      </c>
      <c r="E586" s="5">
        <f t="shared" si="140"/>
        <v>2</v>
      </c>
      <c r="F586" s="1" t="s">
        <v>1</v>
      </c>
      <c r="G586" s="33" t="s">
        <v>78</v>
      </c>
      <c r="H586" s="33" t="s">
        <v>79</v>
      </c>
      <c r="I586" s="9" t="s">
        <v>142</v>
      </c>
      <c r="J586" s="2" t="s">
        <v>4</v>
      </c>
      <c r="K586" s="3" t="s">
        <v>5</v>
      </c>
      <c r="L586" s="4">
        <v>0.84</v>
      </c>
      <c r="M586" s="14">
        <v>416.24</v>
      </c>
      <c r="N586" s="14">
        <v>289.22300000000001</v>
      </c>
      <c r="O586" s="47">
        <f t="shared" si="141"/>
        <v>0.84</v>
      </c>
      <c r="P586" s="47">
        <f t="shared" si="142"/>
        <v>0.84</v>
      </c>
      <c r="Q586" s="47">
        <f t="shared" si="143"/>
        <v>416.24</v>
      </c>
      <c r="R586" s="47">
        <f t="shared" si="144"/>
        <v>416.24</v>
      </c>
      <c r="S586" s="47">
        <f t="shared" si="147"/>
        <v>0.84</v>
      </c>
      <c r="T586" s="47">
        <f t="shared" si="148"/>
        <v>0.84</v>
      </c>
      <c r="U586" s="47">
        <f t="shared" si="145"/>
        <v>289.22300000000001</v>
      </c>
      <c r="V586" s="47">
        <f t="shared" si="146"/>
        <v>289.22300000000001</v>
      </c>
      <c r="W586" s="98">
        <f t="shared" si="137"/>
        <v>289.22300000000001</v>
      </c>
      <c r="X586" s="98">
        <f t="shared" si="138"/>
        <v>0.84</v>
      </c>
      <c r="Y586" s="36"/>
      <c r="AC586" s="42" t="s">
        <v>144</v>
      </c>
      <c r="AE586" s="42" t="s">
        <v>145</v>
      </c>
      <c r="AF586" s="42" t="s">
        <v>5</v>
      </c>
      <c r="AG586" s="42" t="s">
        <v>146</v>
      </c>
      <c r="AH586" s="42" t="s">
        <v>121</v>
      </c>
      <c r="AJ586" s="42" t="s">
        <v>147</v>
      </c>
      <c r="AN586" s="42" t="s">
        <v>148</v>
      </c>
      <c r="AR586" s="42" t="s">
        <v>149</v>
      </c>
      <c r="AS586" s="42" t="s">
        <v>132</v>
      </c>
    </row>
    <row r="587" spans="1:46" x14ac:dyDescent="0.3">
      <c r="A587" s="53" t="s">
        <v>280</v>
      </c>
      <c r="B587" s="107">
        <v>585</v>
      </c>
      <c r="C587" s="8" t="str">
        <f t="shared" ca="1" si="139"/>
        <v>5년 이내</v>
      </c>
      <c r="D587" s="7">
        <v>45428</v>
      </c>
      <c r="E587" s="5">
        <f t="shared" si="140"/>
        <v>2</v>
      </c>
      <c r="F587" s="1" t="s">
        <v>1</v>
      </c>
      <c r="G587" s="33" t="s">
        <v>78</v>
      </c>
      <c r="H587" s="33" t="s">
        <v>143</v>
      </c>
      <c r="I587" s="9" t="s">
        <v>142</v>
      </c>
      <c r="J587" s="2" t="s">
        <v>4</v>
      </c>
      <c r="K587" s="3" t="s">
        <v>5</v>
      </c>
      <c r="L587" s="4">
        <v>0.84</v>
      </c>
      <c r="M587" s="14">
        <v>416.24</v>
      </c>
      <c r="N587" s="14">
        <v>289.22300000000001</v>
      </c>
      <c r="O587" s="47">
        <f t="shared" si="141"/>
        <v>0.84</v>
      </c>
      <c r="P587" s="47">
        <f t="shared" si="142"/>
        <v>0.84</v>
      </c>
      <c r="Q587" s="47">
        <f t="shared" si="143"/>
        <v>416.24</v>
      </c>
      <c r="R587" s="47">
        <f t="shared" si="144"/>
        <v>416.24</v>
      </c>
      <c r="S587" s="47">
        <f t="shared" si="147"/>
        <v>0.84</v>
      </c>
      <c r="T587" s="47">
        <f t="shared" si="148"/>
        <v>0.84</v>
      </c>
      <c r="U587" s="47">
        <f t="shared" si="145"/>
        <v>289.22300000000001</v>
      </c>
      <c r="V587" s="47">
        <f t="shared" si="146"/>
        <v>289.22300000000001</v>
      </c>
      <c r="W587" s="98">
        <f t="shared" si="137"/>
        <v>289.22300000000001</v>
      </c>
      <c r="X587" s="98">
        <f t="shared" si="138"/>
        <v>0.84</v>
      </c>
      <c r="Y587" s="36"/>
      <c r="AC587" s="42" t="s">
        <v>144</v>
      </c>
      <c r="AE587" s="42" t="s">
        <v>145</v>
      </c>
      <c r="AF587" s="42" t="s">
        <v>5</v>
      </c>
      <c r="AG587" s="42" t="s">
        <v>146</v>
      </c>
      <c r="AH587" s="42" t="s">
        <v>121</v>
      </c>
      <c r="AJ587" s="42" t="s">
        <v>147</v>
      </c>
      <c r="AN587" s="42" t="s">
        <v>148</v>
      </c>
      <c r="AR587" s="42" t="s">
        <v>149</v>
      </c>
      <c r="AS587" s="42" t="s">
        <v>132</v>
      </c>
    </row>
    <row r="588" spans="1:46" x14ac:dyDescent="0.3">
      <c r="A588" s="53" t="s">
        <v>280</v>
      </c>
      <c r="B588" s="107">
        <v>586</v>
      </c>
      <c r="C588" s="8" t="str">
        <f t="shared" ca="1" si="139"/>
        <v>5년 이내</v>
      </c>
      <c r="D588" s="7">
        <v>45451</v>
      </c>
      <c r="E588" s="5">
        <f t="shared" si="140"/>
        <v>2</v>
      </c>
      <c r="F588" s="1" t="s">
        <v>1</v>
      </c>
      <c r="G588" s="33" t="s">
        <v>162</v>
      </c>
      <c r="H588" s="33" t="s">
        <v>163</v>
      </c>
      <c r="I588" s="9" t="s">
        <v>164</v>
      </c>
      <c r="J588" s="2" t="s">
        <v>4</v>
      </c>
      <c r="K588" s="3" t="s">
        <v>5</v>
      </c>
      <c r="L588" s="4">
        <v>1</v>
      </c>
      <c r="M588" s="14">
        <v>488</v>
      </c>
      <c r="N588" s="14">
        <v>488</v>
      </c>
      <c r="O588" s="47">
        <f t="shared" si="141"/>
        <v>1</v>
      </c>
      <c r="P588" s="47">
        <f t="shared" si="142"/>
        <v>1</v>
      </c>
      <c r="Q588" s="47">
        <f t="shared" si="143"/>
        <v>488</v>
      </c>
      <c r="R588" s="47">
        <f t="shared" si="144"/>
        <v>488</v>
      </c>
      <c r="S588" s="47">
        <f t="shared" si="147"/>
        <v>1</v>
      </c>
      <c r="T588" s="47">
        <f t="shared" si="148"/>
        <v>1</v>
      </c>
      <c r="U588" s="47">
        <f t="shared" si="145"/>
        <v>488</v>
      </c>
      <c r="V588" s="47">
        <f t="shared" si="146"/>
        <v>488</v>
      </c>
      <c r="W588" s="98">
        <f t="shared" si="137"/>
        <v>488</v>
      </c>
      <c r="X588" s="98">
        <f t="shared" si="138"/>
        <v>1</v>
      </c>
      <c r="Y588" s="36"/>
      <c r="AA588" s="42" t="s">
        <v>134</v>
      </c>
      <c r="AE588" s="42" t="s">
        <v>24</v>
      </c>
      <c r="AG588" s="42" t="s">
        <v>166</v>
      </c>
      <c r="AI588" s="42" t="s">
        <v>165</v>
      </c>
      <c r="AJ588" s="42" t="s">
        <v>123</v>
      </c>
      <c r="AM588" s="42" t="s">
        <v>126</v>
      </c>
      <c r="AP588" s="42" t="s">
        <v>167</v>
      </c>
      <c r="AT588" s="42" t="s">
        <v>168</v>
      </c>
    </row>
    <row r="589" spans="1:46" x14ac:dyDescent="0.3">
      <c r="A589" s="53" t="s">
        <v>280</v>
      </c>
      <c r="B589" s="107">
        <v>587</v>
      </c>
      <c r="C589" s="8" t="str">
        <f t="shared" ca="1" si="139"/>
        <v>5년 이내</v>
      </c>
      <c r="D589" s="7">
        <v>45451</v>
      </c>
      <c r="E589" s="5">
        <f t="shared" si="140"/>
        <v>2</v>
      </c>
      <c r="F589" s="1" t="s">
        <v>1</v>
      </c>
      <c r="G589" s="33" t="s">
        <v>17</v>
      </c>
      <c r="H589" s="33" t="s">
        <v>76</v>
      </c>
      <c r="I589" s="9" t="s">
        <v>164</v>
      </c>
      <c r="J589" s="2" t="s">
        <v>4</v>
      </c>
      <c r="K589" s="3" t="s">
        <v>5</v>
      </c>
      <c r="L589" s="4">
        <v>1</v>
      </c>
      <c r="M589" s="14">
        <v>488</v>
      </c>
      <c r="N589" s="14">
        <v>488</v>
      </c>
      <c r="O589" s="47">
        <f t="shared" si="141"/>
        <v>1</v>
      </c>
      <c r="P589" s="47">
        <f t="shared" si="142"/>
        <v>1</v>
      </c>
      <c r="Q589" s="47">
        <f t="shared" si="143"/>
        <v>488</v>
      </c>
      <c r="R589" s="47">
        <f t="shared" si="144"/>
        <v>488</v>
      </c>
      <c r="S589" s="47">
        <f t="shared" si="147"/>
        <v>1</v>
      </c>
      <c r="T589" s="47">
        <f t="shared" si="148"/>
        <v>1</v>
      </c>
      <c r="U589" s="47">
        <f t="shared" si="145"/>
        <v>488</v>
      </c>
      <c r="V589" s="47">
        <f t="shared" si="146"/>
        <v>488</v>
      </c>
      <c r="W589" s="98">
        <f t="shared" si="137"/>
        <v>488</v>
      </c>
      <c r="X589" s="98">
        <f t="shared" si="138"/>
        <v>1</v>
      </c>
      <c r="Y589" s="36" t="s">
        <v>226</v>
      </c>
      <c r="AA589" s="42" t="s">
        <v>134</v>
      </c>
      <c r="AE589" s="42" t="s">
        <v>24</v>
      </c>
      <c r="AG589" s="42" t="s">
        <v>166</v>
      </c>
      <c r="AI589" s="42" t="s">
        <v>165</v>
      </c>
      <c r="AJ589" s="42" t="s">
        <v>123</v>
      </c>
      <c r="AM589" s="42" t="s">
        <v>126</v>
      </c>
      <c r="AP589" s="42" t="s">
        <v>167</v>
      </c>
      <c r="AT589" s="42" t="s">
        <v>168</v>
      </c>
    </row>
    <row r="590" spans="1:46" x14ac:dyDescent="0.3">
      <c r="A590" s="53" t="s">
        <v>280</v>
      </c>
      <c r="B590" s="107">
        <v>588</v>
      </c>
      <c r="C590" s="8" t="str">
        <f t="shared" ca="1" si="139"/>
        <v>5년 이내</v>
      </c>
      <c r="D590" s="7">
        <v>45478</v>
      </c>
      <c r="E590" s="5">
        <f t="shared" si="140"/>
        <v>1</v>
      </c>
      <c r="F590" s="1" t="s">
        <v>1</v>
      </c>
      <c r="G590" s="33" t="s">
        <v>36</v>
      </c>
      <c r="H590" s="33" t="s">
        <v>224</v>
      </c>
      <c r="I590" s="9" t="s">
        <v>150</v>
      </c>
      <c r="J590" s="2" t="s">
        <v>4</v>
      </c>
      <c r="K590" s="3" t="s">
        <v>24</v>
      </c>
      <c r="L590" s="4">
        <v>0.34</v>
      </c>
      <c r="M590" s="14">
        <v>464</v>
      </c>
      <c r="N590" s="14">
        <v>157.80000000000001</v>
      </c>
      <c r="O590" s="47">
        <f t="shared" si="141"/>
        <v>0.34</v>
      </c>
      <c r="P590" s="47">
        <f t="shared" si="142"/>
        <v>0.34</v>
      </c>
      <c r="Q590" s="47">
        <f t="shared" si="143"/>
        <v>464</v>
      </c>
      <c r="R590" s="47">
        <f t="shared" si="144"/>
        <v>464</v>
      </c>
      <c r="S590" s="47">
        <f t="shared" si="147"/>
        <v>0.34</v>
      </c>
      <c r="T590" s="47" t="str">
        <f t="shared" si="148"/>
        <v/>
      </c>
      <c r="U590" s="47">
        <f t="shared" si="145"/>
        <v>157.80000000000001</v>
      </c>
      <c r="V590" s="47" t="str">
        <f t="shared" si="146"/>
        <v/>
      </c>
      <c r="W590" s="98">
        <f t="shared" si="137"/>
        <v>157.80000000000001</v>
      </c>
      <c r="X590" s="98">
        <f t="shared" si="138"/>
        <v>0.34</v>
      </c>
      <c r="Y590" s="36" t="s">
        <v>224</v>
      </c>
      <c r="Z590" s="42" t="s">
        <v>152</v>
      </c>
      <c r="AD590" s="42" t="s">
        <v>153</v>
      </c>
      <c r="AE590" s="42" t="s">
        <v>151</v>
      </c>
      <c r="AG590" s="42" t="s">
        <v>154</v>
      </c>
      <c r="AJ590" s="42" t="s">
        <v>155</v>
      </c>
      <c r="AK590" s="42" t="s">
        <v>156</v>
      </c>
      <c r="AM590" s="42" t="s">
        <v>157</v>
      </c>
      <c r="AN590" s="42" t="s">
        <v>158</v>
      </c>
      <c r="AR590" s="42" t="s">
        <v>159</v>
      </c>
    </row>
    <row r="591" spans="1:46" x14ac:dyDescent="0.3">
      <c r="A591" s="53" t="s">
        <v>280</v>
      </c>
      <c r="B591" s="107">
        <v>589</v>
      </c>
      <c r="C591" s="8" t="str">
        <f t="shared" ca="1" si="139"/>
        <v>5년 이내</v>
      </c>
      <c r="D591" s="7">
        <v>45484</v>
      </c>
      <c r="E591" s="5">
        <f t="shared" si="140"/>
        <v>2</v>
      </c>
      <c r="F591" s="1" t="s">
        <v>1</v>
      </c>
      <c r="G591" s="33" t="s">
        <v>177</v>
      </c>
      <c r="H591" s="33" t="s">
        <v>178</v>
      </c>
      <c r="I591" s="9" t="s">
        <v>176</v>
      </c>
      <c r="J591" s="2" t="s">
        <v>4</v>
      </c>
      <c r="K591" s="3" t="s">
        <v>24</v>
      </c>
      <c r="L591" s="4">
        <v>0.7</v>
      </c>
      <c r="M591" s="14">
        <v>371.7</v>
      </c>
      <c r="N591" s="14">
        <v>260</v>
      </c>
      <c r="O591" s="47">
        <f t="shared" si="141"/>
        <v>0.7</v>
      </c>
      <c r="P591" s="47">
        <f t="shared" si="142"/>
        <v>0.7</v>
      </c>
      <c r="Q591" s="47">
        <f t="shared" si="143"/>
        <v>371.7</v>
      </c>
      <c r="R591" s="47">
        <f t="shared" si="144"/>
        <v>371.7</v>
      </c>
      <c r="S591" s="47">
        <f t="shared" si="147"/>
        <v>0.7</v>
      </c>
      <c r="T591" s="47">
        <f t="shared" si="148"/>
        <v>0.7</v>
      </c>
      <c r="U591" s="47">
        <f t="shared" si="145"/>
        <v>260</v>
      </c>
      <c r="V591" s="47">
        <f t="shared" si="146"/>
        <v>260</v>
      </c>
      <c r="W591" s="98">
        <f t="shared" ref="W591:W631" si="149">N591</f>
        <v>260</v>
      </c>
      <c r="X591" s="98">
        <f t="shared" ref="X591:X631" si="150">IF(W591&gt;0,L591,"")</f>
        <v>0.7</v>
      </c>
      <c r="Y591" s="36"/>
      <c r="Z591" s="42" t="s">
        <v>44</v>
      </c>
      <c r="AA591" s="42" t="s">
        <v>134</v>
      </c>
      <c r="AD591" s="42" t="s">
        <v>18</v>
      </c>
      <c r="AE591" s="42" t="s">
        <v>24</v>
      </c>
      <c r="AG591" s="42" t="s">
        <v>120</v>
      </c>
      <c r="AH591" s="42" t="s">
        <v>121</v>
      </c>
      <c r="AI591" s="42" t="s">
        <v>122</v>
      </c>
      <c r="AJ591" s="42" t="s">
        <v>123</v>
      </c>
      <c r="AK591" s="42" t="s">
        <v>124</v>
      </c>
      <c r="AL591" s="42" t="s">
        <v>180</v>
      </c>
      <c r="AM591" s="42" t="s">
        <v>126</v>
      </c>
      <c r="AN591" s="42" t="s">
        <v>127</v>
      </c>
      <c r="AP591" s="42" t="s">
        <v>179</v>
      </c>
      <c r="AQ591" s="42" t="s">
        <v>130</v>
      </c>
      <c r="AR591" s="42" t="s">
        <v>131</v>
      </c>
      <c r="AS591" s="42" t="s">
        <v>132</v>
      </c>
    </row>
    <row r="592" spans="1:46" x14ac:dyDescent="0.3">
      <c r="A592" s="53" t="s">
        <v>280</v>
      </c>
      <c r="B592" s="107">
        <v>590</v>
      </c>
      <c r="C592" s="8" t="str">
        <f t="shared" ca="1" si="139"/>
        <v>5년 이내</v>
      </c>
      <c r="D592" s="7">
        <v>45484</v>
      </c>
      <c r="E592" s="5">
        <f t="shared" si="140"/>
        <v>2</v>
      </c>
      <c r="F592" s="1" t="s">
        <v>1</v>
      </c>
      <c r="G592" s="33" t="s">
        <v>177</v>
      </c>
      <c r="H592" s="33" t="s">
        <v>181</v>
      </c>
      <c r="I592" s="9" t="s">
        <v>176</v>
      </c>
      <c r="J592" s="2" t="s">
        <v>4</v>
      </c>
      <c r="K592" s="3" t="s">
        <v>24</v>
      </c>
      <c r="L592" s="4">
        <v>0.7</v>
      </c>
      <c r="M592" s="14">
        <v>371.7</v>
      </c>
      <c r="N592" s="14">
        <v>260</v>
      </c>
      <c r="O592" s="47">
        <f t="shared" si="141"/>
        <v>0.7</v>
      </c>
      <c r="P592" s="47">
        <f t="shared" si="142"/>
        <v>0.7</v>
      </c>
      <c r="Q592" s="47">
        <f t="shared" si="143"/>
        <v>371.7</v>
      </c>
      <c r="R592" s="47">
        <f t="shared" si="144"/>
        <v>371.7</v>
      </c>
      <c r="S592" s="47">
        <f t="shared" si="147"/>
        <v>0.7</v>
      </c>
      <c r="T592" s="47">
        <f t="shared" si="148"/>
        <v>0.7</v>
      </c>
      <c r="U592" s="47">
        <f t="shared" si="145"/>
        <v>260</v>
      </c>
      <c r="V592" s="47">
        <f t="shared" si="146"/>
        <v>260</v>
      </c>
      <c r="W592" s="98">
        <f t="shared" si="149"/>
        <v>260</v>
      </c>
      <c r="X592" s="98">
        <f t="shared" si="150"/>
        <v>0.7</v>
      </c>
      <c r="Y592" s="36"/>
      <c r="Z592" s="42" t="s">
        <v>44</v>
      </c>
      <c r="AA592" s="42" t="s">
        <v>134</v>
      </c>
      <c r="AD592" s="42" t="s">
        <v>18</v>
      </c>
      <c r="AE592" s="42" t="s">
        <v>24</v>
      </c>
      <c r="AG592" s="42" t="s">
        <v>120</v>
      </c>
      <c r="AH592" s="42" t="s">
        <v>121</v>
      </c>
      <c r="AI592" s="42" t="s">
        <v>122</v>
      </c>
      <c r="AJ592" s="42" t="s">
        <v>123</v>
      </c>
      <c r="AK592" s="42" t="s">
        <v>124</v>
      </c>
      <c r="AL592" s="42" t="s">
        <v>180</v>
      </c>
      <c r="AM592" s="42" t="s">
        <v>126</v>
      </c>
      <c r="AN592" s="42" t="s">
        <v>127</v>
      </c>
      <c r="AP592" s="42" t="s">
        <v>179</v>
      </c>
      <c r="AQ592" s="42" t="s">
        <v>130</v>
      </c>
      <c r="AR592" s="42" t="s">
        <v>131</v>
      </c>
      <c r="AS592" s="42" t="s">
        <v>132</v>
      </c>
    </row>
    <row r="593" spans="1:45" x14ac:dyDescent="0.3">
      <c r="A593" s="53" t="s">
        <v>280</v>
      </c>
      <c r="B593" s="107">
        <v>591</v>
      </c>
      <c r="C593" s="8" t="str">
        <f t="shared" ca="1" si="139"/>
        <v>5년 이내</v>
      </c>
      <c r="D593" s="7">
        <v>45484</v>
      </c>
      <c r="E593" s="5">
        <f t="shared" si="140"/>
        <v>2</v>
      </c>
      <c r="F593" s="1" t="s">
        <v>1</v>
      </c>
      <c r="G593" s="33" t="s">
        <v>116</v>
      </c>
      <c r="H593" s="33" t="s">
        <v>182</v>
      </c>
      <c r="I593" s="9" t="s">
        <v>176</v>
      </c>
      <c r="J593" s="2" t="s">
        <v>4</v>
      </c>
      <c r="K593" s="3" t="s">
        <v>24</v>
      </c>
      <c r="L593" s="4">
        <v>0.7</v>
      </c>
      <c r="M593" s="14">
        <v>371.7</v>
      </c>
      <c r="N593" s="14">
        <v>260</v>
      </c>
      <c r="O593" s="47">
        <f t="shared" si="141"/>
        <v>0.7</v>
      </c>
      <c r="P593" s="47">
        <f t="shared" si="142"/>
        <v>0.7</v>
      </c>
      <c r="Q593" s="47">
        <f t="shared" si="143"/>
        <v>371.7</v>
      </c>
      <c r="R593" s="47">
        <f t="shared" si="144"/>
        <v>371.7</v>
      </c>
      <c r="S593" s="47">
        <f t="shared" si="147"/>
        <v>0.7</v>
      </c>
      <c r="T593" s="47">
        <f t="shared" si="148"/>
        <v>0.7</v>
      </c>
      <c r="U593" s="47">
        <f t="shared" si="145"/>
        <v>260</v>
      </c>
      <c r="V593" s="47">
        <f t="shared" si="146"/>
        <v>260</v>
      </c>
      <c r="W593" s="98">
        <f t="shared" si="149"/>
        <v>260</v>
      </c>
      <c r="X593" s="98">
        <f t="shared" si="150"/>
        <v>0.7</v>
      </c>
      <c r="Y593" s="36"/>
      <c r="Z593" s="42" t="s">
        <v>44</v>
      </c>
      <c r="AA593" s="42" t="s">
        <v>134</v>
      </c>
      <c r="AD593" s="42" t="s">
        <v>18</v>
      </c>
      <c r="AE593" s="42" t="s">
        <v>24</v>
      </c>
      <c r="AG593" s="42" t="s">
        <v>120</v>
      </c>
      <c r="AH593" s="42" t="s">
        <v>121</v>
      </c>
      <c r="AI593" s="42" t="s">
        <v>122</v>
      </c>
      <c r="AJ593" s="42" t="s">
        <v>123</v>
      </c>
      <c r="AK593" s="42" t="s">
        <v>124</v>
      </c>
      <c r="AL593" s="42" t="s">
        <v>180</v>
      </c>
      <c r="AM593" s="42" t="s">
        <v>126</v>
      </c>
      <c r="AN593" s="42" t="s">
        <v>127</v>
      </c>
      <c r="AP593" s="42" t="s">
        <v>179</v>
      </c>
      <c r="AQ593" s="42" t="s">
        <v>130</v>
      </c>
      <c r="AR593" s="42" t="s">
        <v>131</v>
      </c>
      <c r="AS593" s="42" t="s">
        <v>132</v>
      </c>
    </row>
    <row r="594" spans="1:45" x14ac:dyDescent="0.3">
      <c r="A594" s="53" t="s">
        <v>280</v>
      </c>
      <c r="B594" s="107">
        <v>592</v>
      </c>
      <c r="C594" s="8" t="str">
        <f t="shared" ca="1" si="139"/>
        <v>5년 이내</v>
      </c>
      <c r="D594" s="7">
        <v>45484</v>
      </c>
      <c r="E594" s="5">
        <f t="shared" si="140"/>
        <v>2</v>
      </c>
      <c r="F594" s="1" t="s">
        <v>1</v>
      </c>
      <c r="G594" s="33" t="s">
        <v>17</v>
      </c>
      <c r="H594" s="33" t="s">
        <v>440</v>
      </c>
      <c r="I594" s="9" t="s">
        <v>176</v>
      </c>
      <c r="J594" s="2" t="s">
        <v>4</v>
      </c>
      <c r="K594" s="3" t="s">
        <v>24</v>
      </c>
      <c r="L594" s="4">
        <v>0.7</v>
      </c>
      <c r="M594" s="14">
        <v>371.7</v>
      </c>
      <c r="N594" s="14">
        <v>260</v>
      </c>
      <c r="O594" s="47">
        <f t="shared" si="141"/>
        <v>0.7</v>
      </c>
      <c r="P594" s="47">
        <f t="shared" si="142"/>
        <v>0.7</v>
      </c>
      <c r="Q594" s="47">
        <f t="shared" si="143"/>
        <v>371.7</v>
      </c>
      <c r="R594" s="47">
        <f t="shared" si="144"/>
        <v>371.7</v>
      </c>
      <c r="S594" s="47">
        <f t="shared" si="147"/>
        <v>0.7</v>
      </c>
      <c r="T594" s="47">
        <f t="shared" si="148"/>
        <v>0.7</v>
      </c>
      <c r="U594" s="47">
        <f t="shared" si="145"/>
        <v>260</v>
      </c>
      <c r="V594" s="47">
        <f t="shared" si="146"/>
        <v>260</v>
      </c>
      <c r="W594" s="98">
        <f t="shared" si="149"/>
        <v>260</v>
      </c>
      <c r="X594" s="98">
        <f t="shared" si="150"/>
        <v>0.7</v>
      </c>
      <c r="Y594" s="36" t="s">
        <v>223</v>
      </c>
      <c r="Z594" s="42" t="s">
        <v>44</v>
      </c>
      <c r="AA594" s="42" t="s">
        <v>134</v>
      </c>
      <c r="AD594" s="42" t="s">
        <v>18</v>
      </c>
      <c r="AE594" s="42" t="s">
        <v>24</v>
      </c>
      <c r="AG594" s="42" t="s">
        <v>120</v>
      </c>
      <c r="AH594" s="42" t="s">
        <v>121</v>
      </c>
      <c r="AI594" s="42" t="s">
        <v>122</v>
      </c>
      <c r="AJ594" s="42" t="s">
        <v>123</v>
      </c>
      <c r="AK594" s="42" t="s">
        <v>124</v>
      </c>
      <c r="AL594" s="42" t="s">
        <v>180</v>
      </c>
      <c r="AM594" s="42" t="s">
        <v>126</v>
      </c>
      <c r="AN594" s="42" t="s">
        <v>127</v>
      </c>
      <c r="AP594" s="42" t="s">
        <v>179</v>
      </c>
      <c r="AQ594" s="42" t="s">
        <v>130</v>
      </c>
      <c r="AR594" s="42" t="s">
        <v>131</v>
      </c>
      <c r="AS594" s="42" t="s">
        <v>132</v>
      </c>
    </row>
    <row r="595" spans="1:45" x14ac:dyDescent="0.3">
      <c r="A595" s="53" t="s">
        <v>280</v>
      </c>
      <c r="B595" s="107">
        <v>593</v>
      </c>
      <c r="C595" s="8" t="str">
        <f t="shared" ca="1" si="139"/>
        <v>5년 이내</v>
      </c>
      <c r="D595" s="7">
        <v>45520</v>
      </c>
      <c r="E595" s="5">
        <f t="shared" si="140"/>
        <v>1</v>
      </c>
      <c r="F595" s="1" t="s">
        <v>1</v>
      </c>
      <c r="G595" s="33" t="s">
        <v>39</v>
      </c>
      <c r="H595" s="33" t="s">
        <v>55</v>
      </c>
      <c r="I595" s="9" t="s">
        <v>170</v>
      </c>
      <c r="J595" s="2" t="s">
        <v>4</v>
      </c>
      <c r="K595" s="3" t="s">
        <v>24</v>
      </c>
      <c r="L595" s="4">
        <v>0.7</v>
      </c>
      <c r="M595" s="14">
        <v>261</v>
      </c>
      <c r="N595" s="14">
        <v>134</v>
      </c>
      <c r="O595" s="47">
        <f t="shared" si="141"/>
        <v>0.7</v>
      </c>
      <c r="P595" s="47">
        <f t="shared" si="142"/>
        <v>0.7</v>
      </c>
      <c r="Q595" s="47">
        <f t="shared" si="143"/>
        <v>261</v>
      </c>
      <c r="R595" s="47">
        <f t="shared" si="144"/>
        <v>261</v>
      </c>
      <c r="S595" s="47">
        <f t="shared" si="147"/>
        <v>0.7</v>
      </c>
      <c r="T595" s="47" t="str">
        <f t="shared" si="148"/>
        <v/>
      </c>
      <c r="U595" s="47">
        <f t="shared" si="145"/>
        <v>134</v>
      </c>
      <c r="V595" s="47" t="str">
        <f t="shared" si="146"/>
        <v/>
      </c>
      <c r="W595" s="98">
        <f t="shared" si="149"/>
        <v>134</v>
      </c>
      <c r="X595" s="98">
        <f t="shared" si="150"/>
        <v>0.7</v>
      </c>
      <c r="Y595" s="36"/>
      <c r="AA595" s="42" t="s">
        <v>171</v>
      </c>
      <c r="AE595" s="42" t="s">
        <v>24</v>
      </c>
      <c r="AI595" s="42" t="s">
        <v>172</v>
      </c>
      <c r="AK595" s="42" t="s">
        <v>174</v>
      </c>
      <c r="AL595" s="42" t="s">
        <v>173</v>
      </c>
      <c r="AR595" s="42" t="s">
        <v>131</v>
      </c>
      <c r="AS595" s="42" t="s">
        <v>175</v>
      </c>
    </row>
    <row r="596" spans="1:45" x14ac:dyDescent="0.3">
      <c r="A596" s="53" t="s">
        <v>280</v>
      </c>
      <c r="B596" s="107">
        <v>594</v>
      </c>
      <c r="C596" s="8" t="str">
        <f t="shared" ca="1" si="139"/>
        <v>5년 이내</v>
      </c>
      <c r="D596" s="7">
        <v>45520</v>
      </c>
      <c r="E596" s="5">
        <f t="shared" si="140"/>
        <v>1</v>
      </c>
      <c r="F596" s="1" t="s">
        <v>1</v>
      </c>
      <c r="G596" s="33" t="s">
        <v>39</v>
      </c>
      <c r="H596" s="33" t="s">
        <v>101</v>
      </c>
      <c r="I596" s="9" t="s">
        <v>170</v>
      </c>
      <c r="J596" s="2" t="s">
        <v>4</v>
      </c>
      <c r="K596" s="3" t="s">
        <v>24</v>
      </c>
      <c r="L596" s="4">
        <v>0.7</v>
      </c>
      <c r="M596" s="14">
        <v>261</v>
      </c>
      <c r="N596" s="14">
        <v>134</v>
      </c>
      <c r="O596" s="47">
        <f t="shared" si="141"/>
        <v>0.7</v>
      </c>
      <c r="P596" s="47">
        <f t="shared" si="142"/>
        <v>0.7</v>
      </c>
      <c r="Q596" s="47">
        <f t="shared" si="143"/>
        <v>261</v>
      </c>
      <c r="R596" s="47">
        <f t="shared" si="144"/>
        <v>261</v>
      </c>
      <c r="S596" s="47">
        <f t="shared" si="147"/>
        <v>0.7</v>
      </c>
      <c r="T596" s="47" t="str">
        <f t="shared" si="148"/>
        <v/>
      </c>
      <c r="U596" s="47">
        <f t="shared" si="145"/>
        <v>134</v>
      </c>
      <c r="V596" s="47" t="str">
        <f t="shared" si="146"/>
        <v/>
      </c>
      <c r="W596" s="98">
        <f t="shared" si="149"/>
        <v>134</v>
      </c>
      <c r="X596" s="98">
        <f t="shared" si="150"/>
        <v>0.7</v>
      </c>
      <c r="Y596" s="36"/>
      <c r="AA596" s="42" t="s">
        <v>171</v>
      </c>
      <c r="AE596" s="42" t="s">
        <v>24</v>
      </c>
      <c r="AI596" s="42" t="s">
        <v>172</v>
      </c>
      <c r="AK596" s="42" t="s">
        <v>174</v>
      </c>
      <c r="AL596" s="42" t="s">
        <v>173</v>
      </c>
      <c r="AR596" s="42" t="s">
        <v>131</v>
      </c>
      <c r="AS596" s="42" t="s">
        <v>175</v>
      </c>
    </row>
    <row r="597" spans="1:45" x14ac:dyDescent="0.3">
      <c r="A597" s="53" t="s">
        <v>280</v>
      </c>
      <c r="B597" s="107">
        <v>595</v>
      </c>
      <c r="C597" s="8" t="str">
        <f t="shared" ca="1" si="139"/>
        <v>5년 이내</v>
      </c>
      <c r="D597" s="7">
        <v>45520</v>
      </c>
      <c r="E597" s="5">
        <f t="shared" si="140"/>
        <v>1</v>
      </c>
      <c r="F597" s="1" t="s">
        <v>1</v>
      </c>
      <c r="G597" s="33" t="s">
        <v>39</v>
      </c>
      <c r="H597" s="33" t="s">
        <v>183</v>
      </c>
      <c r="I597" s="9" t="s">
        <v>170</v>
      </c>
      <c r="J597" s="2" t="s">
        <v>4</v>
      </c>
      <c r="K597" s="3" t="s">
        <v>24</v>
      </c>
      <c r="L597" s="4">
        <v>0.7</v>
      </c>
      <c r="M597" s="14">
        <v>261</v>
      </c>
      <c r="N597" s="14">
        <v>134</v>
      </c>
      <c r="O597" s="47">
        <f t="shared" si="141"/>
        <v>0.7</v>
      </c>
      <c r="P597" s="47">
        <f t="shared" si="142"/>
        <v>0.7</v>
      </c>
      <c r="Q597" s="47">
        <f t="shared" si="143"/>
        <v>261</v>
      </c>
      <c r="R597" s="47">
        <f t="shared" si="144"/>
        <v>261</v>
      </c>
      <c r="S597" s="47">
        <f t="shared" si="147"/>
        <v>0.7</v>
      </c>
      <c r="T597" s="47" t="str">
        <f t="shared" si="148"/>
        <v/>
      </c>
      <c r="U597" s="47">
        <f t="shared" si="145"/>
        <v>134</v>
      </c>
      <c r="V597" s="47" t="str">
        <f t="shared" si="146"/>
        <v/>
      </c>
      <c r="W597" s="98">
        <f t="shared" si="149"/>
        <v>134</v>
      </c>
      <c r="X597" s="98">
        <f t="shared" si="150"/>
        <v>0.7</v>
      </c>
      <c r="Y597" s="36"/>
      <c r="AA597" s="42" t="s">
        <v>171</v>
      </c>
      <c r="AE597" s="42" t="s">
        <v>24</v>
      </c>
      <c r="AI597" s="42" t="s">
        <v>172</v>
      </c>
      <c r="AK597" s="42" t="s">
        <v>174</v>
      </c>
      <c r="AL597" s="42" t="s">
        <v>173</v>
      </c>
      <c r="AR597" s="42" t="s">
        <v>131</v>
      </c>
      <c r="AS597" s="42" t="s">
        <v>175</v>
      </c>
    </row>
    <row r="598" spans="1:45" x14ac:dyDescent="0.3">
      <c r="A598" s="53" t="s">
        <v>280</v>
      </c>
      <c r="B598" s="107">
        <v>596</v>
      </c>
      <c r="C598" s="8" t="str">
        <f t="shared" ca="1" si="139"/>
        <v>5년 이내</v>
      </c>
      <c r="D598" s="7">
        <v>45520</v>
      </c>
      <c r="E598" s="5">
        <f t="shared" si="140"/>
        <v>1</v>
      </c>
      <c r="F598" s="1" t="s">
        <v>1</v>
      </c>
      <c r="G598" s="33" t="s">
        <v>97</v>
      </c>
      <c r="H598" s="33" t="s">
        <v>98</v>
      </c>
      <c r="I598" s="9" t="s">
        <v>170</v>
      </c>
      <c r="J598" s="2" t="s">
        <v>4</v>
      </c>
      <c r="K598" s="3" t="s">
        <v>24</v>
      </c>
      <c r="L598" s="4">
        <v>0.7</v>
      </c>
      <c r="M598" s="14">
        <v>261</v>
      </c>
      <c r="N598" s="14">
        <v>134</v>
      </c>
      <c r="O598" s="47">
        <f t="shared" si="141"/>
        <v>0.7</v>
      </c>
      <c r="P598" s="47">
        <f t="shared" si="142"/>
        <v>0.7</v>
      </c>
      <c r="Q598" s="47">
        <f t="shared" si="143"/>
        <v>261</v>
      </c>
      <c r="R598" s="47">
        <f t="shared" si="144"/>
        <v>261</v>
      </c>
      <c r="S598" s="47">
        <f t="shared" si="147"/>
        <v>0.7</v>
      </c>
      <c r="T598" s="47" t="str">
        <f t="shared" si="148"/>
        <v/>
      </c>
      <c r="U598" s="47">
        <f t="shared" si="145"/>
        <v>134</v>
      </c>
      <c r="V598" s="47" t="str">
        <f t="shared" si="146"/>
        <v/>
      </c>
      <c r="W598" s="98">
        <f t="shared" si="149"/>
        <v>134</v>
      </c>
      <c r="X598" s="98">
        <f t="shared" si="150"/>
        <v>0.7</v>
      </c>
      <c r="Y598" s="36"/>
      <c r="AA598" s="42" t="s">
        <v>171</v>
      </c>
      <c r="AE598" s="42" t="s">
        <v>24</v>
      </c>
      <c r="AI598" s="42" t="s">
        <v>172</v>
      </c>
      <c r="AK598" s="42" t="s">
        <v>174</v>
      </c>
      <c r="AL598" s="42" t="s">
        <v>173</v>
      </c>
      <c r="AR598" s="42" t="s">
        <v>131</v>
      </c>
      <c r="AS598" s="42" t="s">
        <v>175</v>
      </c>
    </row>
    <row r="599" spans="1:45" x14ac:dyDescent="0.3">
      <c r="A599" s="53" t="s">
        <v>280</v>
      </c>
      <c r="B599" s="107">
        <v>597</v>
      </c>
      <c r="C599" s="8" t="str">
        <f t="shared" ca="1" si="139"/>
        <v>5년 이내</v>
      </c>
      <c r="D599" s="7">
        <v>45582</v>
      </c>
      <c r="E599" s="5">
        <f t="shared" si="140"/>
        <v>2</v>
      </c>
      <c r="F599" s="1" t="s">
        <v>1</v>
      </c>
      <c r="G599" s="33" t="s">
        <v>116</v>
      </c>
      <c r="H599" s="33" t="s">
        <v>189</v>
      </c>
      <c r="I599" s="9" t="s">
        <v>188</v>
      </c>
      <c r="J599" s="2" t="s">
        <v>4</v>
      </c>
      <c r="K599" s="3" t="s">
        <v>24</v>
      </c>
      <c r="L599" s="4">
        <v>0.7</v>
      </c>
      <c r="M599" s="14">
        <v>347.49</v>
      </c>
      <c r="N599" s="14">
        <v>243.2</v>
      </c>
      <c r="O599" s="47">
        <f t="shared" si="141"/>
        <v>0.7</v>
      </c>
      <c r="P599" s="47">
        <f t="shared" si="142"/>
        <v>0.7</v>
      </c>
      <c r="Q599" s="47">
        <f t="shared" si="143"/>
        <v>347.49</v>
      </c>
      <c r="R599" s="47">
        <f t="shared" si="144"/>
        <v>347.49</v>
      </c>
      <c r="S599" s="47">
        <f t="shared" si="147"/>
        <v>0.7</v>
      </c>
      <c r="T599" s="47">
        <f t="shared" si="148"/>
        <v>0.7</v>
      </c>
      <c r="U599" s="47">
        <f t="shared" si="145"/>
        <v>243.2</v>
      </c>
      <c r="V599" s="47">
        <f t="shared" si="146"/>
        <v>243.2</v>
      </c>
      <c r="W599" s="98">
        <f t="shared" si="149"/>
        <v>243.2</v>
      </c>
      <c r="X599" s="98">
        <f t="shared" si="150"/>
        <v>0.7</v>
      </c>
      <c r="Y599" s="36"/>
      <c r="AA599" s="42" t="s">
        <v>134</v>
      </c>
      <c r="AF599" s="42" t="s">
        <v>190</v>
      </c>
      <c r="AK599" s="42" t="s">
        <v>124</v>
      </c>
      <c r="AP599" s="42" t="s">
        <v>191</v>
      </c>
      <c r="AQ599" s="42" t="s">
        <v>130</v>
      </c>
      <c r="AR599" s="42" t="s">
        <v>131</v>
      </c>
    </row>
    <row r="600" spans="1:45" x14ac:dyDescent="0.3">
      <c r="A600" s="53" t="s">
        <v>280</v>
      </c>
      <c r="B600" s="107">
        <v>598</v>
      </c>
      <c r="C600" s="8" t="str">
        <f t="shared" ca="1" si="139"/>
        <v>5년 이내</v>
      </c>
      <c r="D600" s="7">
        <v>45582</v>
      </c>
      <c r="E600" s="5">
        <f t="shared" si="140"/>
        <v>2</v>
      </c>
      <c r="F600" s="1" t="s">
        <v>1</v>
      </c>
      <c r="G600" s="33" t="s">
        <v>68</v>
      </c>
      <c r="H600" s="33" t="s">
        <v>77</v>
      </c>
      <c r="I600" s="9" t="s">
        <v>188</v>
      </c>
      <c r="J600" s="2" t="s">
        <v>4</v>
      </c>
      <c r="K600" s="3" t="s">
        <v>24</v>
      </c>
      <c r="L600" s="4">
        <v>0.7</v>
      </c>
      <c r="M600" s="14">
        <v>347.49</v>
      </c>
      <c r="N600" s="14">
        <v>243.2</v>
      </c>
      <c r="O600" s="47">
        <f t="shared" si="141"/>
        <v>0.7</v>
      </c>
      <c r="P600" s="47">
        <f t="shared" si="142"/>
        <v>0.7</v>
      </c>
      <c r="Q600" s="47">
        <f t="shared" si="143"/>
        <v>347.49</v>
      </c>
      <c r="R600" s="47">
        <f t="shared" si="144"/>
        <v>347.49</v>
      </c>
      <c r="S600" s="47">
        <f t="shared" si="147"/>
        <v>0.7</v>
      </c>
      <c r="T600" s="47">
        <f t="shared" si="148"/>
        <v>0.7</v>
      </c>
      <c r="U600" s="47">
        <f t="shared" si="145"/>
        <v>243.2</v>
      </c>
      <c r="V600" s="47">
        <f t="shared" si="146"/>
        <v>243.2</v>
      </c>
      <c r="W600" s="98">
        <f t="shared" si="149"/>
        <v>243.2</v>
      </c>
      <c r="X600" s="98">
        <f t="shared" si="150"/>
        <v>0.7</v>
      </c>
      <c r="Y600" s="36"/>
      <c r="AA600" s="42" t="s">
        <v>134</v>
      </c>
      <c r="AF600" s="42" t="s">
        <v>190</v>
      </c>
      <c r="AK600" s="42" t="s">
        <v>124</v>
      </c>
      <c r="AP600" s="42" t="s">
        <v>191</v>
      </c>
      <c r="AQ600" s="42" t="s">
        <v>130</v>
      </c>
      <c r="AR600" s="42" t="s">
        <v>131</v>
      </c>
    </row>
    <row r="601" spans="1:45" x14ac:dyDescent="0.3">
      <c r="A601" s="53" t="s">
        <v>280</v>
      </c>
      <c r="B601" s="107">
        <v>599</v>
      </c>
      <c r="C601" s="8" t="str">
        <f t="shared" ca="1" si="139"/>
        <v>5년 이내</v>
      </c>
      <c r="D601" s="7">
        <v>45582</v>
      </c>
      <c r="E601" s="5">
        <f t="shared" si="140"/>
        <v>2</v>
      </c>
      <c r="F601" s="1" t="s">
        <v>1</v>
      </c>
      <c r="G601" s="33" t="s">
        <v>97</v>
      </c>
      <c r="H601" s="33" t="s">
        <v>98</v>
      </c>
      <c r="I601" s="9" t="s">
        <v>188</v>
      </c>
      <c r="J601" s="2" t="s">
        <v>4</v>
      </c>
      <c r="K601" s="3" t="s">
        <v>24</v>
      </c>
      <c r="L601" s="4">
        <v>0.7</v>
      </c>
      <c r="M601" s="14">
        <v>347.49</v>
      </c>
      <c r="N601" s="14">
        <v>243.2</v>
      </c>
      <c r="O601" s="47">
        <f t="shared" si="141"/>
        <v>0.7</v>
      </c>
      <c r="P601" s="47">
        <f t="shared" si="142"/>
        <v>0.7</v>
      </c>
      <c r="Q601" s="47">
        <f t="shared" si="143"/>
        <v>347.49</v>
      </c>
      <c r="R601" s="47">
        <f t="shared" si="144"/>
        <v>347.49</v>
      </c>
      <c r="S601" s="47">
        <f t="shared" si="147"/>
        <v>0.7</v>
      </c>
      <c r="T601" s="47">
        <f t="shared" si="148"/>
        <v>0.7</v>
      </c>
      <c r="U601" s="47">
        <f t="shared" si="145"/>
        <v>243.2</v>
      </c>
      <c r="V601" s="47">
        <f t="shared" si="146"/>
        <v>243.2</v>
      </c>
      <c r="W601" s="98">
        <f t="shared" si="149"/>
        <v>243.2</v>
      </c>
      <c r="X601" s="98">
        <f t="shared" si="150"/>
        <v>0.7</v>
      </c>
      <c r="Y601" s="36"/>
      <c r="AA601" s="42" t="s">
        <v>134</v>
      </c>
      <c r="AF601" s="42" t="s">
        <v>190</v>
      </c>
      <c r="AK601" s="42" t="s">
        <v>124</v>
      </c>
      <c r="AP601" s="42" t="s">
        <v>191</v>
      </c>
      <c r="AQ601" s="42" t="s">
        <v>130</v>
      </c>
      <c r="AR601" s="42" t="s">
        <v>131</v>
      </c>
    </row>
    <row r="602" spans="1:45" x14ac:dyDescent="0.3">
      <c r="A602" s="53" t="s">
        <v>280</v>
      </c>
      <c r="B602" s="107">
        <v>600</v>
      </c>
      <c r="C602" s="8" t="str">
        <f t="shared" ca="1" si="139"/>
        <v>5년 이내</v>
      </c>
      <c r="D602" s="7">
        <v>45620</v>
      </c>
      <c r="E602" s="5">
        <f t="shared" si="140"/>
        <v>2</v>
      </c>
      <c r="F602" s="1" t="s">
        <v>184</v>
      </c>
      <c r="G602" s="33" t="s">
        <v>17</v>
      </c>
      <c r="H602" s="33" t="s">
        <v>139</v>
      </c>
      <c r="I602" s="9" t="s">
        <v>185</v>
      </c>
      <c r="J602" s="2" t="s">
        <v>4</v>
      </c>
      <c r="K602" s="3" t="s">
        <v>186</v>
      </c>
      <c r="L602" s="4">
        <v>1</v>
      </c>
      <c r="M602" s="14">
        <v>911.9</v>
      </c>
      <c r="N602" s="14">
        <v>911.9</v>
      </c>
      <c r="O602" s="47">
        <f t="shared" si="141"/>
        <v>1</v>
      </c>
      <c r="P602" s="47">
        <f t="shared" si="142"/>
        <v>1</v>
      </c>
      <c r="Q602" s="47">
        <f t="shared" si="143"/>
        <v>911.9</v>
      </c>
      <c r="R602" s="47">
        <f t="shared" si="144"/>
        <v>911.9</v>
      </c>
      <c r="S602" s="47">
        <f t="shared" si="147"/>
        <v>1</v>
      </c>
      <c r="T602" s="47">
        <f t="shared" si="148"/>
        <v>1</v>
      </c>
      <c r="U602" s="47">
        <f t="shared" si="145"/>
        <v>911.9</v>
      </c>
      <c r="V602" s="47">
        <f t="shared" si="146"/>
        <v>911.9</v>
      </c>
      <c r="W602" s="98">
        <f t="shared" si="149"/>
        <v>911.9</v>
      </c>
      <c r="X602" s="98">
        <f t="shared" si="150"/>
        <v>1</v>
      </c>
      <c r="Y602" s="36" t="s">
        <v>225</v>
      </c>
      <c r="Z602" s="42" t="s">
        <v>194</v>
      </c>
      <c r="AD602" s="42" t="s">
        <v>196</v>
      </c>
      <c r="AE602" s="42" t="s">
        <v>195</v>
      </c>
      <c r="AF602" s="42" t="s">
        <v>5</v>
      </c>
      <c r="AH602" s="42" t="s">
        <v>197</v>
      </c>
      <c r="AI602" s="42" t="s">
        <v>193</v>
      </c>
      <c r="AJ602" s="42" t="s">
        <v>198</v>
      </c>
      <c r="AK602" s="42" t="s">
        <v>124</v>
      </c>
      <c r="AL602" s="42" t="s">
        <v>199</v>
      </c>
      <c r="AM602" s="42" t="s">
        <v>200</v>
      </c>
      <c r="AN602" s="42" t="s">
        <v>201</v>
      </c>
      <c r="AP602" s="42" t="s">
        <v>202</v>
      </c>
      <c r="AR602" s="42" t="s">
        <v>203</v>
      </c>
      <c r="AS602" s="42" t="s">
        <v>204</v>
      </c>
    </row>
    <row r="603" spans="1:45" x14ac:dyDescent="0.3">
      <c r="A603" s="53" t="s">
        <v>280</v>
      </c>
      <c r="B603" s="107">
        <v>601</v>
      </c>
      <c r="C603" s="8" t="str">
        <f t="shared" ca="1" si="139"/>
        <v>5년 이내</v>
      </c>
      <c r="D603" s="7">
        <v>45620</v>
      </c>
      <c r="E603" s="5">
        <f t="shared" si="140"/>
        <v>2</v>
      </c>
      <c r="F603" s="1" t="s">
        <v>1</v>
      </c>
      <c r="G603" s="33" t="s">
        <v>17</v>
      </c>
      <c r="H603" s="33" t="s">
        <v>143</v>
      </c>
      <c r="I603" s="9" t="s">
        <v>185</v>
      </c>
      <c r="J603" s="2" t="s">
        <v>4</v>
      </c>
      <c r="K603" s="3" t="s">
        <v>5</v>
      </c>
      <c r="L603" s="4">
        <v>1</v>
      </c>
      <c r="M603" s="14">
        <v>911.9</v>
      </c>
      <c r="N603" s="14">
        <v>911.9</v>
      </c>
      <c r="O603" s="47">
        <f t="shared" si="141"/>
        <v>1</v>
      </c>
      <c r="P603" s="47">
        <f t="shared" si="142"/>
        <v>1</v>
      </c>
      <c r="Q603" s="47">
        <f t="shared" si="143"/>
        <v>911.9</v>
      </c>
      <c r="R603" s="47">
        <f t="shared" si="144"/>
        <v>911.9</v>
      </c>
      <c r="S603" s="47">
        <f t="shared" si="147"/>
        <v>1</v>
      </c>
      <c r="T603" s="47">
        <f t="shared" si="148"/>
        <v>1</v>
      </c>
      <c r="U603" s="47">
        <f t="shared" si="145"/>
        <v>911.9</v>
      </c>
      <c r="V603" s="47">
        <f t="shared" si="146"/>
        <v>911.9</v>
      </c>
      <c r="W603" s="98">
        <f t="shared" si="149"/>
        <v>911.9</v>
      </c>
      <c r="X603" s="98">
        <f t="shared" si="150"/>
        <v>1</v>
      </c>
      <c r="Y603" s="36"/>
      <c r="Z603" s="42" t="s">
        <v>194</v>
      </c>
      <c r="AD603" s="42" t="s">
        <v>196</v>
      </c>
      <c r="AE603" s="42" t="s">
        <v>195</v>
      </c>
      <c r="AF603" s="42" t="s">
        <v>5</v>
      </c>
      <c r="AH603" s="42" t="s">
        <v>197</v>
      </c>
      <c r="AI603" s="42" t="s">
        <v>193</v>
      </c>
      <c r="AJ603" s="42" t="s">
        <v>198</v>
      </c>
      <c r="AK603" s="42" t="s">
        <v>124</v>
      </c>
      <c r="AL603" s="42" t="s">
        <v>199</v>
      </c>
      <c r="AM603" s="42" t="s">
        <v>200</v>
      </c>
      <c r="AN603" s="42" t="s">
        <v>201</v>
      </c>
      <c r="AP603" s="42" t="s">
        <v>202</v>
      </c>
      <c r="AR603" s="42" t="s">
        <v>203</v>
      </c>
      <c r="AS603" s="42" t="s">
        <v>204</v>
      </c>
    </row>
    <row r="604" spans="1:45" x14ac:dyDescent="0.3">
      <c r="A604" s="53" t="s">
        <v>280</v>
      </c>
      <c r="B604" s="107">
        <v>602</v>
      </c>
      <c r="C604" s="8" t="str">
        <f t="shared" ca="1" si="139"/>
        <v>5년 이내</v>
      </c>
      <c r="D604" s="7">
        <v>45620</v>
      </c>
      <c r="E604" s="5">
        <f t="shared" si="140"/>
        <v>2</v>
      </c>
      <c r="F604" s="1" t="s">
        <v>1</v>
      </c>
      <c r="G604" s="33" t="s">
        <v>17</v>
      </c>
      <c r="H604" s="33" t="s">
        <v>192</v>
      </c>
      <c r="I604" s="9" t="s">
        <v>185</v>
      </c>
      <c r="J604" s="2" t="s">
        <v>4</v>
      </c>
      <c r="K604" s="3" t="s">
        <v>5</v>
      </c>
      <c r="L604" s="4">
        <v>1</v>
      </c>
      <c r="M604" s="14">
        <v>911.9</v>
      </c>
      <c r="N604" s="14">
        <v>911.9</v>
      </c>
      <c r="O604" s="47">
        <f t="shared" si="141"/>
        <v>1</v>
      </c>
      <c r="P604" s="47">
        <f t="shared" si="142"/>
        <v>1</v>
      </c>
      <c r="Q604" s="47">
        <f t="shared" si="143"/>
        <v>911.9</v>
      </c>
      <c r="R604" s="47">
        <f t="shared" si="144"/>
        <v>911.9</v>
      </c>
      <c r="S604" s="47">
        <f t="shared" si="147"/>
        <v>1</v>
      </c>
      <c r="T604" s="47">
        <f t="shared" si="148"/>
        <v>1</v>
      </c>
      <c r="U604" s="47">
        <f t="shared" si="145"/>
        <v>911.9</v>
      </c>
      <c r="V604" s="47">
        <f t="shared" si="146"/>
        <v>911.9</v>
      </c>
      <c r="W604" s="98">
        <f t="shared" si="149"/>
        <v>911.9</v>
      </c>
      <c r="X604" s="98">
        <f t="shared" si="150"/>
        <v>1</v>
      </c>
      <c r="Y604" s="36"/>
      <c r="Z604" s="42" t="s">
        <v>194</v>
      </c>
      <c r="AD604" s="42" t="s">
        <v>196</v>
      </c>
      <c r="AE604" s="42" t="s">
        <v>195</v>
      </c>
      <c r="AF604" s="42" t="s">
        <v>5</v>
      </c>
      <c r="AH604" s="42" t="s">
        <v>197</v>
      </c>
      <c r="AI604" s="42" t="s">
        <v>193</v>
      </c>
      <c r="AJ604" s="42" t="s">
        <v>198</v>
      </c>
      <c r="AK604" s="42" t="s">
        <v>124</v>
      </c>
      <c r="AL604" s="42" t="s">
        <v>199</v>
      </c>
      <c r="AM604" s="42" t="s">
        <v>200</v>
      </c>
      <c r="AN604" s="42" t="s">
        <v>201</v>
      </c>
      <c r="AP604" s="42" t="s">
        <v>202</v>
      </c>
      <c r="AR604" s="42" t="s">
        <v>203</v>
      </c>
      <c r="AS604" s="42" t="s">
        <v>204</v>
      </c>
    </row>
    <row r="605" spans="1:45" x14ac:dyDescent="0.3">
      <c r="A605" s="53" t="s">
        <v>280</v>
      </c>
      <c r="B605" s="107">
        <v>603</v>
      </c>
      <c r="C605" s="8" t="str">
        <f t="shared" ca="1" si="139"/>
        <v>5년 이내</v>
      </c>
      <c r="D605" s="7">
        <v>45642</v>
      </c>
      <c r="E605" s="5">
        <f t="shared" si="140"/>
        <v>2</v>
      </c>
      <c r="F605" s="1" t="s">
        <v>1</v>
      </c>
      <c r="G605" s="33" t="s">
        <v>206</v>
      </c>
      <c r="H605" s="33" t="s">
        <v>207</v>
      </c>
      <c r="I605" s="9" t="s">
        <v>205</v>
      </c>
      <c r="J605" s="2" t="s">
        <v>4</v>
      </c>
      <c r="K605" s="3" t="s">
        <v>24</v>
      </c>
      <c r="L605" s="4">
        <v>1</v>
      </c>
      <c r="M605" s="14">
        <f>878</f>
        <v>878</v>
      </c>
      <c r="N605" s="14">
        <f t="shared" ref="N605:N612" si="151">M605</f>
        <v>878</v>
      </c>
      <c r="O605" s="47">
        <f t="shared" si="141"/>
        <v>1</v>
      </c>
      <c r="P605" s="47">
        <f t="shared" si="142"/>
        <v>1</v>
      </c>
      <c r="Q605" s="47">
        <f t="shared" si="143"/>
        <v>878</v>
      </c>
      <c r="R605" s="47">
        <f t="shared" si="144"/>
        <v>878</v>
      </c>
      <c r="S605" s="47">
        <f t="shared" si="147"/>
        <v>1</v>
      </c>
      <c r="T605" s="47">
        <f t="shared" si="148"/>
        <v>1</v>
      </c>
      <c r="U605" s="47">
        <f t="shared" si="145"/>
        <v>878</v>
      </c>
      <c r="V605" s="47">
        <f t="shared" si="146"/>
        <v>878</v>
      </c>
      <c r="W605" s="98">
        <f t="shared" si="149"/>
        <v>878</v>
      </c>
      <c r="X605" s="98">
        <f t="shared" si="150"/>
        <v>1</v>
      </c>
      <c r="Y605" s="36"/>
      <c r="AA605" s="42" t="s">
        <v>134</v>
      </c>
      <c r="AC605" s="42" t="s">
        <v>119</v>
      </c>
      <c r="AE605" s="42" t="s">
        <v>24</v>
      </c>
      <c r="AI605" s="42" t="s">
        <v>211</v>
      </c>
      <c r="AK605" s="42" t="s">
        <v>124</v>
      </c>
      <c r="AR605" s="42" t="s">
        <v>131</v>
      </c>
    </row>
    <row r="606" spans="1:45" x14ac:dyDescent="0.3">
      <c r="A606" s="53" t="s">
        <v>280</v>
      </c>
      <c r="B606" s="107">
        <v>604</v>
      </c>
      <c r="C606" s="8" t="str">
        <f t="shared" ca="1" si="139"/>
        <v>5년 이내</v>
      </c>
      <c r="D606" s="7">
        <v>45642</v>
      </c>
      <c r="E606" s="5">
        <f t="shared" si="140"/>
        <v>2</v>
      </c>
      <c r="F606" s="1" t="s">
        <v>1</v>
      </c>
      <c r="G606" s="33" t="s">
        <v>17</v>
      </c>
      <c r="H606" s="33" t="s">
        <v>139</v>
      </c>
      <c r="I606" s="9" t="s">
        <v>205</v>
      </c>
      <c r="J606" s="2" t="s">
        <v>4</v>
      </c>
      <c r="K606" s="3" t="s">
        <v>24</v>
      </c>
      <c r="L606" s="4">
        <v>1</v>
      </c>
      <c r="M606" s="14">
        <f>878</f>
        <v>878</v>
      </c>
      <c r="N606" s="14">
        <f t="shared" si="151"/>
        <v>878</v>
      </c>
      <c r="O606" s="47">
        <f t="shared" si="141"/>
        <v>1</v>
      </c>
      <c r="P606" s="47">
        <f t="shared" si="142"/>
        <v>1</v>
      </c>
      <c r="Q606" s="47">
        <f t="shared" si="143"/>
        <v>878</v>
      </c>
      <c r="R606" s="47">
        <f t="shared" si="144"/>
        <v>878</v>
      </c>
      <c r="S606" s="47">
        <f t="shared" si="147"/>
        <v>1</v>
      </c>
      <c r="T606" s="47">
        <f t="shared" si="148"/>
        <v>1</v>
      </c>
      <c r="U606" s="47">
        <f t="shared" si="145"/>
        <v>878</v>
      </c>
      <c r="V606" s="47">
        <f t="shared" si="146"/>
        <v>878</v>
      </c>
      <c r="W606" s="98">
        <f t="shared" si="149"/>
        <v>878</v>
      </c>
      <c r="X606" s="98">
        <f t="shared" si="150"/>
        <v>1</v>
      </c>
      <c r="Y606" s="36"/>
      <c r="AA606" s="42" t="s">
        <v>134</v>
      </c>
      <c r="AC606" s="42" t="s">
        <v>119</v>
      </c>
      <c r="AE606" s="42" t="s">
        <v>24</v>
      </c>
      <c r="AI606" s="42" t="s">
        <v>211</v>
      </c>
      <c r="AK606" s="42" t="s">
        <v>124</v>
      </c>
      <c r="AR606" s="42" t="s">
        <v>131</v>
      </c>
    </row>
    <row r="607" spans="1:45" x14ac:dyDescent="0.3">
      <c r="A607" s="53" t="s">
        <v>280</v>
      </c>
      <c r="B607" s="107">
        <v>605</v>
      </c>
      <c r="C607" s="8" t="str">
        <f t="shared" ca="1" si="139"/>
        <v>5년 이내</v>
      </c>
      <c r="D607" s="7">
        <v>45642</v>
      </c>
      <c r="E607" s="5">
        <f t="shared" si="140"/>
        <v>2</v>
      </c>
      <c r="F607" s="1" t="s">
        <v>1</v>
      </c>
      <c r="G607" s="33" t="s">
        <v>17</v>
      </c>
      <c r="H607" s="33" t="s">
        <v>448</v>
      </c>
      <c r="I607" s="9" t="s">
        <v>205</v>
      </c>
      <c r="J607" s="2" t="s">
        <v>4</v>
      </c>
      <c r="K607" s="3" t="s">
        <v>24</v>
      </c>
      <c r="L607" s="4">
        <v>1</v>
      </c>
      <c r="M607" s="14">
        <f>878</f>
        <v>878</v>
      </c>
      <c r="N607" s="14">
        <f t="shared" si="151"/>
        <v>878</v>
      </c>
      <c r="O607" s="47">
        <f t="shared" si="141"/>
        <v>1</v>
      </c>
      <c r="P607" s="47">
        <f t="shared" si="142"/>
        <v>1</v>
      </c>
      <c r="Q607" s="47">
        <f t="shared" si="143"/>
        <v>878</v>
      </c>
      <c r="R607" s="47">
        <f t="shared" si="144"/>
        <v>878</v>
      </c>
      <c r="S607" s="47">
        <f t="shared" si="147"/>
        <v>1</v>
      </c>
      <c r="T607" s="47">
        <f t="shared" si="148"/>
        <v>1</v>
      </c>
      <c r="U607" s="47">
        <f t="shared" si="145"/>
        <v>878</v>
      </c>
      <c r="V607" s="47">
        <f t="shared" si="146"/>
        <v>878</v>
      </c>
      <c r="W607" s="98">
        <f t="shared" si="149"/>
        <v>878</v>
      </c>
      <c r="X607" s="98">
        <f t="shared" si="150"/>
        <v>1</v>
      </c>
      <c r="Y607" s="36"/>
      <c r="AA607" s="42" t="s">
        <v>134</v>
      </c>
      <c r="AC607" s="42" t="s">
        <v>119</v>
      </c>
      <c r="AE607" s="42" t="s">
        <v>24</v>
      </c>
      <c r="AI607" s="42" t="s">
        <v>211</v>
      </c>
      <c r="AK607" s="42" t="s">
        <v>124</v>
      </c>
      <c r="AR607" s="42" t="s">
        <v>131</v>
      </c>
    </row>
    <row r="608" spans="1:45" x14ac:dyDescent="0.3">
      <c r="A608" s="53" t="s">
        <v>280</v>
      </c>
      <c r="B608" s="107">
        <v>606</v>
      </c>
      <c r="C608" s="8" t="str">
        <f t="shared" ca="1" si="139"/>
        <v>5년 이내</v>
      </c>
      <c r="D608" s="7">
        <v>45642</v>
      </c>
      <c r="E608" s="5">
        <f t="shared" si="140"/>
        <v>2</v>
      </c>
      <c r="F608" s="1" t="s">
        <v>1</v>
      </c>
      <c r="G608" s="33" t="s">
        <v>39</v>
      </c>
      <c r="H608" s="33" t="s">
        <v>183</v>
      </c>
      <c r="I608" s="9" t="s">
        <v>205</v>
      </c>
      <c r="J608" s="2" t="s">
        <v>4</v>
      </c>
      <c r="K608" s="3" t="s">
        <v>24</v>
      </c>
      <c r="L608" s="4">
        <v>1</v>
      </c>
      <c r="M608" s="14">
        <f>878</f>
        <v>878</v>
      </c>
      <c r="N608" s="14">
        <f t="shared" si="151"/>
        <v>878</v>
      </c>
      <c r="O608" s="47">
        <f t="shared" si="141"/>
        <v>1</v>
      </c>
      <c r="P608" s="47">
        <f t="shared" si="142"/>
        <v>1</v>
      </c>
      <c r="Q608" s="47">
        <f t="shared" si="143"/>
        <v>878</v>
      </c>
      <c r="R608" s="47">
        <f t="shared" si="144"/>
        <v>878</v>
      </c>
      <c r="S608" s="47">
        <f t="shared" si="147"/>
        <v>1</v>
      </c>
      <c r="T608" s="47">
        <f t="shared" si="148"/>
        <v>1</v>
      </c>
      <c r="U608" s="47">
        <f t="shared" si="145"/>
        <v>878</v>
      </c>
      <c r="V608" s="47">
        <f t="shared" si="146"/>
        <v>878</v>
      </c>
      <c r="W608" s="98">
        <f t="shared" si="149"/>
        <v>878</v>
      </c>
      <c r="X608" s="98">
        <f t="shared" si="150"/>
        <v>1</v>
      </c>
      <c r="Y608" s="36"/>
      <c r="AA608" s="42" t="s">
        <v>134</v>
      </c>
      <c r="AC608" s="42" t="s">
        <v>119</v>
      </c>
      <c r="AE608" s="42" t="s">
        <v>24</v>
      </c>
      <c r="AI608" s="42" t="s">
        <v>211</v>
      </c>
      <c r="AK608" s="42" t="s">
        <v>124</v>
      </c>
      <c r="AR608" s="42" t="s">
        <v>131</v>
      </c>
    </row>
    <row r="609" spans="1:46" x14ac:dyDescent="0.3">
      <c r="A609" s="53" t="s">
        <v>280</v>
      </c>
      <c r="B609" s="107">
        <v>607</v>
      </c>
      <c r="C609" s="8" t="str">
        <f t="shared" ca="1" si="139"/>
        <v>5년 이내</v>
      </c>
      <c r="D609" s="7">
        <v>45642</v>
      </c>
      <c r="E609" s="5">
        <f t="shared" si="140"/>
        <v>2</v>
      </c>
      <c r="F609" s="1" t="s">
        <v>1</v>
      </c>
      <c r="G609" s="33" t="s">
        <v>208</v>
      </c>
      <c r="H609" s="33" t="s">
        <v>209</v>
      </c>
      <c r="I609" s="9" t="s">
        <v>205</v>
      </c>
      <c r="J609" s="2" t="s">
        <v>4</v>
      </c>
      <c r="K609" s="3" t="s">
        <v>24</v>
      </c>
      <c r="L609" s="4">
        <v>1</v>
      </c>
      <c r="M609" s="14">
        <f>878</f>
        <v>878</v>
      </c>
      <c r="N609" s="14">
        <f t="shared" si="151"/>
        <v>878</v>
      </c>
      <c r="O609" s="47">
        <f t="shared" si="141"/>
        <v>1</v>
      </c>
      <c r="P609" s="47">
        <f t="shared" si="142"/>
        <v>1</v>
      </c>
      <c r="Q609" s="47">
        <f t="shared" si="143"/>
        <v>878</v>
      </c>
      <c r="R609" s="47">
        <f t="shared" si="144"/>
        <v>878</v>
      </c>
      <c r="S609" s="47">
        <f t="shared" si="147"/>
        <v>1</v>
      </c>
      <c r="T609" s="47">
        <f t="shared" si="148"/>
        <v>1</v>
      </c>
      <c r="U609" s="47">
        <f t="shared" si="145"/>
        <v>878</v>
      </c>
      <c r="V609" s="47">
        <f t="shared" si="146"/>
        <v>878</v>
      </c>
      <c r="W609" s="98">
        <f t="shared" si="149"/>
        <v>878</v>
      </c>
      <c r="X609" s="98">
        <f t="shared" si="150"/>
        <v>1</v>
      </c>
      <c r="Y609" s="36"/>
      <c r="AA609" s="42" t="s">
        <v>134</v>
      </c>
      <c r="AC609" s="42" t="s">
        <v>119</v>
      </c>
      <c r="AE609" s="42" t="s">
        <v>24</v>
      </c>
      <c r="AI609" s="42" t="s">
        <v>211</v>
      </c>
      <c r="AK609" s="42" t="s">
        <v>124</v>
      </c>
      <c r="AR609" s="42" t="s">
        <v>131</v>
      </c>
    </row>
    <row r="610" spans="1:46" x14ac:dyDescent="0.3">
      <c r="A610" s="53" t="s">
        <v>280</v>
      </c>
      <c r="B610" s="107">
        <v>608</v>
      </c>
      <c r="C610" s="8" t="str">
        <f t="shared" ca="1" si="139"/>
        <v>5년 이내</v>
      </c>
      <c r="D610" s="7">
        <v>45642</v>
      </c>
      <c r="E610" s="5">
        <f t="shared" si="140"/>
        <v>2</v>
      </c>
      <c r="F610" s="1" t="s">
        <v>1</v>
      </c>
      <c r="G610" s="33" t="s">
        <v>97</v>
      </c>
      <c r="H610" s="33" t="s">
        <v>210</v>
      </c>
      <c r="I610" s="9" t="s">
        <v>205</v>
      </c>
      <c r="J610" s="2" t="s">
        <v>4</v>
      </c>
      <c r="K610" s="3" t="s">
        <v>24</v>
      </c>
      <c r="L610" s="4">
        <v>1</v>
      </c>
      <c r="M610" s="14">
        <f>878</f>
        <v>878</v>
      </c>
      <c r="N610" s="14">
        <f t="shared" si="151"/>
        <v>878</v>
      </c>
      <c r="O610" s="47">
        <f t="shared" si="141"/>
        <v>1</v>
      </c>
      <c r="P610" s="47">
        <f t="shared" si="142"/>
        <v>1</v>
      </c>
      <c r="Q610" s="47">
        <f t="shared" si="143"/>
        <v>878</v>
      </c>
      <c r="R610" s="47">
        <f t="shared" si="144"/>
        <v>878</v>
      </c>
      <c r="S610" s="47">
        <f t="shared" si="147"/>
        <v>1</v>
      </c>
      <c r="T610" s="47">
        <f t="shared" si="148"/>
        <v>1</v>
      </c>
      <c r="U610" s="47">
        <f t="shared" si="145"/>
        <v>878</v>
      </c>
      <c r="V610" s="47">
        <f t="shared" si="146"/>
        <v>878</v>
      </c>
      <c r="W610" s="98">
        <f t="shared" si="149"/>
        <v>878</v>
      </c>
      <c r="X610" s="98">
        <f t="shared" si="150"/>
        <v>1</v>
      </c>
      <c r="Y610" s="36"/>
      <c r="AA610" s="42" t="s">
        <v>134</v>
      </c>
      <c r="AC610" s="42" t="s">
        <v>119</v>
      </c>
      <c r="AE610" s="42" t="s">
        <v>24</v>
      </c>
      <c r="AI610" s="42" t="s">
        <v>211</v>
      </c>
      <c r="AK610" s="42" t="s">
        <v>124</v>
      </c>
      <c r="AR610" s="42" t="s">
        <v>131</v>
      </c>
    </row>
    <row r="611" spans="1:46" x14ac:dyDescent="0.3">
      <c r="A611" s="53" t="s">
        <v>280</v>
      </c>
      <c r="B611" s="107">
        <v>609</v>
      </c>
      <c r="C611" s="8" t="str">
        <f t="shared" ca="1" si="139"/>
        <v>5년 이내</v>
      </c>
      <c r="D611" s="7">
        <v>45650</v>
      </c>
      <c r="E611" s="5" t="str">
        <f t="shared" si="140"/>
        <v/>
      </c>
      <c r="F611" s="1" t="s">
        <v>1</v>
      </c>
      <c r="G611" s="33" t="s">
        <v>213</v>
      </c>
      <c r="H611" s="33" t="s">
        <v>214</v>
      </c>
      <c r="I611" s="9" t="s">
        <v>212</v>
      </c>
      <c r="J611" s="2" t="s">
        <v>4</v>
      </c>
      <c r="K611" s="3" t="s">
        <v>24</v>
      </c>
      <c r="L611" s="4">
        <v>1</v>
      </c>
      <c r="M611" s="14">
        <v>18.8</v>
      </c>
      <c r="N611" s="14">
        <f t="shared" si="151"/>
        <v>18.8</v>
      </c>
      <c r="O611" s="47" t="str">
        <f t="shared" si="141"/>
        <v/>
      </c>
      <c r="P611" s="47" t="str">
        <f t="shared" si="142"/>
        <v/>
      </c>
      <c r="Q611" s="47" t="str">
        <f t="shared" si="143"/>
        <v/>
      </c>
      <c r="R611" s="47" t="str">
        <f t="shared" si="144"/>
        <v/>
      </c>
      <c r="S611" s="47" t="str">
        <f t="shared" si="147"/>
        <v/>
      </c>
      <c r="T611" s="47" t="str">
        <f t="shared" si="148"/>
        <v/>
      </c>
      <c r="U611" s="47" t="str">
        <f t="shared" si="145"/>
        <v/>
      </c>
      <c r="V611" s="47" t="str">
        <f t="shared" si="146"/>
        <v/>
      </c>
      <c r="W611" s="98">
        <f t="shared" si="149"/>
        <v>18.8</v>
      </c>
      <c r="X611" s="98">
        <f t="shared" si="150"/>
        <v>1</v>
      </c>
      <c r="Y611" s="36"/>
      <c r="AC611" s="42" t="s">
        <v>217</v>
      </c>
      <c r="AE611" s="42" t="s">
        <v>218</v>
      </c>
      <c r="AI611" s="42" t="s">
        <v>219</v>
      </c>
      <c r="AK611" s="42" t="s">
        <v>220</v>
      </c>
      <c r="AQ611" s="42" t="s">
        <v>221</v>
      </c>
      <c r="AR611" s="42" t="s">
        <v>222</v>
      </c>
    </row>
    <row r="612" spans="1:46" x14ac:dyDescent="0.3">
      <c r="A612" s="53" t="s">
        <v>280</v>
      </c>
      <c r="B612" s="107">
        <v>610</v>
      </c>
      <c r="C612" s="8" t="str">
        <f t="shared" ca="1" si="139"/>
        <v>5년 이내</v>
      </c>
      <c r="D612" s="7">
        <v>45650</v>
      </c>
      <c r="E612" s="5" t="str">
        <f t="shared" si="140"/>
        <v/>
      </c>
      <c r="F612" s="1" t="s">
        <v>1</v>
      </c>
      <c r="G612" s="33" t="s">
        <v>215</v>
      </c>
      <c r="H612" s="33" t="s">
        <v>216</v>
      </c>
      <c r="I612" s="9" t="s">
        <v>212</v>
      </c>
      <c r="J612" s="2" t="s">
        <v>4</v>
      </c>
      <c r="K612" s="3" t="s">
        <v>24</v>
      </c>
      <c r="L612" s="4">
        <v>1</v>
      </c>
      <c r="M612" s="14">
        <v>18.8</v>
      </c>
      <c r="N612" s="14">
        <f t="shared" si="151"/>
        <v>18.8</v>
      </c>
      <c r="O612" s="47" t="str">
        <f t="shared" si="141"/>
        <v/>
      </c>
      <c r="P612" s="47" t="str">
        <f t="shared" si="142"/>
        <v/>
      </c>
      <c r="Q612" s="47" t="str">
        <f t="shared" si="143"/>
        <v/>
      </c>
      <c r="R612" s="47" t="str">
        <f t="shared" si="144"/>
        <v/>
      </c>
      <c r="S612" s="47" t="str">
        <f t="shared" si="147"/>
        <v/>
      </c>
      <c r="T612" s="47" t="str">
        <f t="shared" si="148"/>
        <v/>
      </c>
      <c r="U612" s="47" t="str">
        <f t="shared" si="145"/>
        <v/>
      </c>
      <c r="V612" s="47" t="str">
        <f t="shared" si="146"/>
        <v/>
      </c>
      <c r="W612" s="98">
        <f t="shared" si="149"/>
        <v>18.8</v>
      </c>
      <c r="X612" s="98">
        <f t="shared" si="150"/>
        <v>1</v>
      </c>
      <c r="Y612" s="36"/>
      <c r="AC612" s="42" t="s">
        <v>217</v>
      </c>
      <c r="AE612" s="42" t="s">
        <v>218</v>
      </c>
      <c r="AI612" s="42" t="s">
        <v>219</v>
      </c>
      <c r="AK612" s="42" t="s">
        <v>220</v>
      </c>
      <c r="AQ612" s="42" t="s">
        <v>221</v>
      </c>
      <c r="AR612" s="42" t="s">
        <v>222</v>
      </c>
    </row>
    <row r="613" spans="1:46" ht="13.5" customHeight="1" x14ac:dyDescent="0.3">
      <c r="A613" s="53" t="s">
        <v>280</v>
      </c>
      <c r="B613" s="107">
        <v>611</v>
      </c>
      <c r="C613" s="8" t="str">
        <f t="shared" ca="1" si="139"/>
        <v>5년 이내</v>
      </c>
      <c r="D613" s="7">
        <v>45791</v>
      </c>
      <c r="E613" s="5">
        <f t="shared" si="140"/>
        <v>2</v>
      </c>
      <c r="F613" s="1" t="s">
        <v>1</v>
      </c>
      <c r="G613" s="33" t="s">
        <v>17</v>
      </c>
      <c r="H613" s="33" t="s">
        <v>139</v>
      </c>
      <c r="I613" s="9" t="s">
        <v>239</v>
      </c>
      <c r="J613" s="2" t="s">
        <v>4</v>
      </c>
      <c r="K613" s="3" t="s">
        <v>121</v>
      </c>
      <c r="L613" s="4">
        <v>0.65</v>
      </c>
      <c r="M613" s="14">
        <v>738.5</v>
      </c>
      <c r="N613" s="14">
        <v>428.1</v>
      </c>
      <c r="O613" s="47">
        <f t="shared" si="141"/>
        <v>0.65</v>
      </c>
      <c r="P613" s="47">
        <f t="shared" si="142"/>
        <v>0.65</v>
      </c>
      <c r="Q613" s="47">
        <f t="shared" si="143"/>
        <v>738.5</v>
      </c>
      <c r="R613" s="47">
        <f t="shared" si="144"/>
        <v>738.5</v>
      </c>
      <c r="S613" s="47">
        <f t="shared" si="147"/>
        <v>0.65</v>
      </c>
      <c r="T613" s="47">
        <f t="shared" si="148"/>
        <v>0.65</v>
      </c>
      <c r="U613" s="47">
        <f t="shared" si="145"/>
        <v>428.1</v>
      </c>
      <c r="V613" s="47">
        <f t="shared" si="146"/>
        <v>428.1</v>
      </c>
      <c r="W613" s="98">
        <f t="shared" si="149"/>
        <v>428.1</v>
      </c>
      <c r="X613" s="98">
        <f t="shared" si="150"/>
        <v>0.65</v>
      </c>
      <c r="Y613" s="36"/>
      <c r="Z613" s="42" t="s">
        <v>244</v>
      </c>
      <c r="AC613" s="42" t="s">
        <v>119</v>
      </c>
      <c r="AD613" s="42" t="s">
        <v>245</v>
      </c>
      <c r="AE613" s="42" t="s">
        <v>24</v>
      </c>
      <c r="AG613" s="42" t="s">
        <v>246</v>
      </c>
      <c r="AJ613" s="42" t="s">
        <v>247</v>
      </c>
      <c r="AK613" s="42" t="s">
        <v>124</v>
      </c>
      <c r="AL613" s="42" t="s">
        <v>125</v>
      </c>
      <c r="AM613" s="42" t="s">
        <v>126</v>
      </c>
      <c r="AN613" s="42" t="s">
        <v>248</v>
      </c>
      <c r="AS613" s="42" t="s">
        <v>249</v>
      </c>
    </row>
    <row r="614" spans="1:46" ht="13.5" customHeight="1" x14ac:dyDescent="0.3">
      <c r="A614" s="53" t="s">
        <v>280</v>
      </c>
      <c r="B614" s="107">
        <v>612</v>
      </c>
      <c r="C614" s="8" t="str">
        <f t="shared" ca="1" si="139"/>
        <v>5년 이내</v>
      </c>
      <c r="D614" s="7">
        <v>45791</v>
      </c>
      <c r="E614" s="5">
        <f t="shared" si="140"/>
        <v>2</v>
      </c>
      <c r="F614" s="1" t="s">
        <v>1</v>
      </c>
      <c r="G614" s="33" t="s">
        <v>17</v>
      </c>
      <c r="H614" s="33" t="s">
        <v>250</v>
      </c>
      <c r="I614" s="9" t="s">
        <v>239</v>
      </c>
      <c r="J614" s="2" t="s">
        <v>4</v>
      </c>
      <c r="K614" s="3" t="s">
        <v>121</v>
      </c>
      <c r="L614" s="4">
        <v>0.65</v>
      </c>
      <c r="M614" s="14">
        <v>738.5</v>
      </c>
      <c r="N614" s="14">
        <v>428.1</v>
      </c>
      <c r="O614" s="47">
        <f t="shared" si="141"/>
        <v>0.65</v>
      </c>
      <c r="P614" s="47">
        <f t="shared" si="142"/>
        <v>0.65</v>
      </c>
      <c r="Q614" s="47">
        <f t="shared" si="143"/>
        <v>738.5</v>
      </c>
      <c r="R614" s="47">
        <f t="shared" si="144"/>
        <v>738.5</v>
      </c>
      <c r="S614" s="47">
        <f t="shared" si="147"/>
        <v>0.65</v>
      </c>
      <c r="T614" s="47">
        <f t="shared" si="148"/>
        <v>0.65</v>
      </c>
      <c r="U614" s="47">
        <f t="shared" si="145"/>
        <v>428.1</v>
      </c>
      <c r="V614" s="47">
        <f t="shared" si="146"/>
        <v>428.1</v>
      </c>
      <c r="W614" s="98">
        <f t="shared" si="149"/>
        <v>428.1</v>
      </c>
      <c r="X614" s="98">
        <f t="shared" si="150"/>
        <v>0.65</v>
      </c>
      <c r="Y614" s="36"/>
      <c r="Z614" s="42" t="s">
        <v>244</v>
      </c>
      <c r="AC614" s="42" t="s">
        <v>119</v>
      </c>
      <c r="AD614" s="42" t="s">
        <v>245</v>
      </c>
      <c r="AE614" s="42" t="s">
        <v>24</v>
      </c>
      <c r="AG614" s="42" t="s">
        <v>246</v>
      </c>
      <c r="AJ614" s="42" t="s">
        <v>247</v>
      </c>
      <c r="AK614" s="42" t="s">
        <v>124</v>
      </c>
      <c r="AL614" s="42" t="s">
        <v>125</v>
      </c>
      <c r="AM614" s="42" t="s">
        <v>126</v>
      </c>
      <c r="AN614" s="42" t="s">
        <v>248</v>
      </c>
      <c r="AS614" s="42" t="s">
        <v>249</v>
      </c>
    </row>
    <row r="615" spans="1:46" ht="13.5" customHeight="1" x14ac:dyDescent="0.3">
      <c r="A615" s="53" t="s">
        <v>280</v>
      </c>
      <c r="B615" s="107">
        <v>613</v>
      </c>
      <c r="C615" s="8" t="str">
        <f t="shared" ca="1" si="139"/>
        <v>5년 이내</v>
      </c>
      <c r="D615" s="7">
        <v>45791</v>
      </c>
      <c r="E615" s="5">
        <f t="shared" si="140"/>
        <v>2</v>
      </c>
      <c r="F615" s="1" t="s">
        <v>1</v>
      </c>
      <c r="G615" s="33" t="s">
        <v>528</v>
      </c>
      <c r="H615" s="33" t="s">
        <v>252</v>
      </c>
      <c r="I615" s="9" t="s">
        <v>239</v>
      </c>
      <c r="J615" s="2" t="s">
        <v>4</v>
      </c>
      <c r="K615" s="3" t="s">
        <v>121</v>
      </c>
      <c r="L615" s="4">
        <v>0.65</v>
      </c>
      <c r="M615" s="14">
        <v>738.5</v>
      </c>
      <c r="N615" s="14">
        <v>428.1</v>
      </c>
      <c r="O615" s="47">
        <f t="shared" si="141"/>
        <v>0.65</v>
      </c>
      <c r="P615" s="47">
        <f t="shared" si="142"/>
        <v>0.65</v>
      </c>
      <c r="Q615" s="47">
        <f t="shared" si="143"/>
        <v>738.5</v>
      </c>
      <c r="R615" s="47">
        <f t="shared" si="144"/>
        <v>738.5</v>
      </c>
      <c r="S615" s="47">
        <f t="shared" si="147"/>
        <v>0.65</v>
      </c>
      <c r="T615" s="47">
        <f t="shared" si="148"/>
        <v>0.65</v>
      </c>
      <c r="U615" s="47">
        <f t="shared" si="145"/>
        <v>428.1</v>
      </c>
      <c r="V615" s="47">
        <f t="shared" si="146"/>
        <v>428.1</v>
      </c>
      <c r="W615" s="98">
        <f t="shared" si="149"/>
        <v>428.1</v>
      </c>
      <c r="X615" s="98">
        <f t="shared" si="150"/>
        <v>0.65</v>
      </c>
      <c r="Y615" s="36"/>
      <c r="Z615" s="42" t="s">
        <v>244</v>
      </c>
      <c r="AC615" s="42" t="s">
        <v>119</v>
      </c>
      <c r="AD615" s="42" t="s">
        <v>245</v>
      </c>
      <c r="AE615" s="42" t="s">
        <v>24</v>
      </c>
      <c r="AG615" s="42" t="s">
        <v>246</v>
      </c>
      <c r="AJ615" s="42" t="s">
        <v>247</v>
      </c>
      <c r="AK615" s="42" t="s">
        <v>124</v>
      </c>
      <c r="AL615" s="42" t="s">
        <v>125</v>
      </c>
      <c r="AM615" s="42" t="s">
        <v>126</v>
      </c>
      <c r="AN615" s="42" t="s">
        <v>248</v>
      </c>
      <c r="AS615" s="42" t="s">
        <v>249</v>
      </c>
    </row>
    <row r="616" spans="1:46" ht="13.5" customHeight="1" x14ac:dyDescent="0.3">
      <c r="A616" s="53" t="s">
        <v>280</v>
      </c>
      <c r="B616" s="107">
        <v>614</v>
      </c>
      <c r="C616" s="8" t="str">
        <f t="shared" ca="1" si="139"/>
        <v>5년 이내</v>
      </c>
      <c r="D616" s="7">
        <v>45791</v>
      </c>
      <c r="E616" s="5">
        <f t="shared" si="140"/>
        <v>2</v>
      </c>
      <c r="F616" s="1" t="s">
        <v>1</v>
      </c>
      <c r="G616" s="33" t="s">
        <v>230</v>
      </c>
      <c r="H616" s="33" t="s">
        <v>229</v>
      </c>
      <c r="I616" s="9" t="s">
        <v>239</v>
      </c>
      <c r="J616" s="2" t="s">
        <v>4</v>
      </c>
      <c r="K616" s="3" t="s">
        <v>121</v>
      </c>
      <c r="L616" s="4">
        <v>0.65</v>
      </c>
      <c r="M616" s="14">
        <v>738.5</v>
      </c>
      <c r="N616" s="14">
        <v>428.1</v>
      </c>
      <c r="O616" s="47">
        <f t="shared" si="141"/>
        <v>0.65</v>
      </c>
      <c r="P616" s="47">
        <f t="shared" si="142"/>
        <v>0.65</v>
      </c>
      <c r="Q616" s="47">
        <f t="shared" si="143"/>
        <v>738.5</v>
      </c>
      <c r="R616" s="47">
        <f t="shared" si="144"/>
        <v>738.5</v>
      </c>
      <c r="S616" s="47">
        <f t="shared" si="147"/>
        <v>0.65</v>
      </c>
      <c r="T616" s="47">
        <f t="shared" si="148"/>
        <v>0.65</v>
      </c>
      <c r="U616" s="47">
        <f t="shared" si="145"/>
        <v>428.1</v>
      </c>
      <c r="V616" s="47">
        <f t="shared" si="146"/>
        <v>428.1</v>
      </c>
      <c r="W616" s="98">
        <f t="shared" si="149"/>
        <v>428.1</v>
      </c>
      <c r="X616" s="98">
        <f t="shared" si="150"/>
        <v>0.65</v>
      </c>
      <c r="Y616" s="36"/>
      <c r="Z616" s="42" t="s">
        <v>244</v>
      </c>
      <c r="AC616" s="42" t="s">
        <v>119</v>
      </c>
      <c r="AD616" s="42" t="s">
        <v>245</v>
      </c>
      <c r="AE616" s="42" t="s">
        <v>24</v>
      </c>
      <c r="AG616" s="42" t="s">
        <v>246</v>
      </c>
      <c r="AJ616" s="42" t="s">
        <v>247</v>
      </c>
      <c r="AK616" s="42" t="s">
        <v>124</v>
      </c>
      <c r="AL616" s="42" t="s">
        <v>125</v>
      </c>
      <c r="AM616" s="42" t="s">
        <v>126</v>
      </c>
      <c r="AN616" s="42" t="s">
        <v>248</v>
      </c>
      <c r="AS616" s="42" t="s">
        <v>249</v>
      </c>
    </row>
    <row r="617" spans="1:46" ht="13.5" customHeight="1" x14ac:dyDescent="0.3">
      <c r="A617" s="53" t="s">
        <v>280</v>
      </c>
      <c r="B617" s="107">
        <v>615</v>
      </c>
      <c r="C617" s="8" t="str">
        <f t="shared" ca="1" si="139"/>
        <v>5년 이내</v>
      </c>
      <c r="D617" s="7">
        <v>45791</v>
      </c>
      <c r="E617" s="5">
        <f t="shared" si="140"/>
        <v>2</v>
      </c>
      <c r="F617" s="1" t="s">
        <v>1</v>
      </c>
      <c r="G617" s="33" t="s">
        <v>253</v>
      </c>
      <c r="H617" s="33" t="s">
        <v>254</v>
      </c>
      <c r="I617" s="9" t="s">
        <v>239</v>
      </c>
      <c r="J617" s="2" t="s">
        <v>4</v>
      </c>
      <c r="K617" s="3" t="s">
        <v>121</v>
      </c>
      <c r="L617" s="4">
        <v>0.65</v>
      </c>
      <c r="M617" s="14">
        <v>738.5</v>
      </c>
      <c r="N617" s="14">
        <v>428.1</v>
      </c>
      <c r="O617" s="47">
        <f t="shared" si="141"/>
        <v>0.65</v>
      </c>
      <c r="P617" s="47">
        <f t="shared" si="142"/>
        <v>0.65</v>
      </c>
      <c r="Q617" s="47">
        <f t="shared" si="143"/>
        <v>738.5</v>
      </c>
      <c r="R617" s="47">
        <f t="shared" si="144"/>
        <v>738.5</v>
      </c>
      <c r="S617" s="47">
        <f t="shared" si="147"/>
        <v>0.65</v>
      </c>
      <c r="T617" s="47">
        <f t="shared" si="148"/>
        <v>0.65</v>
      </c>
      <c r="U617" s="47">
        <f t="shared" si="145"/>
        <v>428.1</v>
      </c>
      <c r="V617" s="47">
        <f t="shared" si="146"/>
        <v>428.1</v>
      </c>
      <c r="W617" s="98">
        <f t="shared" si="149"/>
        <v>428.1</v>
      </c>
      <c r="X617" s="98">
        <f t="shared" si="150"/>
        <v>0.65</v>
      </c>
      <c r="Y617" s="36"/>
      <c r="Z617" s="42" t="s">
        <v>244</v>
      </c>
      <c r="AC617" s="42" t="s">
        <v>119</v>
      </c>
      <c r="AD617" s="42" t="s">
        <v>245</v>
      </c>
      <c r="AE617" s="42" t="s">
        <v>24</v>
      </c>
      <c r="AG617" s="42" t="s">
        <v>246</v>
      </c>
      <c r="AJ617" s="42" t="s">
        <v>247</v>
      </c>
      <c r="AK617" s="42" t="s">
        <v>124</v>
      </c>
      <c r="AL617" s="42" t="s">
        <v>125</v>
      </c>
      <c r="AM617" s="42" t="s">
        <v>126</v>
      </c>
      <c r="AN617" s="42" t="s">
        <v>248</v>
      </c>
      <c r="AS617" s="42" t="s">
        <v>249</v>
      </c>
    </row>
    <row r="618" spans="1:46" ht="13.5" customHeight="1" x14ac:dyDescent="0.3">
      <c r="A618" s="53" t="s">
        <v>280</v>
      </c>
      <c r="B618" s="107">
        <v>616</v>
      </c>
      <c r="C618" s="8" t="str">
        <f t="shared" ca="1" si="139"/>
        <v>5년 이내</v>
      </c>
      <c r="D618" s="7">
        <v>45897</v>
      </c>
      <c r="E618" s="5">
        <f t="shared" si="140"/>
        <v>2</v>
      </c>
      <c r="F618" s="1" t="s">
        <v>255</v>
      </c>
      <c r="G618" s="33" t="s">
        <v>10</v>
      </c>
      <c r="H618" s="33" t="s">
        <v>48</v>
      </c>
      <c r="I618" s="9" t="s">
        <v>259</v>
      </c>
      <c r="J618" s="2" t="s">
        <v>4</v>
      </c>
      <c r="K618" s="3" t="s">
        <v>120</v>
      </c>
      <c r="L618" s="4">
        <v>0.7</v>
      </c>
      <c r="M618" s="14">
        <v>922.7</v>
      </c>
      <c r="N618" s="14">
        <v>591.29999999999995</v>
      </c>
      <c r="O618" s="47">
        <f t="shared" si="141"/>
        <v>0.7</v>
      </c>
      <c r="P618" s="47">
        <f t="shared" si="142"/>
        <v>0.7</v>
      </c>
      <c r="Q618" s="47">
        <f t="shared" si="143"/>
        <v>922.7</v>
      </c>
      <c r="R618" s="47">
        <f t="shared" si="144"/>
        <v>922.7</v>
      </c>
      <c r="S618" s="47">
        <f t="shared" si="147"/>
        <v>0.7</v>
      </c>
      <c r="T618" s="47">
        <f t="shared" si="148"/>
        <v>0.7</v>
      </c>
      <c r="U618" s="47">
        <f t="shared" si="145"/>
        <v>591.29999999999995</v>
      </c>
      <c r="V618" s="47">
        <f t="shared" si="146"/>
        <v>591.29999999999995</v>
      </c>
      <c r="W618" s="98">
        <f t="shared" si="149"/>
        <v>591.29999999999995</v>
      </c>
      <c r="X618" s="98">
        <f t="shared" si="150"/>
        <v>0.7</v>
      </c>
      <c r="Y618" s="36"/>
      <c r="Z618" s="42" t="s">
        <v>44</v>
      </c>
      <c r="AC618" s="42" t="s">
        <v>119</v>
      </c>
      <c r="AD618" s="42" t="s">
        <v>18</v>
      </c>
      <c r="AF618" s="42" t="s">
        <v>5</v>
      </c>
      <c r="AG618" s="42" t="s">
        <v>120</v>
      </c>
      <c r="AI618" s="42" t="s">
        <v>122</v>
      </c>
      <c r="AJ618" s="42" t="s">
        <v>123</v>
      </c>
      <c r="AK618" s="42" t="s">
        <v>124</v>
      </c>
      <c r="AL618" s="42" t="s">
        <v>125</v>
      </c>
      <c r="AM618" s="42" t="s">
        <v>126</v>
      </c>
      <c r="AN618" s="42" t="s">
        <v>127</v>
      </c>
      <c r="AQ618" s="42" t="s">
        <v>260</v>
      </c>
      <c r="AR618" s="42" t="s">
        <v>261</v>
      </c>
      <c r="AS618" s="42" t="s">
        <v>132</v>
      </c>
      <c r="AT618" s="42" t="s">
        <v>133</v>
      </c>
    </row>
    <row r="619" spans="1:46" ht="13.5" customHeight="1" x14ac:dyDescent="0.3">
      <c r="A619" s="53" t="s">
        <v>280</v>
      </c>
      <c r="B619" s="107">
        <v>617</v>
      </c>
      <c r="C619" s="8" t="str">
        <f t="shared" ca="1" si="139"/>
        <v>5년 이내</v>
      </c>
      <c r="D619" s="7">
        <v>45897</v>
      </c>
      <c r="E619" s="5">
        <f t="shared" si="140"/>
        <v>2</v>
      </c>
      <c r="F619" s="1" t="s">
        <v>255</v>
      </c>
      <c r="G619" s="33" t="s">
        <v>68</v>
      </c>
      <c r="H619" s="33" t="s">
        <v>256</v>
      </c>
      <c r="I619" s="9" t="s">
        <v>259</v>
      </c>
      <c r="J619" s="2" t="s">
        <v>4</v>
      </c>
      <c r="K619" s="3" t="s">
        <v>120</v>
      </c>
      <c r="L619" s="4">
        <v>0.7</v>
      </c>
      <c r="M619" s="14">
        <v>922.7</v>
      </c>
      <c r="N619" s="14">
        <v>591.29999999999995</v>
      </c>
      <c r="O619" s="47">
        <f t="shared" si="141"/>
        <v>0.7</v>
      </c>
      <c r="P619" s="47">
        <f t="shared" si="142"/>
        <v>0.7</v>
      </c>
      <c r="Q619" s="47">
        <f t="shared" si="143"/>
        <v>922.7</v>
      </c>
      <c r="R619" s="47">
        <f t="shared" si="144"/>
        <v>922.7</v>
      </c>
      <c r="S619" s="47">
        <f t="shared" si="147"/>
        <v>0.7</v>
      </c>
      <c r="T619" s="47">
        <f t="shared" si="148"/>
        <v>0.7</v>
      </c>
      <c r="U619" s="47">
        <f t="shared" si="145"/>
        <v>591.29999999999995</v>
      </c>
      <c r="V619" s="47">
        <f t="shared" si="146"/>
        <v>591.29999999999995</v>
      </c>
      <c r="W619" s="98">
        <f t="shared" si="149"/>
        <v>591.29999999999995</v>
      </c>
      <c r="X619" s="98">
        <f t="shared" si="150"/>
        <v>0.7</v>
      </c>
      <c r="Y619" s="36"/>
      <c r="Z619" s="42" t="s">
        <v>44</v>
      </c>
      <c r="AC619" s="42" t="s">
        <v>119</v>
      </c>
      <c r="AD619" s="42" t="s">
        <v>18</v>
      </c>
      <c r="AF619" s="42" t="s">
        <v>5</v>
      </c>
      <c r="AG619" s="42" t="s">
        <v>120</v>
      </c>
      <c r="AI619" s="42" t="s">
        <v>122</v>
      </c>
      <c r="AJ619" s="42" t="s">
        <v>123</v>
      </c>
      <c r="AK619" s="42" t="s">
        <v>124</v>
      </c>
      <c r="AL619" s="42" t="s">
        <v>125</v>
      </c>
      <c r="AM619" s="42" t="s">
        <v>126</v>
      </c>
      <c r="AN619" s="42" t="s">
        <v>127</v>
      </c>
      <c r="AQ619" s="42" t="s">
        <v>260</v>
      </c>
      <c r="AR619" s="42" t="s">
        <v>261</v>
      </c>
      <c r="AS619" s="42" t="s">
        <v>132</v>
      </c>
      <c r="AT619" s="42" t="s">
        <v>133</v>
      </c>
    </row>
    <row r="620" spans="1:46" ht="13.5" customHeight="1" x14ac:dyDescent="0.3">
      <c r="A620" s="53" t="s">
        <v>280</v>
      </c>
      <c r="B620" s="107">
        <v>618</v>
      </c>
      <c r="C620" s="8" t="str">
        <f t="shared" ca="1" si="139"/>
        <v>5년 이내</v>
      </c>
      <c r="D620" s="7">
        <v>45897</v>
      </c>
      <c r="E620" s="5">
        <f t="shared" si="140"/>
        <v>2</v>
      </c>
      <c r="F620" s="1" t="s">
        <v>255</v>
      </c>
      <c r="G620" s="33" t="s">
        <v>78</v>
      </c>
      <c r="H620" s="33" t="s">
        <v>79</v>
      </c>
      <c r="I620" s="9" t="s">
        <v>259</v>
      </c>
      <c r="J620" s="2" t="s">
        <v>4</v>
      </c>
      <c r="K620" s="3" t="s">
        <v>120</v>
      </c>
      <c r="L620" s="4">
        <v>0.7</v>
      </c>
      <c r="M620" s="14">
        <v>922.7</v>
      </c>
      <c r="N620" s="14">
        <v>591.29999999999995</v>
      </c>
      <c r="O620" s="47">
        <f t="shared" si="141"/>
        <v>0.7</v>
      </c>
      <c r="P620" s="47">
        <f t="shared" si="142"/>
        <v>0.7</v>
      </c>
      <c r="Q620" s="47">
        <f t="shared" si="143"/>
        <v>922.7</v>
      </c>
      <c r="R620" s="47">
        <f t="shared" si="144"/>
        <v>922.7</v>
      </c>
      <c r="S620" s="47">
        <f t="shared" si="147"/>
        <v>0.7</v>
      </c>
      <c r="T620" s="47">
        <f t="shared" si="148"/>
        <v>0.7</v>
      </c>
      <c r="U620" s="47">
        <f t="shared" si="145"/>
        <v>591.29999999999995</v>
      </c>
      <c r="V620" s="47">
        <f t="shared" si="146"/>
        <v>591.29999999999995</v>
      </c>
      <c r="W620" s="98">
        <f t="shared" si="149"/>
        <v>591.29999999999995</v>
      </c>
      <c r="X620" s="98">
        <f t="shared" si="150"/>
        <v>0.7</v>
      </c>
      <c r="Y620" s="36"/>
      <c r="Z620" s="42" t="s">
        <v>44</v>
      </c>
      <c r="AC620" s="42" t="s">
        <v>119</v>
      </c>
      <c r="AD620" s="42" t="s">
        <v>18</v>
      </c>
      <c r="AF620" s="42" t="s">
        <v>5</v>
      </c>
      <c r="AG620" s="42" t="s">
        <v>120</v>
      </c>
      <c r="AI620" s="42" t="s">
        <v>122</v>
      </c>
      <c r="AJ620" s="42" t="s">
        <v>123</v>
      </c>
      <c r="AK620" s="42" t="s">
        <v>124</v>
      </c>
      <c r="AL620" s="42" t="s">
        <v>125</v>
      </c>
      <c r="AM620" s="42" t="s">
        <v>126</v>
      </c>
      <c r="AN620" s="42" t="s">
        <v>127</v>
      </c>
      <c r="AQ620" s="42" t="s">
        <v>260</v>
      </c>
      <c r="AR620" s="42" t="s">
        <v>261</v>
      </c>
      <c r="AS620" s="42" t="s">
        <v>132</v>
      </c>
      <c r="AT620" s="42" t="s">
        <v>133</v>
      </c>
    </row>
    <row r="621" spans="1:46" ht="13.5" customHeight="1" x14ac:dyDescent="0.3">
      <c r="A621" s="53" t="s">
        <v>280</v>
      </c>
      <c r="B621" s="107">
        <v>619</v>
      </c>
      <c r="C621" s="8" t="str">
        <f t="shared" ca="1" si="139"/>
        <v>5년 이내</v>
      </c>
      <c r="D621" s="7">
        <v>45897</v>
      </c>
      <c r="E621" s="5">
        <f t="shared" si="140"/>
        <v>2</v>
      </c>
      <c r="F621" s="1" t="s">
        <v>255</v>
      </c>
      <c r="G621" s="33" t="s">
        <v>78</v>
      </c>
      <c r="H621" s="33" t="s">
        <v>257</v>
      </c>
      <c r="I621" s="9" t="s">
        <v>259</v>
      </c>
      <c r="J621" s="2" t="s">
        <v>4</v>
      </c>
      <c r="K621" s="3" t="s">
        <v>120</v>
      </c>
      <c r="L621" s="4">
        <v>0.7</v>
      </c>
      <c r="M621" s="14">
        <v>922.7</v>
      </c>
      <c r="N621" s="14">
        <v>591.29999999999995</v>
      </c>
      <c r="O621" s="47">
        <f t="shared" si="141"/>
        <v>0.7</v>
      </c>
      <c r="P621" s="47">
        <f t="shared" si="142"/>
        <v>0.7</v>
      </c>
      <c r="Q621" s="47">
        <f t="shared" si="143"/>
        <v>922.7</v>
      </c>
      <c r="R621" s="47">
        <f t="shared" si="144"/>
        <v>922.7</v>
      </c>
      <c r="S621" s="47">
        <f t="shared" si="147"/>
        <v>0.7</v>
      </c>
      <c r="T621" s="47">
        <f t="shared" si="148"/>
        <v>0.7</v>
      </c>
      <c r="U621" s="47">
        <f t="shared" si="145"/>
        <v>591.29999999999995</v>
      </c>
      <c r="V621" s="47">
        <f t="shared" si="146"/>
        <v>591.29999999999995</v>
      </c>
      <c r="W621" s="98">
        <f t="shared" si="149"/>
        <v>591.29999999999995</v>
      </c>
      <c r="X621" s="98">
        <f t="shared" si="150"/>
        <v>0.7</v>
      </c>
      <c r="Y621" s="36"/>
      <c r="Z621" s="42" t="s">
        <v>44</v>
      </c>
      <c r="AC621" s="42" t="s">
        <v>119</v>
      </c>
      <c r="AD621" s="42" t="s">
        <v>18</v>
      </c>
      <c r="AF621" s="42" t="s">
        <v>5</v>
      </c>
      <c r="AG621" s="42" t="s">
        <v>120</v>
      </c>
      <c r="AI621" s="42" t="s">
        <v>122</v>
      </c>
      <c r="AJ621" s="42" t="s">
        <v>123</v>
      </c>
      <c r="AK621" s="42" t="s">
        <v>124</v>
      </c>
      <c r="AL621" s="42" t="s">
        <v>125</v>
      </c>
      <c r="AM621" s="42" t="s">
        <v>126</v>
      </c>
      <c r="AN621" s="42" t="s">
        <v>127</v>
      </c>
      <c r="AQ621" s="42" t="s">
        <v>260</v>
      </c>
      <c r="AR621" s="42" t="s">
        <v>261</v>
      </c>
      <c r="AS621" s="42" t="s">
        <v>132</v>
      </c>
      <c r="AT621" s="42" t="s">
        <v>133</v>
      </c>
    </row>
    <row r="622" spans="1:46" ht="13.5" customHeight="1" x14ac:dyDescent="0.3">
      <c r="A622" s="53" t="s">
        <v>280</v>
      </c>
      <c r="B622" s="107">
        <v>620</v>
      </c>
      <c r="C622" s="8" t="str">
        <f t="shared" ca="1" si="139"/>
        <v>5년 이내</v>
      </c>
      <c r="D622" s="7">
        <v>45897</v>
      </c>
      <c r="E622" s="5">
        <f t="shared" si="140"/>
        <v>2</v>
      </c>
      <c r="F622" s="1" t="s">
        <v>255</v>
      </c>
      <c r="G622" s="33" t="s">
        <v>97</v>
      </c>
      <c r="H622" s="33" t="s">
        <v>98</v>
      </c>
      <c r="I622" s="9" t="s">
        <v>259</v>
      </c>
      <c r="J622" s="2" t="s">
        <v>4</v>
      </c>
      <c r="K622" s="3" t="s">
        <v>120</v>
      </c>
      <c r="L622" s="4">
        <v>0.7</v>
      </c>
      <c r="M622" s="14">
        <v>922.7</v>
      </c>
      <c r="N622" s="14">
        <v>591.29999999999995</v>
      </c>
      <c r="O622" s="47">
        <f t="shared" si="141"/>
        <v>0.7</v>
      </c>
      <c r="P622" s="47">
        <f t="shared" si="142"/>
        <v>0.7</v>
      </c>
      <c r="Q622" s="47">
        <f t="shared" si="143"/>
        <v>922.7</v>
      </c>
      <c r="R622" s="47">
        <f t="shared" si="144"/>
        <v>922.7</v>
      </c>
      <c r="S622" s="47">
        <f t="shared" si="147"/>
        <v>0.7</v>
      </c>
      <c r="T622" s="47">
        <f t="shared" si="148"/>
        <v>0.7</v>
      </c>
      <c r="U622" s="47">
        <f t="shared" si="145"/>
        <v>591.29999999999995</v>
      </c>
      <c r="V622" s="47">
        <f t="shared" si="146"/>
        <v>591.29999999999995</v>
      </c>
      <c r="W622" s="98">
        <f t="shared" si="149"/>
        <v>591.29999999999995</v>
      </c>
      <c r="X622" s="98">
        <f t="shared" si="150"/>
        <v>0.7</v>
      </c>
      <c r="Y622" s="36"/>
      <c r="Z622" s="42" t="s">
        <v>44</v>
      </c>
      <c r="AC622" s="42" t="s">
        <v>119</v>
      </c>
      <c r="AD622" s="42" t="s">
        <v>18</v>
      </c>
      <c r="AF622" s="42" t="s">
        <v>5</v>
      </c>
      <c r="AG622" s="42" t="s">
        <v>120</v>
      </c>
      <c r="AI622" s="42" t="s">
        <v>122</v>
      </c>
      <c r="AJ622" s="42" t="s">
        <v>123</v>
      </c>
      <c r="AK622" s="42" t="s">
        <v>124</v>
      </c>
      <c r="AL622" s="42" t="s">
        <v>125</v>
      </c>
      <c r="AM622" s="42" t="s">
        <v>126</v>
      </c>
      <c r="AN622" s="42" t="s">
        <v>127</v>
      </c>
      <c r="AQ622" s="42" t="s">
        <v>260</v>
      </c>
      <c r="AR622" s="42" t="s">
        <v>261</v>
      </c>
      <c r="AS622" s="42" t="s">
        <v>132</v>
      </c>
      <c r="AT622" s="42" t="s">
        <v>133</v>
      </c>
    </row>
    <row r="623" spans="1:46" ht="13.5" customHeight="1" x14ac:dyDescent="0.3">
      <c r="A623" s="53" t="s">
        <v>280</v>
      </c>
      <c r="B623" s="107">
        <v>621</v>
      </c>
      <c r="C623" s="8" t="str">
        <f t="shared" ca="1" si="139"/>
        <v>5년 이내</v>
      </c>
      <c r="D623" s="7">
        <v>45897</v>
      </c>
      <c r="E623" s="5">
        <f t="shared" si="140"/>
        <v>2</v>
      </c>
      <c r="F623" s="1" t="s">
        <v>255</v>
      </c>
      <c r="G623" s="33" t="s">
        <v>230</v>
      </c>
      <c r="H623" s="33" t="s">
        <v>229</v>
      </c>
      <c r="I623" s="9" t="s">
        <v>259</v>
      </c>
      <c r="J623" s="2" t="s">
        <v>4</v>
      </c>
      <c r="K623" s="3" t="s">
        <v>120</v>
      </c>
      <c r="L623" s="4">
        <v>0.7</v>
      </c>
      <c r="M623" s="14">
        <v>922.7</v>
      </c>
      <c r="N623" s="14">
        <v>591.29999999999995</v>
      </c>
      <c r="O623" s="47">
        <f t="shared" si="141"/>
        <v>0.7</v>
      </c>
      <c r="P623" s="47">
        <f t="shared" si="142"/>
        <v>0.7</v>
      </c>
      <c r="Q623" s="47">
        <f t="shared" si="143"/>
        <v>922.7</v>
      </c>
      <c r="R623" s="47">
        <f t="shared" si="144"/>
        <v>922.7</v>
      </c>
      <c r="S623" s="47">
        <f t="shared" si="147"/>
        <v>0.7</v>
      </c>
      <c r="T623" s="47">
        <f t="shared" si="148"/>
        <v>0.7</v>
      </c>
      <c r="U623" s="47">
        <f t="shared" si="145"/>
        <v>591.29999999999995</v>
      </c>
      <c r="V623" s="47">
        <f t="shared" si="146"/>
        <v>591.29999999999995</v>
      </c>
      <c r="W623" s="98">
        <f t="shared" si="149"/>
        <v>591.29999999999995</v>
      </c>
      <c r="X623" s="98">
        <f t="shared" si="150"/>
        <v>0.7</v>
      </c>
      <c r="Y623" s="36"/>
      <c r="Z623" s="42" t="s">
        <v>44</v>
      </c>
      <c r="AC623" s="42" t="s">
        <v>119</v>
      </c>
      <c r="AD623" s="42" t="s">
        <v>18</v>
      </c>
      <c r="AF623" s="42" t="s">
        <v>5</v>
      </c>
      <c r="AG623" s="42" t="s">
        <v>120</v>
      </c>
      <c r="AI623" s="42" t="s">
        <v>122</v>
      </c>
      <c r="AJ623" s="42" t="s">
        <v>123</v>
      </c>
      <c r="AK623" s="42" t="s">
        <v>124</v>
      </c>
      <c r="AL623" s="42" t="s">
        <v>125</v>
      </c>
      <c r="AM623" s="42" t="s">
        <v>126</v>
      </c>
      <c r="AN623" s="42" t="s">
        <v>127</v>
      </c>
      <c r="AQ623" s="42" t="s">
        <v>260</v>
      </c>
      <c r="AR623" s="42" t="s">
        <v>261</v>
      </c>
      <c r="AS623" s="42" t="s">
        <v>132</v>
      </c>
      <c r="AT623" s="42" t="s">
        <v>133</v>
      </c>
    </row>
    <row r="624" spans="1:46" ht="13.5" customHeight="1" x14ac:dyDescent="0.3">
      <c r="A624" s="53" t="s">
        <v>280</v>
      </c>
      <c r="B624" s="107">
        <v>622</v>
      </c>
      <c r="C624" s="8" t="str">
        <f t="shared" ca="1" si="139"/>
        <v>5년 이내</v>
      </c>
      <c r="D624" s="24">
        <v>45897</v>
      </c>
      <c r="E624" s="5">
        <f t="shared" si="140"/>
        <v>2</v>
      </c>
      <c r="F624" s="1" t="s">
        <v>255</v>
      </c>
      <c r="G624" s="33" t="s">
        <v>39</v>
      </c>
      <c r="H624" s="33" t="s">
        <v>258</v>
      </c>
      <c r="I624" s="9" t="s">
        <v>259</v>
      </c>
      <c r="J624" s="2" t="s">
        <v>4</v>
      </c>
      <c r="K624" s="3" t="s">
        <v>120</v>
      </c>
      <c r="L624" s="4">
        <v>0.7</v>
      </c>
      <c r="M624" s="14">
        <v>922.7</v>
      </c>
      <c r="N624" s="14">
        <v>591.29999999999995</v>
      </c>
      <c r="O624" s="47">
        <f t="shared" si="141"/>
        <v>0.7</v>
      </c>
      <c r="P624" s="47">
        <f t="shared" si="142"/>
        <v>0.7</v>
      </c>
      <c r="Q624" s="47">
        <f t="shared" si="143"/>
        <v>922.7</v>
      </c>
      <c r="R624" s="47">
        <f t="shared" si="144"/>
        <v>922.7</v>
      </c>
      <c r="S624" s="47">
        <f t="shared" si="147"/>
        <v>0.7</v>
      </c>
      <c r="T624" s="47">
        <f t="shared" si="148"/>
        <v>0.7</v>
      </c>
      <c r="U624" s="47">
        <f t="shared" si="145"/>
        <v>591.29999999999995</v>
      </c>
      <c r="V624" s="47">
        <f t="shared" si="146"/>
        <v>591.29999999999995</v>
      </c>
      <c r="W624" s="98">
        <f t="shared" si="149"/>
        <v>591.29999999999995</v>
      </c>
      <c r="X624" s="98">
        <f t="shared" si="150"/>
        <v>0.7</v>
      </c>
      <c r="Y624" s="36"/>
      <c r="Z624" s="42" t="s">
        <v>44</v>
      </c>
      <c r="AC624" s="42" t="s">
        <v>119</v>
      </c>
      <c r="AD624" s="42" t="s">
        <v>18</v>
      </c>
      <c r="AF624" s="42" t="s">
        <v>5</v>
      </c>
      <c r="AG624" s="42" t="s">
        <v>120</v>
      </c>
      <c r="AI624" s="42" t="s">
        <v>122</v>
      </c>
      <c r="AJ624" s="42" t="s">
        <v>123</v>
      </c>
      <c r="AK624" s="42" t="s">
        <v>124</v>
      </c>
      <c r="AL624" s="42" t="s">
        <v>125</v>
      </c>
      <c r="AM624" s="42" t="s">
        <v>126</v>
      </c>
      <c r="AN624" s="42" t="s">
        <v>127</v>
      </c>
      <c r="AQ624" s="42" t="s">
        <v>260</v>
      </c>
      <c r="AR624" s="42" t="s">
        <v>261</v>
      </c>
      <c r="AS624" s="42" t="s">
        <v>132</v>
      </c>
      <c r="AT624" s="42" t="s">
        <v>133</v>
      </c>
    </row>
    <row r="625" spans="1:55" ht="13.5" customHeight="1" x14ac:dyDescent="0.3">
      <c r="A625" s="53" t="s">
        <v>280</v>
      </c>
      <c r="B625" s="107">
        <v>623</v>
      </c>
      <c r="C625" s="8" t="str">
        <f t="shared" ref="C625:C630" ca="1" si="152">IF(TODAY()-10*365&gt;D625,"10년 초과",IF(TODAY()-5*365&gt;D625,"10년~5년 사이","5년 이내"))</f>
        <v>5년 이내</v>
      </c>
      <c r="D625" s="7">
        <v>46003</v>
      </c>
      <c r="E625" s="5">
        <f>IF((N625&gt;200),2,IF(N625&gt;100,1,IF((N625&lt;99.9),"")))</f>
        <v>2</v>
      </c>
      <c r="F625" s="1" t="s">
        <v>1</v>
      </c>
      <c r="G625" s="33" t="s">
        <v>39</v>
      </c>
      <c r="H625" s="33" t="s">
        <v>55</v>
      </c>
      <c r="I625" s="33" t="s">
        <v>841</v>
      </c>
      <c r="J625" s="68" t="s">
        <v>4</v>
      </c>
      <c r="K625" s="18" t="s">
        <v>121</v>
      </c>
      <c r="L625" s="4">
        <v>1</v>
      </c>
      <c r="M625" s="14">
        <v>423.5</v>
      </c>
      <c r="N625" s="14">
        <v>254.1</v>
      </c>
      <c r="O625" s="47">
        <f t="shared" si="141"/>
        <v>1</v>
      </c>
      <c r="P625" s="47">
        <f t="shared" si="142"/>
        <v>1</v>
      </c>
      <c r="Q625" s="47">
        <f t="shared" si="143"/>
        <v>423.5</v>
      </c>
      <c r="R625" s="47">
        <f t="shared" si="144"/>
        <v>423.5</v>
      </c>
      <c r="S625" s="47">
        <f t="shared" si="147"/>
        <v>1</v>
      </c>
      <c r="T625" s="47">
        <f t="shared" si="148"/>
        <v>1</v>
      </c>
      <c r="U625" s="47">
        <f t="shared" si="145"/>
        <v>254.1</v>
      </c>
      <c r="V625" s="47">
        <f t="shared" si="146"/>
        <v>254.1</v>
      </c>
      <c r="W625" s="99">
        <f t="shared" ref="W625:W630" si="153">N625</f>
        <v>254.1</v>
      </c>
      <c r="X625" s="99">
        <f t="shared" ref="X625:X630" si="154">IF(W625&gt;0,L625,"")</f>
        <v>1</v>
      </c>
      <c r="Z625" s="94"/>
      <c r="AA625" s="94" t="s">
        <v>134</v>
      </c>
      <c r="AB625" s="94"/>
      <c r="AC625" s="94" t="s">
        <v>119</v>
      </c>
      <c r="AD625" s="94"/>
      <c r="AE625" s="94" t="s">
        <v>24</v>
      </c>
      <c r="AF625" s="94"/>
      <c r="AG625" s="94" t="s">
        <v>120</v>
      </c>
      <c r="AH625" s="94"/>
      <c r="AI625" s="94" t="s">
        <v>122</v>
      </c>
      <c r="AJ625" s="94"/>
      <c r="AK625" s="94"/>
      <c r="AL625" s="94" t="s">
        <v>125</v>
      </c>
      <c r="AM625" s="94"/>
      <c r="AN625" s="94" t="s">
        <v>127</v>
      </c>
      <c r="AO625" s="94"/>
      <c r="AP625" s="94" t="s">
        <v>129</v>
      </c>
      <c r="AQ625" s="94"/>
      <c r="AR625" s="94"/>
      <c r="AS625" s="94" t="s">
        <v>132</v>
      </c>
      <c r="AT625" s="94"/>
      <c r="AU625" s="37"/>
      <c r="AV625" s="37"/>
      <c r="AW625" s="37"/>
      <c r="AX625"/>
      <c r="AY625"/>
      <c r="AZ625"/>
      <c r="BA625"/>
      <c r="BB625"/>
      <c r="BC625"/>
    </row>
    <row r="626" spans="1:55" ht="13.5" customHeight="1" x14ac:dyDescent="0.3">
      <c r="A626" s="53" t="s">
        <v>280</v>
      </c>
      <c r="B626" s="107">
        <v>624</v>
      </c>
      <c r="C626" s="8" t="str">
        <f t="shared" ca="1" si="152"/>
        <v>5년 이내</v>
      </c>
      <c r="D626" s="7">
        <v>46003</v>
      </c>
      <c r="E626" s="5">
        <f>IF((N626&gt;200),2,IF(N626&gt;100,1,IF((N626&lt;99.9),"")))</f>
        <v>2</v>
      </c>
      <c r="F626" s="1" t="s">
        <v>1</v>
      </c>
      <c r="G626" s="33" t="s">
        <v>39</v>
      </c>
      <c r="H626" s="33" t="s">
        <v>842</v>
      </c>
      <c r="I626" s="33" t="s">
        <v>841</v>
      </c>
      <c r="J626" s="68" t="s">
        <v>4</v>
      </c>
      <c r="K626" s="18" t="s">
        <v>121</v>
      </c>
      <c r="L626" s="4">
        <v>1</v>
      </c>
      <c r="M626" s="14">
        <v>423.5</v>
      </c>
      <c r="N626" s="14">
        <v>254.1</v>
      </c>
      <c r="O626" s="47">
        <f t="shared" si="141"/>
        <v>1</v>
      </c>
      <c r="P626" s="47">
        <f t="shared" si="142"/>
        <v>1</v>
      </c>
      <c r="Q626" s="47">
        <f t="shared" si="143"/>
        <v>423.5</v>
      </c>
      <c r="R626" s="47">
        <f t="shared" si="144"/>
        <v>423.5</v>
      </c>
      <c r="S626" s="47">
        <f t="shared" si="147"/>
        <v>1</v>
      </c>
      <c r="T626" s="47">
        <f t="shared" si="148"/>
        <v>1</v>
      </c>
      <c r="U626" s="47">
        <f t="shared" si="145"/>
        <v>254.1</v>
      </c>
      <c r="V626" s="47">
        <f t="shared" si="146"/>
        <v>254.1</v>
      </c>
      <c r="W626" s="99">
        <f t="shared" si="153"/>
        <v>254.1</v>
      </c>
      <c r="X626" s="99">
        <f t="shared" si="154"/>
        <v>1</v>
      </c>
      <c r="Z626" s="94"/>
      <c r="AA626" s="94" t="s">
        <v>134</v>
      </c>
      <c r="AB626" s="94"/>
      <c r="AC626" s="94" t="s">
        <v>119</v>
      </c>
      <c r="AD626" s="94"/>
      <c r="AE626" s="94" t="s">
        <v>24</v>
      </c>
      <c r="AF626" s="94"/>
      <c r="AG626" s="94" t="s">
        <v>120</v>
      </c>
      <c r="AH626" s="94"/>
      <c r="AI626" s="94" t="s">
        <v>122</v>
      </c>
      <c r="AJ626" s="94"/>
      <c r="AK626" s="94"/>
      <c r="AL626" s="94" t="s">
        <v>125</v>
      </c>
      <c r="AM626" s="94"/>
      <c r="AN626" s="94" t="s">
        <v>127</v>
      </c>
      <c r="AO626" s="94"/>
      <c r="AP626" s="94" t="s">
        <v>129</v>
      </c>
      <c r="AQ626" s="94"/>
      <c r="AR626" s="94"/>
      <c r="AS626" s="94" t="s">
        <v>132</v>
      </c>
      <c r="AT626" s="94"/>
      <c r="AU626" s="37"/>
      <c r="AV626" s="37"/>
      <c r="AW626" s="37"/>
      <c r="AX626"/>
      <c r="AY626"/>
      <c r="AZ626"/>
      <c r="BA626"/>
      <c r="BB626"/>
      <c r="BC626"/>
    </row>
    <row r="627" spans="1:55" ht="13.5" customHeight="1" x14ac:dyDescent="0.3">
      <c r="A627" s="53" t="s">
        <v>280</v>
      </c>
      <c r="B627" s="107">
        <v>625</v>
      </c>
      <c r="C627" s="8" t="str">
        <f t="shared" ca="1" si="152"/>
        <v>5년 이내</v>
      </c>
      <c r="D627" s="7">
        <v>46003</v>
      </c>
      <c r="E627" s="5">
        <f>IF((N627&gt;200),2,IF(N627&gt;100,1,IF((N627&lt;99.9),"")))</f>
        <v>2</v>
      </c>
      <c r="F627" s="1" t="s">
        <v>1</v>
      </c>
      <c r="G627" s="33" t="s">
        <v>231</v>
      </c>
      <c r="H627" s="33" t="s">
        <v>843</v>
      </c>
      <c r="I627" s="33" t="s">
        <v>841</v>
      </c>
      <c r="J627" s="68" t="s">
        <v>4</v>
      </c>
      <c r="K627" s="18" t="s">
        <v>121</v>
      </c>
      <c r="L627" s="4">
        <v>1</v>
      </c>
      <c r="M627" s="14">
        <v>423.5</v>
      </c>
      <c r="N627" s="14">
        <v>254.1</v>
      </c>
      <c r="O627" s="47">
        <f t="shared" si="141"/>
        <v>1</v>
      </c>
      <c r="P627" s="47">
        <f t="shared" si="142"/>
        <v>1</v>
      </c>
      <c r="Q627" s="47">
        <f t="shared" si="143"/>
        <v>423.5</v>
      </c>
      <c r="R627" s="47">
        <f t="shared" si="144"/>
        <v>423.5</v>
      </c>
      <c r="S627" s="47">
        <f t="shared" si="147"/>
        <v>1</v>
      </c>
      <c r="T627" s="47">
        <f t="shared" si="148"/>
        <v>1</v>
      </c>
      <c r="U627" s="47">
        <f t="shared" si="145"/>
        <v>254.1</v>
      </c>
      <c r="V627" s="47">
        <f t="shared" si="146"/>
        <v>254.1</v>
      </c>
      <c r="W627" s="99">
        <f t="shared" si="153"/>
        <v>254.1</v>
      </c>
      <c r="X627" s="99">
        <f t="shared" si="154"/>
        <v>1</v>
      </c>
      <c r="Z627" s="94"/>
      <c r="AA627" s="94" t="s">
        <v>134</v>
      </c>
      <c r="AB627" s="94"/>
      <c r="AC627" s="94" t="s">
        <v>119</v>
      </c>
      <c r="AD627" s="94"/>
      <c r="AE627" s="94" t="s">
        <v>24</v>
      </c>
      <c r="AF627" s="94"/>
      <c r="AG627" s="94" t="s">
        <v>120</v>
      </c>
      <c r="AH627" s="94"/>
      <c r="AI627" s="94" t="s">
        <v>122</v>
      </c>
      <c r="AJ627" s="94"/>
      <c r="AK627" s="94"/>
      <c r="AL627" s="94" t="s">
        <v>125</v>
      </c>
      <c r="AM627" s="94"/>
      <c r="AN627" s="94" t="s">
        <v>127</v>
      </c>
      <c r="AO627" s="94"/>
      <c r="AP627" s="94" t="s">
        <v>129</v>
      </c>
      <c r="AQ627" s="94"/>
      <c r="AR627" s="94"/>
      <c r="AS627" s="94" t="s">
        <v>132</v>
      </c>
      <c r="AT627" s="94"/>
      <c r="AU627" s="37"/>
      <c r="AV627" s="37"/>
      <c r="AW627" s="37"/>
      <c r="AX627"/>
      <c r="AY627"/>
      <c r="AZ627"/>
      <c r="BA627"/>
      <c r="BB627"/>
      <c r="BC627"/>
    </row>
    <row r="628" spans="1:55" ht="13.5" customHeight="1" x14ac:dyDescent="0.3">
      <c r="A628" s="53" t="s">
        <v>280</v>
      </c>
      <c r="B628" s="107">
        <v>626</v>
      </c>
      <c r="C628" s="8" t="str">
        <f t="shared" ca="1" si="152"/>
        <v>5년 이내</v>
      </c>
      <c r="D628" s="7">
        <v>46003</v>
      </c>
      <c r="E628" s="5">
        <f>IF((N628&gt;200),2,IF(N628&gt;100,1,IF((N628&lt;99.9),"")))</f>
        <v>2</v>
      </c>
      <c r="F628" s="1" t="s">
        <v>1</v>
      </c>
      <c r="G628" s="33" t="s">
        <v>17</v>
      </c>
      <c r="H628" s="33" t="s">
        <v>139</v>
      </c>
      <c r="I628" s="33" t="s">
        <v>841</v>
      </c>
      <c r="J628" s="68" t="s">
        <v>4</v>
      </c>
      <c r="K628" s="18" t="s">
        <v>121</v>
      </c>
      <c r="L628" s="4">
        <v>1</v>
      </c>
      <c r="M628" s="14">
        <v>423.5</v>
      </c>
      <c r="N628" s="14">
        <v>254.1</v>
      </c>
      <c r="O628" s="47">
        <f t="shared" si="141"/>
        <v>1</v>
      </c>
      <c r="P628" s="47">
        <f t="shared" si="142"/>
        <v>1</v>
      </c>
      <c r="Q628" s="47">
        <f t="shared" si="143"/>
        <v>423.5</v>
      </c>
      <c r="R628" s="47">
        <f t="shared" si="144"/>
        <v>423.5</v>
      </c>
      <c r="S628" s="47">
        <f t="shared" si="147"/>
        <v>1</v>
      </c>
      <c r="T628" s="47">
        <f t="shared" si="148"/>
        <v>1</v>
      </c>
      <c r="U628" s="47">
        <f t="shared" si="145"/>
        <v>254.1</v>
      </c>
      <c r="V628" s="47">
        <f t="shared" si="146"/>
        <v>254.1</v>
      </c>
      <c r="W628" s="99">
        <f t="shared" si="153"/>
        <v>254.1</v>
      </c>
      <c r="X628" s="99">
        <f t="shared" si="154"/>
        <v>1</v>
      </c>
      <c r="Z628" s="94"/>
      <c r="AA628" s="94" t="s">
        <v>134</v>
      </c>
      <c r="AB628" s="94"/>
      <c r="AC628" s="94" t="s">
        <v>119</v>
      </c>
      <c r="AD628" s="94"/>
      <c r="AE628" s="94" t="s">
        <v>24</v>
      </c>
      <c r="AF628" s="94"/>
      <c r="AG628" s="94" t="s">
        <v>120</v>
      </c>
      <c r="AH628" s="94"/>
      <c r="AI628" s="94" t="s">
        <v>122</v>
      </c>
      <c r="AJ628" s="94"/>
      <c r="AK628" s="94"/>
      <c r="AL628" s="94" t="s">
        <v>125</v>
      </c>
      <c r="AM628" s="94"/>
      <c r="AN628" s="94" t="s">
        <v>127</v>
      </c>
      <c r="AO628" s="94"/>
      <c r="AP628" s="94" t="s">
        <v>129</v>
      </c>
      <c r="AQ628" s="94"/>
      <c r="AR628" s="94"/>
      <c r="AS628" s="94" t="s">
        <v>132</v>
      </c>
      <c r="AT628" s="94"/>
      <c r="AU628" s="37"/>
      <c r="AV628" s="37"/>
      <c r="AW628" s="37"/>
      <c r="AX628"/>
      <c r="AY628"/>
      <c r="AZ628"/>
      <c r="BA628"/>
      <c r="BB628"/>
      <c r="BC628"/>
    </row>
    <row r="629" spans="1:55" ht="13.5" customHeight="1" x14ac:dyDescent="0.3">
      <c r="A629" s="53" t="s">
        <v>280</v>
      </c>
      <c r="B629" s="107">
        <v>627</v>
      </c>
      <c r="C629" s="8" t="str">
        <f t="shared" ca="1" si="152"/>
        <v>5년 이내</v>
      </c>
      <c r="D629" s="7">
        <v>46003</v>
      </c>
      <c r="E629" s="5">
        <f>IF((N629&gt;200),2,IF(N629&gt;100,1,IF((N629&lt;99.9),"")))</f>
        <v>2</v>
      </c>
      <c r="F629" s="1" t="s">
        <v>1</v>
      </c>
      <c r="G629" s="33" t="s">
        <v>251</v>
      </c>
      <c r="H629" s="33" t="s">
        <v>844</v>
      </c>
      <c r="I629" s="33" t="s">
        <v>841</v>
      </c>
      <c r="J629" s="68" t="s">
        <v>4</v>
      </c>
      <c r="K629" s="18" t="s">
        <v>121</v>
      </c>
      <c r="L629" s="4">
        <v>1</v>
      </c>
      <c r="M629" s="14">
        <v>423.5</v>
      </c>
      <c r="N629" s="14">
        <v>254.1</v>
      </c>
      <c r="O629" s="47">
        <f t="shared" si="141"/>
        <v>1</v>
      </c>
      <c r="P629" s="47">
        <f t="shared" si="142"/>
        <v>1</v>
      </c>
      <c r="Q629" s="47">
        <f t="shared" si="143"/>
        <v>423.5</v>
      </c>
      <c r="R629" s="47">
        <f t="shared" si="144"/>
        <v>423.5</v>
      </c>
      <c r="S629" s="47">
        <f t="shared" si="147"/>
        <v>1</v>
      </c>
      <c r="T629" s="47">
        <f t="shared" si="148"/>
        <v>1</v>
      </c>
      <c r="U629" s="47">
        <f t="shared" si="145"/>
        <v>254.1</v>
      </c>
      <c r="V629" s="47">
        <f t="shared" si="146"/>
        <v>254.1</v>
      </c>
      <c r="W629" s="99">
        <f t="shared" si="153"/>
        <v>254.1</v>
      </c>
      <c r="X629" s="99">
        <f t="shared" si="154"/>
        <v>1</v>
      </c>
      <c r="Z629" s="94"/>
      <c r="AA629" s="94" t="s">
        <v>134</v>
      </c>
      <c r="AB629" s="94"/>
      <c r="AC629" s="94" t="s">
        <v>119</v>
      </c>
      <c r="AD629" s="94"/>
      <c r="AE629" s="94" t="s">
        <v>24</v>
      </c>
      <c r="AF629" s="94"/>
      <c r="AG629" s="94" t="s">
        <v>120</v>
      </c>
      <c r="AH629" s="94"/>
      <c r="AI629" s="94" t="s">
        <v>122</v>
      </c>
      <c r="AJ629" s="94"/>
      <c r="AK629" s="94"/>
      <c r="AL629" s="94" t="s">
        <v>125</v>
      </c>
      <c r="AM629" s="94"/>
      <c r="AN629" s="94" t="s">
        <v>127</v>
      </c>
      <c r="AO629" s="94"/>
      <c r="AP629" s="94" t="s">
        <v>129</v>
      </c>
      <c r="AQ629" s="94"/>
      <c r="AR629" s="94"/>
      <c r="AS629" s="94" t="s">
        <v>132</v>
      </c>
      <c r="AT629" s="94"/>
      <c r="AU629" s="37"/>
      <c r="AV629" s="37"/>
      <c r="AW629" s="37"/>
      <c r="AX629"/>
      <c r="AY629"/>
      <c r="AZ629"/>
      <c r="BA629"/>
      <c r="BB629"/>
      <c r="BC629"/>
    </row>
    <row r="630" spans="1:55" ht="13.5" customHeight="1" x14ac:dyDescent="0.3">
      <c r="A630" s="53" t="s">
        <v>280</v>
      </c>
      <c r="B630" s="107">
        <v>628</v>
      </c>
      <c r="C630" s="8" t="str">
        <f t="shared" ca="1" si="152"/>
        <v>5년 이내</v>
      </c>
      <c r="D630" s="7">
        <v>46003</v>
      </c>
      <c r="E630" s="5">
        <f t="shared" ref="E630:E660" si="155">IF((N630&gt;200),2,IF(N630&gt;100,1,IF((N630&lt;99.9),"")))</f>
        <v>2</v>
      </c>
      <c r="F630" s="1" t="s">
        <v>1</v>
      </c>
      <c r="G630" s="33" t="s">
        <v>253</v>
      </c>
      <c r="H630" s="33" t="s">
        <v>254</v>
      </c>
      <c r="I630" s="88" t="s">
        <v>841</v>
      </c>
      <c r="J630" s="68" t="s">
        <v>4</v>
      </c>
      <c r="K630" s="18" t="s">
        <v>121</v>
      </c>
      <c r="L630" s="4">
        <v>1</v>
      </c>
      <c r="M630" s="14">
        <v>423.5</v>
      </c>
      <c r="N630" s="14">
        <v>254.1</v>
      </c>
      <c r="O630" s="47">
        <f t="shared" si="141"/>
        <v>1</v>
      </c>
      <c r="P630" s="47">
        <f t="shared" si="142"/>
        <v>1</v>
      </c>
      <c r="Q630" s="47">
        <f t="shared" si="143"/>
        <v>423.5</v>
      </c>
      <c r="R630" s="47">
        <f t="shared" si="144"/>
        <v>423.5</v>
      </c>
      <c r="S630" s="47">
        <f t="shared" si="147"/>
        <v>1</v>
      </c>
      <c r="T630" s="47">
        <f t="shared" si="148"/>
        <v>1</v>
      </c>
      <c r="U630" s="47">
        <f t="shared" si="145"/>
        <v>254.1</v>
      </c>
      <c r="V630" s="47">
        <f t="shared" si="146"/>
        <v>254.1</v>
      </c>
      <c r="W630" s="99">
        <f t="shared" si="153"/>
        <v>254.1</v>
      </c>
      <c r="X630" s="99">
        <f t="shared" si="154"/>
        <v>1</v>
      </c>
      <c r="Z630" s="94"/>
      <c r="AA630" s="94" t="s">
        <v>134</v>
      </c>
      <c r="AB630" s="94"/>
      <c r="AC630" s="94" t="s">
        <v>119</v>
      </c>
      <c r="AD630" s="94"/>
      <c r="AE630" s="94" t="s">
        <v>24</v>
      </c>
      <c r="AF630" s="94"/>
      <c r="AG630" s="94" t="s">
        <v>120</v>
      </c>
      <c r="AH630" s="94"/>
      <c r="AI630" s="94" t="s">
        <v>122</v>
      </c>
      <c r="AJ630" s="94"/>
      <c r="AK630" s="94"/>
      <c r="AL630" s="94" t="s">
        <v>125</v>
      </c>
      <c r="AM630" s="94"/>
      <c r="AN630" s="94" t="s">
        <v>127</v>
      </c>
      <c r="AO630" s="94"/>
      <c r="AP630" s="94" t="s">
        <v>129</v>
      </c>
      <c r="AQ630" s="94"/>
      <c r="AR630" s="94"/>
      <c r="AS630" s="94" t="s">
        <v>132</v>
      </c>
      <c r="AT630" s="94"/>
      <c r="AU630" s="37"/>
      <c r="AV630" s="37"/>
      <c r="AW630" s="37"/>
      <c r="AX630"/>
      <c r="AY630"/>
      <c r="AZ630"/>
      <c r="BA630"/>
      <c r="BB630"/>
      <c r="BC630"/>
    </row>
    <row r="631" spans="1:55" ht="13.5" customHeight="1" x14ac:dyDescent="0.3">
      <c r="A631" s="53" t="s">
        <v>280</v>
      </c>
      <c r="B631" s="107">
        <v>629</v>
      </c>
      <c r="C631" s="8" t="str">
        <f t="shared" ca="1" si="139"/>
        <v>5년 이내</v>
      </c>
      <c r="D631" s="24">
        <v>46010</v>
      </c>
      <c r="E631" s="5">
        <f t="shared" si="155"/>
        <v>2</v>
      </c>
      <c r="F631" s="25" t="s">
        <v>1</v>
      </c>
      <c r="G631" s="34" t="s">
        <v>68</v>
      </c>
      <c r="H631" s="34" t="s">
        <v>108</v>
      </c>
      <c r="I631" s="109" t="s">
        <v>262</v>
      </c>
      <c r="J631" s="17" t="s">
        <v>4</v>
      </c>
      <c r="K631" s="18" t="s">
        <v>121</v>
      </c>
      <c r="L631" s="19">
        <v>0.7</v>
      </c>
      <c r="M631" s="20">
        <v>424.7</v>
      </c>
      <c r="N631" s="20">
        <v>297.3</v>
      </c>
      <c r="O631" s="47">
        <f t="shared" si="141"/>
        <v>0.7</v>
      </c>
      <c r="P631" s="47">
        <f t="shared" si="142"/>
        <v>0.7</v>
      </c>
      <c r="Q631" s="47">
        <f t="shared" si="143"/>
        <v>424.7</v>
      </c>
      <c r="R631" s="47">
        <f t="shared" si="144"/>
        <v>424.7</v>
      </c>
      <c r="S631" s="47">
        <f t="shared" si="147"/>
        <v>0.7</v>
      </c>
      <c r="T631" s="47">
        <f t="shared" si="148"/>
        <v>0.7</v>
      </c>
      <c r="U631" s="47">
        <f t="shared" si="145"/>
        <v>297.3</v>
      </c>
      <c r="V631" s="47">
        <f t="shared" si="146"/>
        <v>297.3</v>
      </c>
      <c r="W631" s="99">
        <f t="shared" si="149"/>
        <v>297.3</v>
      </c>
      <c r="X631" s="99">
        <f t="shared" si="150"/>
        <v>0.7</v>
      </c>
      <c r="Y631" s="21"/>
      <c r="AE631" s="42" t="s">
        <v>263</v>
      </c>
    </row>
    <row r="632" spans="1:55" ht="13.5" customHeight="1" x14ac:dyDescent="0.3">
      <c r="A632" s="53" t="s">
        <v>280</v>
      </c>
      <c r="B632" s="107">
        <v>630</v>
      </c>
      <c r="C632" s="8" t="str">
        <f t="shared" ca="1" si="139"/>
        <v>5년 이내</v>
      </c>
      <c r="D632" s="7">
        <v>46125</v>
      </c>
      <c r="E632" s="5" t="str">
        <f t="shared" si="155"/>
        <v/>
      </c>
      <c r="F632" s="1" t="s">
        <v>1</v>
      </c>
      <c r="G632" s="33" t="s">
        <v>451</v>
      </c>
      <c r="H632" s="88" t="s">
        <v>454</v>
      </c>
      <c r="I632" s="69" t="s">
        <v>453</v>
      </c>
      <c r="J632" s="68" t="s">
        <v>4</v>
      </c>
      <c r="K632" s="70" t="s">
        <v>121</v>
      </c>
      <c r="L632" s="4">
        <v>1</v>
      </c>
      <c r="M632" s="14">
        <v>20</v>
      </c>
      <c r="N632" s="20">
        <v>20</v>
      </c>
      <c r="O632" s="47" t="str">
        <f t="shared" si="141"/>
        <v/>
      </c>
      <c r="P632" s="47" t="str">
        <f t="shared" si="142"/>
        <v/>
      </c>
      <c r="Q632" s="47" t="str">
        <f t="shared" si="143"/>
        <v/>
      </c>
      <c r="R632" s="47" t="str">
        <f t="shared" si="144"/>
        <v/>
      </c>
      <c r="S632" s="47" t="str">
        <f t="shared" si="147"/>
        <v/>
      </c>
      <c r="T632" s="47" t="str">
        <f t="shared" si="148"/>
        <v/>
      </c>
      <c r="U632" s="47" t="str">
        <f t="shared" si="145"/>
        <v/>
      </c>
      <c r="V632" s="47" t="str">
        <f t="shared" si="146"/>
        <v/>
      </c>
      <c r="W632" s="99">
        <f t="shared" ref="W632:W637" si="156">N632</f>
        <v>20</v>
      </c>
      <c r="X632" s="99">
        <f t="shared" ref="X632:X637" si="157">IF(W632&gt;0,L632,"")</f>
        <v>1</v>
      </c>
      <c r="Y632" s="21"/>
      <c r="Z632" s="56"/>
      <c r="AA632" s="56"/>
      <c r="AB632" s="56" t="s">
        <v>187</v>
      </c>
      <c r="AC632" s="56" t="s">
        <v>119</v>
      </c>
      <c r="AD632" s="56" t="s">
        <v>18</v>
      </c>
      <c r="AE632" s="56" t="s">
        <v>24</v>
      </c>
      <c r="AF632" s="56" t="s">
        <v>5</v>
      </c>
      <c r="AG632" s="56" t="s">
        <v>120</v>
      </c>
      <c r="AH632" s="56" t="s">
        <v>121</v>
      </c>
      <c r="AI632" s="56" t="s">
        <v>122</v>
      </c>
      <c r="AJ632" s="56"/>
      <c r="AK632" s="56"/>
      <c r="AL632" s="56" t="s">
        <v>125</v>
      </c>
      <c r="AM632" s="56"/>
      <c r="AN632" s="56" t="s">
        <v>127</v>
      </c>
      <c r="AO632" s="56"/>
      <c r="AP632" s="56"/>
      <c r="AQ632" s="56"/>
      <c r="AR632" s="56"/>
      <c r="AS632" s="56" t="s">
        <v>132</v>
      </c>
      <c r="AT632" s="56"/>
      <c r="AU632" s="37"/>
      <c r="AV632" s="37"/>
      <c r="AW632" s="37"/>
    </row>
    <row r="633" spans="1:55" ht="13.5" customHeight="1" x14ac:dyDescent="0.3">
      <c r="A633" s="53" t="s">
        <v>280</v>
      </c>
      <c r="B633" s="107">
        <v>631</v>
      </c>
      <c r="C633" s="8" t="str">
        <f t="shared" ca="1" si="139"/>
        <v>5년 이내</v>
      </c>
      <c r="D633" s="7">
        <v>46125</v>
      </c>
      <c r="E633" s="5" t="str">
        <f t="shared" si="155"/>
        <v/>
      </c>
      <c r="F633" s="1" t="s">
        <v>1</v>
      </c>
      <c r="G633" s="33" t="s">
        <v>451</v>
      </c>
      <c r="H633" s="89" t="s">
        <v>452</v>
      </c>
      <c r="I633" s="69" t="s">
        <v>453</v>
      </c>
      <c r="J633" s="68" t="s">
        <v>4</v>
      </c>
      <c r="K633" s="70" t="s">
        <v>121</v>
      </c>
      <c r="L633" s="4">
        <v>1</v>
      </c>
      <c r="M633" s="14">
        <v>20</v>
      </c>
      <c r="N633" s="20">
        <v>20</v>
      </c>
      <c r="O633" s="47" t="str">
        <f t="shared" si="141"/>
        <v/>
      </c>
      <c r="P633" s="47" t="str">
        <f t="shared" si="142"/>
        <v/>
      </c>
      <c r="Q633" s="47" t="str">
        <f t="shared" si="143"/>
        <v/>
      </c>
      <c r="R633" s="47" t="str">
        <f t="shared" si="144"/>
        <v/>
      </c>
      <c r="S633" s="47" t="str">
        <f t="shared" si="147"/>
        <v/>
      </c>
      <c r="T633" s="47" t="str">
        <f t="shared" si="148"/>
        <v/>
      </c>
      <c r="U633" s="47" t="str">
        <f t="shared" si="145"/>
        <v/>
      </c>
      <c r="V633" s="47" t="str">
        <f t="shared" si="146"/>
        <v/>
      </c>
      <c r="W633" s="99">
        <f t="shared" si="156"/>
        <v>20</v>
      </c>
      <c r="X633" s="99">
        <f t="shared" si="157"/>
        <v>1</v>
      </c>
      <c r="Y633" s="21"/>
      <c r="Z633" s="56"/>
      <c r="AA633" s="56"/>
      <c r="AB633" s="56" t="s">
        <v>187</v>
      </c>
      <c r="AC633" s="56" t="s">
        <v>119</v>
      </c>
      <c r="AD633" s="56" t="s">
        <v>18</v>
      </c>
      <c r="AE633" s="56" t="s">
        <v>24</v>
      </c>
      <c r="AF633" s="56" t="s">
        <v>5</v>
      </c>
      <c r="AG633" s="56" t="s">
        <v>120</v>
      </c>
      <c r="AH633" s="56" t="s">
        <v>121</v>
      </c>
      <c r="AI633" s="56" t="s">
        <v>122</v>
      </c>
      <c r="AJ633" s="56"/>
      <c r="AK633" s="56"/>
      <c r="AL633" s="56" t="s">
        <v>125</v>
      </c>
      <c r="AM633" s="56"/>
      <c r="AN633" s="56" t="s">
        <v>127</v>
      </c>
      <c r="AO633" s="56"/>
      <c r="AP633" s="56"/>
      <c r="AQ633" s="56"/>
      <c r="AR633" s="56"/>
      <c r="AS633" s="56" t="s">
        <v>132</v>
      </c>
      <c r="AT633" s="56"/>
      <c r="AU633" s="37"/>
      <c r="AV633" s="37"/>
      <c r="AW633" s="37"/>
    </row>
    <row r="634" spans="1:55" ht="13.5" customHeight="1" x14ac:dyDescent="0.3">
      <c r="A634" s="53" t="s">
        <v>280</v>
      </c>
      <c r="B634" s="107">
        <v>632</v>
      </c>
      <c r="C634" s="8" t="str">
        <f t="shared" ca="1" si="139"/>
        <v>5년 이내</v>
      </c>
      <c r="D634" s="7">
        <v>46132</v>
      </c>
      <c r="E634" s="5">
        <f t="shared" si="155"/>
        <v>1</v>
      </c>
      <c r="F634" s="1" t="s">
        <v>1</v>
      </c>
      <c r="G634" s="33" t="s">
        <v>17</v>
      </c>
      <c r="H634" s="33" t="s">
        <v>82</v>
      </c>
      <c r="I634" s="69" t="s">
        <v>838</v>
      </c>
      <c r="J634" s="68" t="s">
        <v>4</v>
      </c>
      <c r="K634" s="3" t="s">
        <v>853</v>
      </c>
      <c r="L634" s="4">
        <v>0.3</v>
      </c>
      <c r="M634" s="14">
        <v>377.6</v>
      </c>
      <c r="N634" s="14">
        <v>113.3</v>
      </c>
      <c r="O634" s="47">
        <f t="shared" si="141"/>
        <v>0.3</v>
      </c>
      <c r="P634" s="47">
        <f t="shared" si="142"/>
        <v>0.3</v>
      </c>
      <c r="Q634" s="47">
        <f t="shared" si="143"/>
        <v>377.6</v>
      </c>
      <c r="R634" s="47">
        <f t="shared" si="144"/>
        <v>377.6</v>
      </c>
      <c r="S634" s="47">
        <f t="shared" si="147"/>
        <v>0.3</v>
      </c>
      <c r="T634" s="47" t="str">
        <f t="shared" si="148"/>
        <v/>
      </c>
      <c r="U634" s="47">
        <f t="shared" si="145"/>
        <v>113.3</v>
      </c>
      <c r="V634" s="47" t="str">
        <f t="shared" si="146"/>
        <v/>
      </c>
      <c r="W634" s="99">
        <f t="shared" si="156"/>
        <v>113.3</v>
      </c>
      <c r="X634" s="99">
        <f t="shared" si="157"/>
        <v>0.3</v>
      </c>
      <c r="Z634" s="94" t="s">
        <v>44</v>
      </c>
      <c r="AA634" s="94" t="s">
        <v>134</v>
      </c>
      <c r="AB634" s="94"/>
      <c r="AC634" s="94" t="s">
        <v>119</v>
      </c>
      <c r="AD634" s="94" t="s">
        <v>18</v>
      </c>
      <c r="AE634" s="94" t="s">
        <v>24</v>
      </c>
      <c r="AF634" s="94" t="s">
        <v>5</v>
      </c>
      <c r="AG634" s="94" t="s">
        <v>120</v>
      </c>
      <c r="AH634" s="94"/>
      <c r="AI634" s="94" t="s">
        <v>122</v>
      </c>
      <c r="AJ634" s="94"/>
      <c r="AK634" s="94" t="s">
        <v>124</v>
      </c>
      <c r="AL634" s="94"/>
      <c r="AM634" s="94" t="s">
        <v>126</v>
      </c>
      <c r="AN634" s="94"/>
      <c r="AO634" s="94"/>
      <c r="AP634" s="94"/>
      <c r="AQ634" s="94"/>
      <c r="AR634" s="94" t="s">
        <v>131</v>
      </c>
      <c r="AS634" s="94" t="s">
        <v>132</v>
      </c>
      <c r="AT634" s="94"/>
      <c r="AU634" s="37"/>
      <c r="AV634" s="37"/>
      <c r="AW634" s="37"/>
      <c r="AX634"/>
      <c r="AY634"/>
      <c r="AZ634"/>
      <c r="BA634"/>
      <c r="BB634"/>
      <c r="BC634"/>
    </row>
    <row r="635" spans="1:55" ht="13.5" customHeight="1" x14ac:dyDescent="0.3">
      <c r="A635" s="53" t="s">
        <v>280</v>
      </c>
      <c r="B635" s="107">
        <v>633</v>
      </c>
      <c r="C635" s="8" t="str">
        <f t="shared" ca="1" si="139"/>
        <v>5년 이내</v>
      </c>
      <c r="D635" s="7">
        <v>46132</v>
      </c>
      <c r="E635" s="5">
        <f t="shared" si="155"/>
        <v>1</v>
      </c>
      <c r="F635" s="1" t="s">
        <v>1</v>
      </c>
      <c r="G635" s="33" t="s">
        <v>208</v>
      </c>
      <c r="H635" s="33" t="s">
        <v>839</v>
      </c>
      <c r="I635" s="69" t="s">
        <v>838</v>
      </c>
      <c r="J635" s="68" t="s">
        <v>4</v>
      </c>
      <c r="K635" s="3" t="s">
        <v>853</v>
      </c>
      <c r="L635" s="4">
        <v>0.3</v>
      </c>
      <c r="M635" s="14">
        <v>377.6</v>
      </c>
      <c r="N635" s="14">
        <v>113.3</v>
      </c>
      <c r="O635" s="47">
        <f t="shared" si="141"/>
        <v>0.3</v>
      </c>
      <c r="P635" s="47">
        <f t="shared" si="142"/>
        <v>0.3</v>
      </c>
      <c r="Q635" s="47">
        <f t="shared" si="143"/>
        <v>377.6</v>
      </c>
      <c r="R635" s="47">
        <f t="shared" si="144"/>
        <v>377.6</v>
      </c>
      <c r="S635" s="47">
        <f t="shared" si="147"/>
        <v>0.3</v>
      </c>
      <c r="T635" s="47" t="str">
        <f t="shared" si="148"/>
        <v/>
      </c>
      <c r="U635" s="47">
        <f t="shared" si="145"/>
        <v>113.3</v>
      </c>
      <c r="V635" s="47" t="str">
        <f t="shared" si="146"/>
        <v/>
      </c>
      <c r="W635" s="99">
        <f t="shared" si="156"/>
        <v>113.3</v>
      </c>
      <c r="X635" s="99">
        <f t="shared" si="157"/>
        <v>0.3</v>
      </c>
      <c r="Z635" s="94" t="s">
        <v>44</v>
      </c>
      <c r="AA635" s="94" t="s">
        <v>134</v>
      </c>
      <c r="AB635" s="94"/>
      <c r="AC635" s="94" t="s">
        <v>119</v>
      </c>
      <c r="AD635" s="94" t="s">
        <v>18</v>
      </c>
      <c r="AE635" s="94" t="s">
        <v>24</v>
      </c>
      <c r="AF635" s="94" t="s">
        <v>5</v>
      </c>
      <c r="AG635" s="94" t="s">
        <v>120</v>
      </c>
      <c r="AH635" s="94"/>
      <c r="AI635" s="94" t="s">
        <v>122</v>
      </c>
      <c r="AJ635" s="94"/>
      <c r="AK635" s="94" t="s">
        <v>124</v>
      </c>
      <c r="AL635" s="94"/>
      <c r="AM635" s="94" t="s">
        <v>126</v>
      </c>
      <c r="AN635" s="94"/>
      <c r="AO635" s="94"/>
      <c r="AP635" s="94"/>
      <c r="AQ635" s="94"/>
      <c r="AR635" s="94" t="s">
        <v>131</v>
      </c>
      <c r="AS635" s="94" t="s">
        <v>132</v>
      </c>
      <c r="AT635" s="94"/>
      <c r="AU635" s="37"/>
      <c r="AV635" s="37"/>
      <c r="AW635" s="37"/>
      <c r="AX635"/>
      <c r="AY635"/>
      <c r="AZ635"/>
      <c r="BA635"/>
      <c r="BB635"/>
      <c r="BC635"/>
    </row>
    <row r="636" spans="1:55" ht="13.5" customHeight="1" x14ac:dyDescent="0.3">
      <c r="A636" s="53" t="s">
        <v>280</v>
      </c>
      <c r="B636" s="107">
        <v>634</v>
      </c>
      <c r="C636" s="8" t="str">
        <f t="shared" ca="1" si="139"/>
        <v>5년 이내</v>
      </c>
      <c r="D636" s="7">
        <v>46132</v>
      </c>
      <c r="E636" s="5">
        <f t="shared" si="155"/>
        <v>1</v>
      </c>
      <c r="F636" s="1" t="s">
        <v>1</v>
      </c>
      <c r="G636" s="33" t="s">
        <v>97</v>
      </c>
      <c r="H636" s="33" t="s">
        <v>98</v>
      </c>
      <c r="I636" s="69" t="s">
        <v>838</v>
      </c>
      <c r="J636" s="68" t="s">
        <v>4</v>
      </c>
      <c r="K636" s="3" t="s">
        <v>853</v>
      </c>
      <c r="L636" s="4">
        <v>0.3</v>
      </c>
      <c r="M636" s="14">
        <v>377.6</v>
      </c>
      <c r="N636" s="14">
        <v>113.3</v>
      </c>
      <c r="O636" s="47">
        <f t="shared" si="141"/>
        <v>0.3</v>
      </c>
      <c r="P636" s="47">
        <f t="shared" si="142"/>
        <v>0.3</v>
      </c>
      <c r="Q636" s="47">
        <f t="shared" si="143"/>
        <v>377.6</v>
      </c>
      <c r="R636" s="47">
        <f t="shared" si="144"/>
        <v>377.6</v>
      </c>
      <c r="S636" s="47">
        <f t="shared" si="147"/>
        <v>0.3</v>
      </c>
      <c r="T636" s="47" t="str">
        <f t="shared" si="148"/>
        <v/>
      </c>
      <c r="U636" s="47">
        <f t="shared" si="145"/>
        <v>113.3</v>
      </c>
      <c r="V636" s="47" t="str">
        <f t="shared" si="146"/>
        <v/>
      </c>
      <c r="W636" s="99">
        <f t="shared" si="156"/>
        <v>113.3</v>
      </c>
      <c r="X636" s="99">
        <f t="shared" si="157"/>
        <v>0.3</v>
      </c>
      <c r="Z636" s="94" t="s">
        <v>44</v>
      </c>
      <c r="AA636" s="94" t="s">
        <v>134</v>
      </c>
      <c r="AB636" s="94"/>
      <c r="AC636" s="94" t="s">
        <v>119</v>
      </c>
      <c r="AD636" s="94" t="s">
        <v>18</v>
      </c>
      <c r="AE636" s="94" t="s">
        <v>24</v>
      </c>
      <c r="AF636" s="94" t="s">
        <v>5</v>
      </c>
      <c r="AG636" s="94" t="s">
        <v>120</v>
      </c>
      <c r="AH636" s="94"/>
      <c r="AI636" s="94" t="s">
        <v>122</v>
      </c>
      <c r="AJ636" s="94"/>
      <c r="AK636" s="94" t="s">
        <v>124</v>
      </c>
      <c r="AL636" s="94"/>
      <c r="AM636" s="94" t="s">
        <v>126</v>
      </c>
      <c r="AN636" s="94"/>
      <c r="AO636" s="94"/>
      <c r="AP636" s="94"/>
      <c r="AQ636" s="94"/>
      <c r="AR636" s="94" t="s">
        <v>131</v>
      </c>
      <c r="AS636" s="94" t="s">
        <v>132</v>
      </c>
      <c r="AT636" s="94"/>
      <c r="AU636" s="37"/>
      <c r="AV636" s="37"/>
      <c r="AW636" s="37"/>
      <c r="AX636"/>
      <c r="AY636"/>
      <c r="AZ636"/>
      <c r="BA636"/>
      <c r="BB636"/>
      <c r="BC636"/>
    </row>
    <row r="637" spans="1:55" ht="13.5" customHeight="1" x14ac:dyDescent="0.3">
      <c r="A637" s="53" t="s">
        <v>280</v>
      </c>
      <c r="B637" s="107">
        <v>635</v>
      </c>
      <c r="C637" s="8" t="str">
        <f t="shared" ca="1" si="139"/>
        <v>5년 이내</v>
      </c>
      <c r="D637" s="7">
        <v>46132</v>
      </c>
      <c r="E637" s="5">
        <f t="shared" si="155"/>
        <v>1</v>
      </c>
      <c r="F637" s="1" t="s">
        <v>1</v>
      </c>
      <c r="G637" s="33" t="s">
        <v>39</v>
      </c>
      <c r="H637" s="33" t="s">
        <v>840</v>
      </c>
      <c r="I637" s="69" t="s">
        <v>838</v>
      </c>
      <c r="J637" s="68" t="s">
        <v>4</v>
      </c>
      <c r="K637" s="3" t="s">
        <v>853</v>
      </c>
      <c r="L637" s="4">
        <v>0.3</v>
      </c>
      <c r="M637" s="14">
        <v>377.6</v>
      </c>
      <c r="N637" s="14">
        <v>113.3</v>
      </c>
      <c r="O637" s="47">
        <f t="shared" si="141"/>
        <v>0.3</v>
      </c>
      <c r="P637" s="47">
        <f t="shared" si="142"/>
        <v>0.3</v>
      </c>
      <c r="Q637" s="47">
        <f t="shared" si="143"/>
        <v>377.6</v>
      </c>
      <c r="R637" s="47">
        <f t="shared" si="144"/>
        <v>377.6</v>
      </c>
      <c r="S637" s="47">
        <f t="shared" si="147"/>
        <v>0.3</v>
      </c>
      <c r="T637" s="47" t="str">
        <f t="shared" si="148"/>
        <v/>
      </c>
      <c r="U637" s="47">
        <f t="shared" si="145"/>
        <v>113.3</v>
      </c>
      <c r="V637" s="47" t="str">
        <f t="shared" si="146"/>
        <v/>
      </c>
      <c r="W637" s="99">
        <f t="shared" si="156"/>
        <v>113.3</v>
      </c>
      <c r="X637" s="99">
        <f t="shared" si="157"/>
        <v>0.3</v>
      </c>
      <c r="Z637" s="94" t="s">
        <v>44</v>
      </c>
      <c r="AA637" s="94" t="s">
        <v>134</v>
      </c>
      <c r="AB637" s="94"/>
      <c r="AC637" s="94" t="s">
        <v>119</v>
      </c>
      <c r="AD637" s="94" t="s">
        <v>18</v>
      </c>
      <c r="AE637" s="94" t="s">
        <v>24</v>
      </c>
      <c r="AF637" s="94" t="s">
        <v>5</v>
      </c>
      <c r="AG637" s="94" t="s">
        <v>120</v>
      </c>
      <c r="AH637" s="94"/>
      <c r="AI637" s="94" t="s">
        <v>122</v>
      </c>
      <c r="AJ637" s="94"/>
      <c r="AK637" s="94" t="s">
        <v>124</v>
      </c>
      <c r="AL637" s="94"/>
      <c r="AM637" s="94" t="s">
        <v>126</v>
      </c>
      <c r="AN637" s="94"/>
      <c r="AO637" s="94"/>
      <c r="AP637" s="94"/>
      <c r="AQ637" s="94"/>
      <c r="AR637" s="94" t="s">
        <v>131</v>
      </c>
      <c r="AS637" s="94" t="s">
        <v>132</v>
      </c>
      <c r="AT637" s="94"/>
      <c r="AU637" s="37"/>
      <c r="AV637" s="37"/>
      <c r="AW637" s="37"/>
      <c r="AX637"/>
      <c r="AY637"/>
      <c r="AZ637"/>
      <c r="BA637"/>
      <c r="BB637"/>
      <c r="BC637"/>
    </row>
    <row r="638" spans="1:55" ht="13.5" customHeight="1" x14ac:dyDescent="0.3">
      <c r="A638" s="53" t="s">
        <v>280</v>
      </c>
      <c r="B638" s="107">
        <v>636</v>
      </c>
      <c r="C638" s="8" t="str">
        <f t="shared" ca="1" si="139"/>
        <v>5년 이내</v>
      </c>
      <c r="D638" s="95">
        <v>46142</v>
      </c>
      <c r="E638" s="5">
        <f t="shared" si="155"/>
        <v>2</v>
      </c>
      <c r="F638" s="96" t="s">
        <v>1</v>
      </c>
      <c r="G638" s="88" t="s">
        <v>17</v>
      </c>
      <c r="H638" s="88" t="s">
        <v>845</v>
      </c>
      <c r="I638" s="69" t="s">
        <v>846</v>
      </c>
      <c r="J638" s="68" t="s">
        <v>4</v>
      </c>
      <c r="K638" s="70" t="s">
        <v>847</v>
      </c>
      <c r="L638" s="97">
        <v>1</v>
      </c>
      <c r="M638" s="106">
        <v>326.39999999999998</v>
      </c>
      <c r="N638" s="14">
        <v>321.7</v>
      </c>
      <c r="O638" s="47">
        <f t="shared" si="141"/>
        <v>1</v>
      </c>
      <c r="P638" s="47">
        <f t="shared" si="142"/>
        <v>1</v>
      </c>
      <c r="Q638" s="47">
        <f t="shared" si="143"/>
        <v>326.39999999999998</v>
      </c>
      <c r="R638" s="47">
        <f t="shared" si="144"/>
        <v>326.39999999999998</v>
      </c>
      <c r="S638" s="47">
        <f t="shared" si="147"/>
        <v>1</v>
      </c>
      <c r="T638" s="47">
        <f t="shared" si="148"/>
        <v>1</v>
      </c>
      <c r="U638" s="47">
        <f t="shared" si="145"/>
        <v>321.7</v>
      </c>
      <c r="V638" s="47">
        <f t="shared" si="146"/>
        <v>321.7</v>
      </c>
      <c r="W638" s="99">
        <f t="shared" ref="W638:W648" si="158">N638</f>
        <v>321.7</v>
      </c>
      <c r="X638" s="99">
        <f t="shared" ref="X638:X648" si="159">IF(W638&gt;0,L638,"")</f>
        <v>1</v>
      </c>
      <c r="Z638" s="94"/>
      <c r="AA638" s="94"/>
      <c r="AB638" s="94"/>
      <c r="AC638" s="94"/>
      <c r="AD638" s="94"/>
      <c r="AE638" s="94" t="s">
        <v>24</v>
      </c>
      <c r="AF638" s="94"/>
      <c r="AG638" s="94"/>
      <c r="AH638" s="94" t="s">
        <v>121</v>
      </c>
      <c r="AI638" s="94" t="s">
        <v>852</v>
      </c>
      <c r="AJ638" s="94"/>
      <c r="AK638" s="94"/>
      <c r="AL638" s="94"/>
      <c r="AM638" s="94"/>
      <c r="AN638" s="94"/>
      <c r="AO638" s="94"/>
      <c r="AP638" s="94"/>
      <c r="AQ638" s="94"/>
      <c r="AR638" s="94"/>
      <c r="AS638" s="94"/>
      <c r="AT638" s="94"/>
      <c r="AU638" s="37"/>
      <c r="AV638" s="37"/>
      <c r="AW638" s="37"/>
    </row>
    <row r="639" spans="1:55" ht="13.5" customHeight="1" x14ac:dyDescent="0.3">
      <c r="A639" s="53" t="s">
        <v>280</v>
      </c>
      <c r="B639" s="107">
        <v>637</v>
      </c>
      <c r="C639" s="8" t="str">
        <f t="shared" ref="C639:C660" ca="1" si="160">IF(TODAY()-10*365&gt;D639,"10년 초과",IF(TODAY()-5*365&gt;D639,"10년~5년 사이","5년 이내"))</f>
        <v>5년 이내</v>
      </c>
      <c r="D639" s="95">
        <v>46142</v>
      </c>
      <c r="E639" s="5">
        <f t="shared" si="155"/>
        <v>2</v>
      </c>
      <c r="F639" s="96" t="s">
        <v>1</v>
      </c>
      <c r="G639" s="88" t="s">
        <v>17</v>
      </c>
      <c r="H639" s="88" t="s">
        <v>848</v>
      </c>
      <c r="I639" s="69" t="s">
        <v>846</v>
      </c>
      <c r="J639" s="68" t="s">
        <v>4</v>
      </c>
      <c r="K639" s="70" t="s">
        <v>847</v>
      </c>
      <c r="L639" s="97">
        <v>1</v>
      </c>
      <c r="M639" s="106">
        <v>326.39999999999998</v>
      </c>
      <c r="N639" s="14">
        <v>321.7</v>
      </c>
      <c r="O639" s="47">
        <f t="shared" si="141"/>
        <v>1</v>
      </c>
      <c r="P639" s="47">
        <f t="shared" si="142"/>
        <v>1</v>
      </c>
      <c r="Q639" s="47">
        <f t="shared" si="143"/>
        <v>326.39999999999998</v>
      </c>
      <c r="R639" s="47">
        <f t="shared" si="144"/>
        <v>326.39999999999998</v>
      </c>
      <c r="S639" s="47">
        <f t="shared" si="147"/>
        <v>1</v>
      </c>
      <c r="T639" s="47">
        <f t="shared" si="148"/>
        <v>1</v>
      </c>
      <c r="U639" s="47">
        <f t="shared" si="145"/>
        <v>321.7</v>
      </c>
      <c r="V639" s="47">
        <f t="shared" si="146"/>
        <v>321.7</v>
      </c>
      <c r="W639" s="99">
        <f t="shared" si="158"/>
        <v>321.7</v>
      </c>
      <c r="X639" s="99">
        <f t="shared" si="159"/>
        <v>1</v>
      </c>
      <c r="Z639" s="94"/>
      <c r="AA639" s="94"/>
      <c r="AB639" s="94"/>
      <c r="AC639" s="94"/>
      <c r="AD639" s="94"/>
      <c r="AE639" s="94" t="s">
        <v>24</v>
      </c>
      <c r="AF639" s="94"/>
      <c r="AG639" s="94"/>
      <c r="AH639" s="94" t="s">
        <v>121</v>
      </c>
      <c r="AI639" s="94" t="s">
        <v>852</v>
      </c>
      <c r="AJ639" s="94"/>
      <c r="AK639" s="94"/>
      <c r="AL639" s="94"/>
      <c r="AM639" s="94"/>
      <c r="AN639" s="94"/>
      <c r="AO639" s="94"/>
      <c r="AP639" s="94"/>
      <c r="AQ639" s="94"/>
      <c r="AR639" s="94"/>
      <c r="AS639" s="94"/>
      <c r="AT639" s="94"/>
      <c r="AU639" s="37"/>
      <c r="AV639" s="37"/>
      <c r="AW639" s="37"/>
    </row>
    <row r="640" spans="1:55" ht="13.5" customHeight="1" x14ac:dyDescent="0.3">
      <c r="A640" s="53" t="s">
        <v>280</v>
      </c>
      <c r="B640" s="107">
        <v>638</v>
      </c>
      <c r="C640" s="8" t="str">
        <f t="shared" ca="1" si="160"/>
        <v>5년 이내</v>
      </c>
      <c r="D640" s="95">
        <v>46142</v>
      </c>
      <c r="E640" s="5">
        <f t="shared" si="155"/>
        <v>2</v>
      </c>
      <c r="F640" s="96" t="s">
        <v>1</v>
      </c>
      <c r="G640" s="88" t="s">
        <v>68</v>
      </c>
      <c r="H640" s="88" t="s">
        <v>95</v>
      </c>
      <c r="I640" s="69" t="s">
        <v>846</v>
      </c>
      <c r="J640" s="68" t="s">
        <v>4</v>
      </c>
      <c r="K640" s="70" t="s">
        <v>847</v>
      </c>
      <c r="L640" s="97">
        <v>1</v>
      </c>
      <c r="M640" s="106">
        <v>326.39999999999998</v>
      </c>
      <c r="N640" s="14">
        <v>321.7</v>
      </c>
      <c r="O640" s="47">
        <f t="shared" si="141"/>
        <v>1</v>
      </c>
      <c r="P640" s="47">
        <f t="shared" si="142"/>
        <v>1</v>
      </c>
      <c r="Q640" s="47">
        <f t="shared" si="143"/>
        <v>326.39999999999998</v>
      </c>
      <c r="R640" s="47">
        <f t="shared" si="144"/>
        <v>326.39999999999998</v>
      </c>
      <c r="S640" s="47">
        <f t="shared" si="147"/>
        <v>1</v>
      </c>
      <c r="T640" s="47">
        <f t="shared" si="148"/>
        <v>1</v>
      </c>
      <c r="U640" s="47">
        <f t="shared" si="145"/>
        <v>321.7</v>
      </c>
      <c r="V640" s="47">
        <f t="shared" si="146"/>
        <v>321.7</v>
      </c>
      <c r="W640" s="99">
        <f t="shared" si="158"/>
        <v>321.7</v>
      </c>
      <c r="X640" s="99">
        <f t="shared" si="159"/>
        <v>1</v>
      </c>
      <c r="Z640" s="94"/>
      <c r="AA640" s="94"/>
      <c r="AB640" s="94"/>
      <c r="AC640" s="94"/>
      <c r="AD640" s="94"/>
      <c r="AE640" s="94" t="s">
        <v>24</v>
      </c>
      <c r="AF640" s="94"/>
      <c r="AG640" s="94"/>
      <c r="AH640" s="94" t="s">
        <v>121</v>
      </c>
      <c r="AI640" s="94" t="s">
        <v>852</v>
      </c>
      <c r="AJ640" s="94"/>
      <c r="AK640" s="94"/>
      <c r="AL640" s="94"/>
      <c r="AM640" s="94"/>
      <c r="AN640" s="94"/>
      <c r="AO640" s="94"/>
      <c r="AP640" s="94"/>
      <c r="AQ640" s="94"/>
      <c r="AR640" s="94"/>
      <c r="AS640" s="94"/>
      <c r="AT640" s="94"/>
      <c r="AU640" s="37"/>
      <c r="AV640" s="37"/>
      <c r="AW640" s="37"/>
    </row>
    <row r="641" spans="1:64" ht="13.5" customHeight="1" x14ac:dyDescent="0.3">
      <c r="A641" s="53" t="s">
        <v>280</v>
      </c>
      <c r="B641" s="107">
        <v>639</v>
      </c>
      <c r="C641" s="8" t="str">
        <f ca="1">IF(TODAY()-10*365&gt;D641,"10년 초과",IF(TODAY()-5*365&gt;D641,"10년~5년 사이","5년 이내"))</f>
        <v>5년 이내</v>
      </c>
      <c r="D641" s="95">
        <v>46142</v>
      </c>
      <c r="E641" s="110">
        <f>IF((T641&gt;200),2,IF(T641&gt;100,1,IF((T641&lt;99.9),"")))</f>
        <v>2</v>
      </c>
      <c r="F641" s="96" t="s">
        <v>1</v>
      </c>
      <c r="G641" s="88" t="s">
        <v>39</v>
      </c>
      <c r="H641" s="88" t="s">
        <v>880</v>
      </c>
      <c r="I641" s="93" t="s">
        <v>881</v>
      </c>
      <c r="J641" s="2" t="s">
        <v>871</v>
      </c>
      <c r="K641" s="3" t="s">
        <v>872</v>
      </c>
      <c r="L641" s="97">
        <v>1</v>
      </c>
      <c r="M641" s="111">
        <v>19.600000000000001</v>
      </c>
      <c r="N641" s="108">
        <v>19.600000000000001</v>
      </c>
      <c r="O641" s="47" t="str">
        <f>IF(M641&gt;100,L641,"")</f>
        <v/>
      </c>
      <c r="P641" s="47" t="str">
        <f>IF(M641&gt;200,L641,"")</f>
        <v/>
      </c>
      <c r="Q641" s="47" t="str">
        <f>IF(M641&gt;100,M641,"")</f>
        <v/>
      </c>
      <c r="R641" s="47" t="str">
        <f>IF(M641&gt;200,M641,"")</f>
        <v/>
      </c>
      <c r="S641" s="47" t="str">
        <f>IF(N641&gt;100,L641,"")</f>
        <v/>
      </c>
      <c r="T641" s="47" t="str">
        <f>IF(N641&gt;200,L641,"")</f>
        <v/>
      </c>
      <c r="U641" s="47" t="str">
        <f>IF(N641&gt;100,N641,"")</f>
        <v/>
      </c>
      <c r="V641" s="47" t="str">
        <f>IF(N641&gt;200,N641,"")</f>
        <v/>
      </c>
      <c r="W641" s="99">
        <f>N641</f>
        <v>19.600000000000001</v>
      </c>
      <c r="X641" s="99">
        <f>IF(W641&gt;0,L641,"")</f>
        <v>1</v>
      </c>
      <c r="Z641" s="94" t="s">
        <v>887</v>
      </c>
      <c r="AA641" s="94" t="s">
        <v>888</v>
      </c>
      <c r="AB641" s="94" t="s">
        <v>889</v>
      </c>
      <c r="AC641" s="94" t="s">
        <v>890</v>
      </c>
      <c r="AD641" s="94" t="s">
        <v>891</v>
      </c>
      <c r="AE641" s="94" t="s">
        <v>892</v>
      </c>
      <c r="AF641" s="94" t="s">
        <v>5</v>
      </c>
      <c r="AG641" s="94" t="s">
        <v>872</v>
      </c>
      <c r="AH641" s="94" t="s">
        <v>121</v>
      </c>
      <c r="AI641" s="94" t="s">
        <v>122</v>
      </c>
      <c r="AJ641" s="94" t="s">
        <v>123</v>
      </c>
      <c r="AK641" s="94" t="s">
        <v>124</v>
      </c>
      <c r="AL641" s="94" t="s">
        <v>125</v>
      </c>
      <c r="AM641" s="94" t="s">
        <v>126</v>
      </c>
      <c r="AN641" s="94" t="s">
        <v>127</v>
      </c>
      <c r="AO641" s="94" t="s">
        <v>128</v>
      </c>
      <c r="AP641" s="94" t="s">
        <v>129</v>
      </c>
      <c r="AQ641" s="94" t="s">
        <v>130</v>
      </c>
      <c r="AR641" s="94" t="s">
        <v>131</v>
      </c>
      <c r="AS641" s="94" t="s">
        <v>132</v>
      </c>
      <c r="AT641" s="94" t="s">
        <v>133</v>
      </c>
      <c r="AU641" s="37"/>
      <c r="AV641" s="37"/>
      <c r="AW641" s="37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</row>
    <row r="642" spans="1:64" ht="13.5" customHeight="1" x14ac:dyDescent="0.3">
      <c r="A642" s="53" t="s">
        <v>280</v>
      </c>
      <c r="B642" s="107">
        <v>640</v>
      </c>
      <c r="C642" s="8" t="str">
        <f ca="1">IF(TODAY()-10*365&gt;D642,"10년 초과",IF(TODAY()-5*365&gt;D642,"10년~5년 사이","5년 이내"))</f>
        <v>5년 이내</v>
      </c>
      <c r="D642" s="95">
        <v>46142</v>
      </c>
      <c r="E642" s="110">
        <f>IF((T642&gt;200),2,IF(T642&gt;100,1,IF((T642&lt;99.9),"")))</f>
        <v>2</v>
      </c>
      <c r="F642" s="96" t="s">
        <v>1</v>
      </c>
      <c r="G642" s="88" t="s">
        <v>882</v>
      </c>
      <c r="H642" s="88" t="s">
        <v>883</v>
      </c>
      <c r="I642" s="93" t="s">
        <v>881</v>
      </c>
      <c r="J642" s="2" t="s">
        <v>871</v>
      </c>
      <c r="K642" s="3" t="s">
        <v>872</v>
      </c>
      <c r="L642" s="97">
        <v>1</v>
      </c>
      <c r="M642" s="111">
        <v>19.600000000000001</v>
      </c>
      <c r="N642" s="108">
        <v>19.600000000000001</v>
      </c>
      <c r="O642" s="47" t="str">
        <f>IF(M642&gt;100,L642,"")</f>
        <v/>
      </c>
      <c r="P642" s="47" t="str">
        <f>IF(M642&gt;200,L642,"")</f>
        <v/>
      </c>
      <c r="Q642" s="47" t="str">
        <f>IF(M642&gt;100,M642,"")</f>
        <v/>
      </c>
      <c r="R642" s="47" t="str">
        <f>IF(M642&gt;200,M642,"")</f>
        <v/>
      </c>
      <c r="S642" s="47" t="str">
        <f>IF(N642&gt;100,L642,"")</f>
        <v/>
      </c>
      <c r="T642" s="47" t="str">
        <f>IF(N642&gt;200,L642,"")</f>
        <v/>
      </c>
      <c r="U642" s="47" t="str">
        <f>IF(N642&gt;100,N642,"")</f>
        <v/>
      </c>
      <c r="V642" s="47" t="str">
        <f>IF(N642&gt;200,N642,"")</f>
        <v/>
      </c>
      <c r="W642" s="99">
        <f>N642</f>
        <v>19.600000000000001</v>
      </c>
      <c r="X642" s="99">
        <f>IF(W642&gt;0,L642,"")</f>
        <v>1</v>
      </c>
      <c r="Z642" s="94" t="s">
        <v>887</v>
      </c>
      <c r="AA642" s="94" t="s">
        <v>888</v>
      </c>
      <c r="AB642" s="94" t="s">
        <v>889</v>
      </c>
      <c r="AC642" s="94" t="s">
        <v>890</v>
      </c>
      <c r="AD642" s="94" t="s">
        <v>891</v>
      </c>
      <c r="AE642" s="94" t="s">
        <v>892</v>
      </c>
      <c r="AF642" s="94" t="s">
        <v>5</v>
      </c>
      <c r="AG642" s="94" t="s">
        <v>872</v>
      </c>
      <c r="AH642" s="94" t="s">
        <v>121</v>
      </c>
      <c r="AI642" s="94" t="s">
        <v>122</v>
      </c>
      <c r="AJ642" s="94" t="s">
        <v>123</v>
      </c>
      <c r="AK642" s="94" t="s">
        <v>124</v>
      </c>
      <c r="AL642" s="94" t="s">
        <v>125</v>
      </c>
      <c r="AM642" s="94" t="s">
        <v>126</v>
      </c>
      <c r="AN642" s="94" t="s">
        <v>127</v>
      </c>
      <c r="AO642" s="94" t="s">
        <v>128</v>
      </c>
      <c r="AP642" s="94" t="s">
        <v>129</v>
      </c>
      <c r="AQ642" s="94" t="s">
        <v>130</v>
      </c>
      <c r="AR642" s="94" t="s">
        <v>131</v>
      </c>
      <c r="AS642" s="94" t="s">
        <v>132</v>
      </c>
      <c r="AT642" s="94" t="s">
        <v>133</v>
      </c>
      <c r="AU642" s="37"/>
      <c r="AV642" s="37"/>
      <c r="AW642" s="37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</row>
    <row r="643" spans="1:64" ht="13.5" customHeight="1" x14ac:dyDescent="0.3">
      <c r="A643" s="53" t="s">
        <v>280</v>
      </c>
      <c r="B643" s="107">
        <v>641</v>
      </c>
      <c r="C643" s="8" t="str">
        <f ca="1">IF(TODAY()-10*365&gt;D643,"10년 초과",IF(TODAY()-5*365&gt;D643,"10년~5년 사이","5년 이내"))</f>
        <v>5년 이내</v>
      </c>
      <c r="D643" s="95">
        <v>46142</v>
      </c>
      <c r="E643" s="110">
        <f>IF((T643&gt;200),2,IF(T643&gt;100,1,IF((T643&lt;99.9),"")))</f>
        <v>2</v>
      </c>
      <c r="F643" s="96" t="s">
        <v>1</v>
      </c>
      <c r="G643" s="88" t="s">
        <v>884</v>
      </c>
      <c r="H643" s="88" t="s">
        <v>885</v>
      </c>
      <c r="I643" s="93" t="s">
        <v>881</v>
      </c>
      <c r="J643" s="2" t="s">
        <v>871</v>
      </c>
      <c r="K643" s="3" t="s">
        <v>872</v>
      </c>
      <c r="L643" s="97">
        <v>1</v>
      </c>
      <c r="M643" s="111">
        <v>19.600000000000001</v>
      </c>
      <c r="N643" s="108">
        <v>19.600000000000001</v>
      </c>
      <c r="O643" s="47" t="str">
        <f>IF(M643&gt;100,L643,"")</f>
        <v/>
      </c>
      <c r="P643" s="47" t="str">
        <f>IF(M643&gt;200,L643,"")</f>
        <v/>
      </c>
      <c r="Q643" s="47" t="str">
        <f>IF(M643&gt;100,M643,"")</f>
        <v/>
      </c>
      <c r="R643" s="47" t="str">
        <f>IF(M643&gt;200,M643,"")</f>
        <v/>
      </c>
      <c r="S643" s="47" t="str">
        <f>IF(N643&gt;100,L643,"")</f>
        <v/>
      </c>
      <c r="T643" s="47" t="str">
        <f>IF(N643&gt;200,L643,"")</f>
        <v/>
      </c>
      <c r="U643" s="47" t="str">
        <f>IF(N643&gt;100,N643,"")</f>
        <v/>
      </c>
      <c r="V643" s="47" t="str">
        <f>IF(N643&gt;200,N643,"")</f>
        <v/>
      </c>
      <c r="W643" s="99">
        <f>N643</f>
        <v>19.600000000000001</v>
      </c>
      <c r="X643" s="99">
        <f>IF(W643&gt;0,L643,"")</f>
        <v>1</v>
      </c>
      <c r="Z643" s="94" t="s">
        <v>887</v>
      </c>
      <c r="AA643" s="94" t="s">
        <v>888</v>
      </c>
      <c r="AB643" s="94" t="s">
        <v>889</v>
      </c>
      <c r="AC643" s="94" t="s">
        <v>890</v>
      </c>
      <c r="AD643" s="94" t="s">
        <v>891</v>
      </c>
      <c r="AE643" s="94" t="s">
        <v>892</v>
      </c>
      <c r="AF643" s="94" t="s">
        <v>5</v>
      </c>
      <c r="AG643" s="94" t="s">
        <v>872</v>
      </c>
      <c r="AH643" s="94" t="s">
        <v>121</v>
      </c>
      <c r="AI643" s="94" t="s">
        <v>122</v>
      </c>
      <c r="AJ643" s="94" t="s">
        <v>123</v>
      </c>
      <c r="AK643" s="94" t="s">
        <v>124</v>
      </c>
      <c r="AL643" s="94" t="s">
        <v>125</v>
      </c>
      <c r="AM643" s="94" t="s">
        <v>126</v>
      </c>
      <c r="AN643" s="94" t="s">
        <v>127</v>
      </c>
      <c r="AO643" s="94" t="s">
        <v>128</v>
      </c>
      <c r="AP643" s="94" t="s">
        <v>129</v>
      </c>
      <c r="AQ643" s="94" t="s">
        <v>130</v>
      </c>
      <c r="AR643" s="94" t="s">
        <v>131</v>
      </c>
      <c r="AS643" s="94" t="s">
        <v>132</v>
      </c>
      <c r="AT643" s="94" t="s">
        <v>133</v>
      </c>
      <c r="AU643" s="37"/>
      <c r="AV643" s="37"/>
      <c r="AW643" s="37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</row>
    <row r="644" spans="1:64" ht="13.5" customHeight="1" x14ac:dyDescent="0.3">
      <c r="A644" s="53" t="s">
        <v>280</v>
      </c>
      <c r="B644" s="107">
        <v>642</v>
      </c>
      <c r="C644" s="8" t="str">
        <f t="shared" ca="1" si="160"/>
        <v>5년 이내</v>
      </c>
      <c r="D644" s="7">
        <v>46156</v>
      </c>
      <c r="E644" s="5">
        <f t="shared" si="155"/>
        <v>2</v>
      </c>
      <c r="F644" s="1" t="s">
        <v>1</v>
      </c>
      <c r="G644" s="33" t="s">
        <v>17</v>
      </c>
      <c r="H644" s="33" t="s">
        <v>139</v>
      </c>
      <c r="I644" s="69" t="s">
        <v>849</v>
      </c>
      <c r="J644" s="68" t="s">
        <v>4</v>
      </c>
      <c r="K644" s="70" t="s">
        <v>121</v>
      </c>
      <c r="L644" s="4">
        <v>0.8</v>
      </c>
      <c r="M644" s="14">
        <v>302.2</v>
      </c>
      <c r="N644" s="14">
        <v>241.8</v>
      </c>
      <c r="O644" s="47">
        <f t="shared" si="141"/>
        <v>0.8</v>
      </c>
      <c r="P644" s="47">
        <f t="shared" si="142"/>
        <v>0.8</v>
      </c>
      <c r="Q644" s="47">
        <f t="shared" si="143"/>
        <v>302.2</v>
      </c>
      <c r="R644" s="47">
        <f t="shared" si="144"/>
        <v>302.2</v>
      </c>
      <c r="S644" s="47">
        <f t="shared" si="147"/>
        <v>0.8</v>
      </c>
      <c r="T644" s="47">
        <f t="shared" si="148"/>
        <v>0.8</v>
      </c>
      <c r="U644" s="47">
        <f t="shared" si="145"/>
        <v>241.8</v>
      </c>
      <c r="V644" s="47">
        <f t="shared" si="146"/>
        <v>241.8</v>
      </c>
      <c r="W644" s="99">
        <f t="shared" si="158"/>
        <v>241.8</v>
      </c>
      <c r="X644" s="99">
        <f t="shared" si="159"/>
        <v>0.8</v>
      </c>
      <c r="Z644" s="94" t="s">
        <v>44</v>
      </c>
      <c r="AA644" s="94"/>
      <c r="AB644" s="94"/>
      <c r="AC644" s="94" t="s">
        <v>119</v>
      </c>
      <c r="AD644" s="94"/>
      <c r="AE644" s="94" t="s">
        <v>24</v>
      </c>
      <c r="AF644" s="94" t="s">
        <v>5</v>
      </c>
      <c r="AG644" s="94"/>
      <c r="AH644" s="94" t="s">
        <v>121</v>
      </c>
      <c r="AI644" s="94"/>
      <c r="AJ644" s="94"/>
      <c r="AK644" s="94"/>
      <c r="AL644" s="94" t="s">
        <v>125</v>
      </c>
      <c r="AM644" s="94"/>
      <c r="AN644" s="94"/>
      <c r="AO644" s="94"/>
      <c r="AP644" s="94"/>
      <c r="AQ644" s="94" t="s">
        <v>130</v>
      </c>
      <c r="AR644" s="94"/>
      <c r="AS644" s="94" t="s">
        <v>132</v>
      </c>
      <c r="AT644" s="94"/>
      <c r="AU644" s="37"/>
      <c r="AV644" s="37"/>
      <c r="AW644" s="37"/>
    </row>
    <row r="645" spans="1:64" ht="13.5" customHeight="1" x14ac:dyDescent="0.3">
      <c r="A645" s="53" t="s">
        <v>280</v>
      </c>
      <c r="B645" s="107">
        <v>643</v>
      </c>
      <c r="C645" s="8" t="str">
        <f t="shared" ca="1" si="160"/>
        <v>5년 이내</v>
      </c>
      <c r="D645" s="7">
        <v>46156</v>
      </c>
      <c r="E645" s="5">
        <f t="shared" si="155"/>
        <v>2</v>
      </c>
      <c r="F645" s="1" t="s">
        <v>1</v>
      </c>
      <c r="G645" s="33" t="s">
        <v>17</v>
      </c>
      <c r="H645" s="33" t="s">
        <v>850</v>
      </c>
      <c r="I645" s="69" t="s">
        <v>849</v>
      </c>
      <c r="J645" s="68" t="s">
        <v>4</v>
      </c>
      <c r="K645" s="70" t="s">
        <v>121</v>
      </c>
      <c r="L645" s="4">
        <v>0.8</v>
      </c>
      <c r="M645" s="14">
        <v>302.2</v>
      </c>
      <c r="N645" s="14">
        <v>241.8</v>
      </c>
      <c r="O645" s="47">
        <f t="shared" si="141"/>
        <v>0.8</v>
      </c>
      <c r="P645" s="47">
        <f t="shared" si="142"/>
        <v>0.8</v>
      </c>
      <c r="Q645" s="47">
        <f t="shared" si="143"/>
        <v>302.2</v>
      </c>
      <c r="R645" s="47">
        <f t="shared" si="144"/>
        <v>302.2</v>
      </c>
      <c r="S645" s="47">
        <f t="shared" si="147"/>
        <v>0.8</v>
      </c>
      <c r="T645" s="47">
        <f t="shared" si="148"/>
        <v>0.8</v>
      </c>
      <c r="U645" s="47">
        <f t="shared" si="145"/>
        <v>241.8</v>
      </c>
      <c r="V645" s="47">
        <f t="shared" si="146"/>
        <v>241.8</v>
      </c>
      <c r="W645" s="99">
        <f t="shared" si="158"/>
        <v>241.8</v>
      </c>
      <c r="X645" s="99">
        <f t="shared" si="159"/>
        <v>0.8</v>
      </c>
      <c r="Z645" s="94" t="s">
        <v>44</v>
      </c>
      <c r="AA645" s="94"/>
      <c r="AB645" s="94"/>
      <c r="AC645" s="94" t="s">
        <v>119</v>
      </c>
      <c r="AD645" s="94"/>
      <c r="AE645" s="94" t="s">
        <v>24</v>
      </c>
      <c r="AF645" s="94" t="s">
        <v>5</v>
      </c>
      <c r="AG645" s="94"/>
      <c r="AH645" s="94" t="s">
        <v>121</v>
      </c>
      <c r="AI645" s="94"/>
      <c r="AJ645" s="94"/>
      <c r="AK645" s="94"/>
      <c r="AL645" s="94" t="s">
        <v>125</v>
      </c>
      <c r="AM645" s="94"/>
      <c r="AN645" s="94"/>
      <c r="AO645" s="94"/>
      <c r="AP645" s="94"/>
      <c r="AQ645" s="94" t="s">
        <v>130</v>
      </c>
      <c r="AR645" s="94"/>
      <c r="AS645" s="94" t="s">
        <v>132</v>
      </c>
      <c r="AT645" s="94"/>
      <c r="AU645" s="37"/>
      <c r="AV645" s="37"/>
      <c r="AW645" s="37"/>
    </row>
    <row r="646" spans="1:64" ht="13.5" customHeight="1" x14ac:dyDescent="0.3">
      <c r="A646" s="53" t="s">
        <v>280</v>
      </c>
      <c r="B646" s="107">
        <v>644</v>
      </c>
      <c r="C646" s="8" t="str">
        <f t="shared" ca="1" si="160"/>
        <v>5년 이내</v>
      </c>
      <c r="D646" s="7">
        <v>46156</v>
      </c>
      <c r="E646" s="5">
        <f t="shared" si="155"/>
        <v>2</v>
      </c>
      <c r="F646" s="1" t="s">
        <v>1</v>
      </c>
      <c r="G646" s="33" t="s">
        <v>251</v>
      </c>
      <c r="H646" s="33" t="s">
        <v>252</v>
      </c>
      <c r="I646" s="69" t="s">
        <v>849</v>
      </c>
      <c r="J646" s="68" t="s">
        <v>4</v>
      </c>
      <c r="K646" s="70" t="s">
        <v>121</v>
      </c>
      <c r="L646" s="4">
        <v>0.8</v>
      </c>
      <c r="M646" s="14">
        <v>302.2</v>
      </c>
      <c r="N646" s="14">
        <v>241.8</v>
      </c>
      <c r="O646" s="47">
        <f t="shared" si="141"/>
        <v>0.8</v>
      </c>
      <c r="P646" s="47">
        <f t="shared" si="142"/>
        <v>0.8</v>
      </c>
      <c r="Q646" s="47">
        <f t="shared" si="143"/>
        <v>302.2</v>
      </c>
      <c r="R646" s="47">
        <f t="shared" si="144"/>
        <v>302.2</v>
      </c>
      <c r="S646" s="47">
        <f t="shared" si="147"/>
        <v>0.8</v>
      </c>
      <c r="T646" s="47">
        <f t="shared" si="148"/>
        <v>0.8</v>
      </c>
      <c r="U646" s="47">
        <f t="shared" si="145"/>
        <v>241.8</v>
      </c>
      <c r="V646" s="47">
        <f t="shared" si="146"/>
        <v>241.8</v>
      </c>
      <c r="W646" s="99">
        <f t="shared" si="158"/>
        <v>241.8</v>
      </c>
      <c r="X646" s="99">
        <f t="shared" si="159"/>
        <v>0.8</v>
      </c>
      <c r="Z646" s="94" t="s">
        <v>44</v>
      </c>
      <c r="AA646" s="94"/>
      <c r="AB646" s="94"/>
      <c r="AC646" s="94" t="s">
        <v>119</v>
      </c>
      <c r="AD646" s="94"/>
      <c r="AE646" s="94" t="s">
        <v>24</v>
      </c>
      <c r="AF646" s="94" t="s">
        <v>5</v>
      </c>
      <c r="AG646" s="94"/>
      <c r="AH646" s="94" t="s">
        <v>121</v>
      </c>
      <c r="AI646" s="94"/>
      <c r="AJ646" s="94"/>
      <c r="AK646" s="94"/>
      <c r="AL646" s="94" t="s">
        <v>125</v>
      </c>
      <c r="AM646" s="94"/>
      <c r="AN646" s="94"/>
      <c r="AO646" s="94"/>
      <c r="AP646" s="94"/>
      <c r="AQ646" s="94" t="s">
        <v>130</v>
      </c>
      <c r="AR646" s="94"/>
      <c r="AS646" s="94" t="s">
        <v>132</v>
      </c>
      <c r="AT646" s="94"/>
      <c r="AU646" s="37"/>
      <c r="AV646" s="37"/>
      <c r="AW646" s="37"/>
    </row>
    <row r="647" spans="1:64" ht="13.5" customHeight="1" x14ac:dyDescent="0.3">
      <c r="A647" s="53" t="s">
        <v>280</v>
      </c>
      <c r="B647" s="107">
        <v>645</v>
      </c>
      <c r="C647" s="8" t="str">
        <f t="shared" ca="1" si="160"/>
        <v>5년 이내</v>
      </c>
      <c r="D647" s="7">
        <v>46156</v>
      </c>
      <c r="E647" s="5">
        <f t="shared" si="155"/>
        <v>2</v>
      </c>
      <c r="F647" s="1" t="s">
        <v>1</v>
      </c>
      <c r="G647" s="33" t="s">
        <v>97</v>
      </c>
      <c r="H647" s="33" t="s">
        <v>98</v>
      </c>
      <c r="I647" s="69" t="s">
        <v>849</v>
      </c>
      <c r="J647" s="68" t="s">
        <v>4</v>
      </c>
      <c r="K647" s="70" t="s">
        <v>121</v>
      </c>
      <c r="L647" s="4">
        <v>0.8</v>
      </c>
      <c r="M647" s="14">
        <v>302.2</v>
      </c>
      <c r="N647" s="14">
        <v>241.8</v>
      </c>
      <c r="O647" s="47">
        <f t="shared" si="141"/>
        <v>0.8</v>
      </c>
      <c r="P647" s="47">
        <f t="shared" si="142"/>
        <v>0.8</v>
      </c>
      <c r="Q647" s="47">
        <f t="shared" si="143"/>
        <v>302.2</v>
      </c>
      <c r="R647" s="47">
        <f t="shared" si="144"/>
        <v>302.2</v>
      </c>
      <c r="S647" s="47">
        <f t="shared" si="147"/>
        <v>0.8</v>
      </c>
      <c r="T647" s="47">
        <f t="shared" si="148"/>
        <v>0.8</v>
      </c>
      <c r="U647" s="47">
        <f t="shared" si="145"/>
        <v>241.8</v>
      </c>
      <c r="V647" s="47">
        <f t="shared" si="146"/>
        <v>241.8</v>
      </c>
      <c r="W647" s="99">
        <f t="shared" si="158"/>
        <v>241.8</v>
      </c>
      <c r="X647" s="99">
        <f t="shared" si="159"/>
        <v>0.8</v>
      </c>
      <c r="Z647" s="94" t="s">
        <v>44</v>
      </c>
      <c r="AA647" s="94"/>
      <c r="AB647" s="94"/>
      <c r="AC647" s="94" t="s">
        <v>119</v>
      </c>
      <c r="AD647" s="94"/>
      <c r="AE647" s="94" t="s">
        <v>24</v>
      </c>
      <c r="AF647" s="94" t="s">
        <v>5</v>
      </c>
      <c r="AG647" s="94"/>
      <c r="AH647" s="94" t="s">
        <v>121</v>
      </c>
      <c r="AI647" s="94"/>
      <c r="AJ647" s="94"/>
      <c r="AK647" s="94"/>
      <c r="AL647" s="94" t="s">
        <v>125</v>
      </c>
      <c r="AM647" s="94"/>
      <c r="AN647" s="94"/>
      <c r="AO647" s="94"/>
      <c r="AP647" s="94"/>
      <c r="AQ647" s="94" t="s">
        <v>130</v>
      </c>
      <c r="AR647" s="94"/>
      <c r="AS647" s="94" t="s">
        <v>132</v>
      </c>
      <c r="AT647" s="94"/>
      <c r="AU647" s="37"/>
      <c r="AV647" s="37"/>
      <c r="AW647" s="37"/>
    </row>
    <row r="648" spans="1:64" ht="13.5" customHeight="1" x14ac:dyDescent="0.3">
      <c r="A648" s="53" t="s">
        <v>280</v>
      </c>
      <c r="B648" s="107">
        <v>646</v>
      </c>
      <c r="C648" s="8" t="str">
        <f t="shared" ca="1" si="160"/>
        <v>5년 이내</v>
      </c>
      <c r="D648" s="7">
        <v>46156</v>
      </c>
      <c r="E648" s="5">
        <f t="shared" si="155"/>
        <v>2</v>
      </c>
      <c r="F648" s="1" t="s">
        <v>1</v>
      </c>
      <c r="G648" s="33" t="s">
        <v>230</v>
      </c>
      <c r="H648" s="33" t="s">
        <v>851</v>
      </c>
      <c r="I648" s="69" t="s">
        <v>849</v>
      </c>
      <c r="J648" s="68" t="s">
        <v>4</v>
      </c>
      <c r="K648" s="70" t="s">
        <v>121</v>
      </c>
      <c r="L648" s="4">
        <v>0.8</v>
      </c>
      <c r="M648" s="14">
        <v>302.2</v>
      </c>
      <c r="N648" s="14">
        <v>241.8</v>
      </c>
      <c r="O648" s="47">
        <f t="shared" ref="O648:O660" si="161">IF(M648&gt;100,L648,"")</f>
        <v>0.8</v>
      </c>
      <c r="P648" s="47">
        <f t="shared" ref="P648:P660" si="162">IF(M648&gt;200,L648,"")</f>
        <v>0.8</v>
      </c>
      <c r="Q648" s="47">
        <f t="shared" ref="Q648:Q660" si="163">IF(M648&gt;100,M648,"")</f>
        <v>302.2</v>
      </c>
      <c r="R648" s="47">
        <f t="shared" ref="R648:R660" si="164">IF(M648&gt;200,M648,"")</f>
        <v>302.2</v>
      </c>
      <c r="S648" s="47">
        <f t="shared" si="147"/>
        <v>0.8</v>
      </c>
      <c r="T648" s="47">
        <f t="shared" si="148"/>
        <v>0.8</v>
      </c>
      <c r="U648" s="47">
        <f t="shared" ref="U648:U660" si="165">IF(N648&gt;100,N648,"")</f>
        <v>241.8</v>
      </c>
      <c r="V648" s="47">
        <f t="shared" ref="V648:V660" si="166">IF(N648&gt;200,N648,"")</f>
        <v>241.8</v>
      </c>
      <c r="W648" s="99">
        <f t="shared" si="158"/>
        <v>241.8</v>
      </c>
      <c r="X648" s="99">
        <f t="shared" si="159"/>
        <v>0.8</v>
      </c>
      <c r="Z648" s="94" t="s">
        <v>44</v>
      </c>
      <c r="AA648" s="94"/>
      <c r="AB648" s="94"/>
      <c r="AC648" s="94" t="s">
        <v>119</v>
      </c>
      <c r="AD648" s="94"/>
      <c r="AE648" s="94" t="s">
        <v>24</v>
      </c>
      <c r="AF648" s="94" t="s">
        <v>5</v>
      </c>
      <c r="AG648" s="94"/>
      <c r="AH648" s="94" t="s">
        <v>121</v>
      </c>
      <c r="AI648" s="94"/>
      <c r="AJ648" s="94"/>
      <c r="AK648" s="94"/>
      <c r="AL648" s="94" t="s">
        <v>125</v>
      </c>
      <c r="AM648" s="94"/>
      <c r="AN648" s="94"/>
      <c r="AO648" s="94"/>
      <c r="AP648" s="94"/>
      <c r="AQ648" s="94" t="s">
        <v>130</v>
      </c>
      <c r="AR648" s="94"/>
      <c r="AS648" s="94" t="s">
        <v>132</v>
      </c>
      <c r="AT648" s="94"/>
      <c r="AU648" s="37"/>
      <c r="AV648" s="37"/>
      <c r="AW648" s="37"/>
    </row>
    <row r="649" spans="1:64" ht="13.5" customHeight="1" x14ac:dyDescent="0.3">
      <c r="A649" s="53" t="s">
        <v>280</v>
      </c>
      <c r="B649" s="107">
        <v>652</v>
      </c>
      <c r="C649" s="8" t="str">
        <f ca="1">IF(TODAY()-10*365&gt;D649,"10년 초과",IF(TODAY()-5*365&gt;D649,"10년~5년 사이","5년 이내"))</f>
        <v>5년 이내</v>
      </c>
      <c r="D649" s="7">
        <v>46159</v>
      </c>
      <c r="E649" s="110">
        <f t="shared" ref="E649:E655" si="167">IF((T649&gt;200),2,IF(T649&gt;100,1,IF((T649&lt;99.9),"")))</f>
        <v>2</v>
      </c>
      <c r="F649" s="1" t="s">
        <v>1</v>
      </c>
      <c r="G649" s="33" t="s">
        <v>36</v>
      </c>
      <c r="H649" s="33" t="s">
        <v>869</v>
      </c>
      <c r="I649" s="93" t="s">
        <v>870</v>
      </c>
      <c r="J649" s="2" t="s">
        <v>871</v>
      </c>
      <c r="K649" s="3" t="s">
        <v>872</v>
      </c>
      <c r="L649" s="4">
        <v>0.7</v>
      </c>
      <c r="M649" s="108">
        <v>249.7</v>
      </c>
      <c r="N649" s="108">
        <v>174.7</v>
      </c>
      <c r="O649" s="47">
        <f>IF(M649&gt;100,L649,"")</f>
        <v>0.7</v>
      </c>
      <c r="P649" s="47">
        <f>IF(M649&gt;200,L649,"")</f>
        <v>0.7</v>
      </c>
      <c r="Q649" s="47">
        <f>IF(M649&gt;100,M649,"")</f>
        <v>249.7</v>
      </c>
      <c r="R649" s="47">
        <f>IF(M649&gt;200,M649,"")</f>
        <v>249.7</v>
      </c>
      <c r="S649" s="47">
        <f>IF(N649&gt;100,L649,"")</f>
        <v>0.7</v>
      </c>
      <c r="T649" s="47" t="str">
        <f>IF(N649&gt;200,L649,"")</f>
        <v/>
      </c>
      <c r="U649" s="47">
        <f>IF(N649&gt;100,N649,"")</f>
        <v>174.7</v>
      </c>
      <c r="V649" s="47" t="str">
        <f>IF(N649&gt;200,N649,"")</f>
        <v/>
      </c>
      <c r="W649" s="99">
        <f t="shared" ref="W649:W655" si="168">N649</f>
        <v>174.7</v>
      </c>
      <c r="X649" s="99">
        <f t="shared" ref="X649:X655" si="169">IF(W649&gt;0,L649,"")</f>
        <v>0.7</v>
      </c>
      <c r="Z649" s="94"/>
      <c r="AA649" s="94"/>
      <c r="AB649" s="94"/>
      <c r="AC649" s="94" t="s">
        <v>119</v>
      </c>
      <c r="AD649" s="94"/>
      <c r="AE649" s="94" t="s">
        <v>24</v>
      </c>
      <c r="AF649" s="94"/>
      <c r="AG649" s="94"/>
      <c r="AH649" s="94"/>
      <c r="AI649" s="94"/>
      <c r="AJ649" s="94" t="s">
        <v>123</v>
      </c>
      <c r="AK649" s="94"/>
      <c r="AL649" s="94"/>
      <c r="AM649" s="94"/>
      <c r="AN649" s="94"/>
      <c r="AO649" s="94"/>
      <c r="AP649" s="94" t="s">
        <v>886</v>
      </c>
      <c r="AQ649" s="94"/>
      <c r="AR649" s="94"/>
      <c r="AS649" s="94"/>
      <c r="AT649" s="94"/>
      <c r="AU649" s="37"/>
      <c r="AV649" s="37"/>
      <c r="AW649" s="37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</row>
    <row r="650" spans="1:64" ht="13.5" customHeight="1" x14ac:dyDescent="0.3">
      <c r="A650" s="53" t="s">
        <v>280</v>
      </c>
      <c r="B650" s="107">
        <v>653</v>
      </c>
      <c r="C650" s="8" t="str">
        <f ca="1">IF(TODAY()-10*365&gt;D650,"10년 초과",IF(TODAY()-5*365&gt;D650,"10년~5년 사이","5년 이내"))</f>
        <v>5년 이내</v>
      </c>
      <c r="D650" s="7">
        <v>46159</v>
      </c>
      <c r="E650" s="110">
        <f t="shared" si="167"/>
        <v>2</v>
      </c>
      <c r="F650" s="1" t="s">
        <v>1</v>
      </c>
      <c r="G650" s="33" t="s">
        <v>36</v>
      </c>
      <c r="H650" s="33" t="s">
        <v>873</v>
      </c>
      <c r="I650" s="93" t="s">
        <v>870</v>
      </c>
      <c r="J650" s="2" t="s">
        <v>871</v>
      </c>
      <c r="K650" s="3" t="s">
        <v>872</v>
      </c>
      <c r="L650" s="4">
        <v>0.7</v>
      </c>
      <c r="M650" s="108">
        <v>249.7</v>
      </c>
      <c r="N650" s="108">
        <v>174.7</v>
      </c>
      <c r="O650" s="47">
        <f t="shared" ref="O650:O655" si="170">IF(M650&gt;100,L650,"")</f>
        <v>0.7</v>
      </c>
      <c r="P650" s="47">
        <f t="shared" ref="P650:P655" si="171">IF(M650&gt;200,L650,"")</f>
        <v>0.7</v>
      </c>
      <c r="Q650" s="47">
        <f t="shared" ref="Q650:Q655" si="172">IF(M650&gt;100,M650,"")</f>
        <v>249.7</v>
      </c>
      <c r="R650" s="47">
        <f t="shared" ref="R650:R655" si="173">IF(M650&gt;200,M650,"")</f>
        <v>249.7</v>
      </c>
      <c r="S650" s="47">
        <f>IF(N650&gt;100,L650,"")</f>
        <v>0.7</v>
      </c>
      <c r="T650" s="47" t="str">
        <f>IF(N650&gt;200,L650,"")</f>
        <v/>
      </c>
      <c r="U650" s="47">
        <f t="shared" ref="U650:U655" si="174">IF(N650&gt;100,N650,"")</f>
        <v>174.7</v>
      </c>
      <c r="V650" s="47" t="str">
        <f t="shared" ref="V650:V655" si="175">IF(N650&gt;200,N650,"")</f>
        <v/>
      </c>
      <c r="W650" s="99">
        <f t="shared" si="168"/>
        <v>174.7</v>
      </c>
      <c r="X650" s="99">
        <f t="shared" si="169"/>
        <v>0.7</v>
      </c>
      <c r="Z650" s="94"/>
      <c r="AA650" s="94"/>
      <c r="AB650" s="94"/>
      <c r="AC650" s="94" t="s">
        <v>119</v>
      </c>
      <c r="AD650" s="94"/>
      <c r="AE650" s="94" t="s">
        <v>24</v>
      </c>
      <c r="AF650" s="94"/>
      <c r="AG650" s="94"/>
      <c r="AH650" s="94"/>
      <c r="AI650" s="94"/>
      <c r="AJ650" s="94" t="s">
        <v>123</v>
      </c>
      <c r="AK650" s="94"/>
      <c r="AL650" s="94"/>
      <c r="AM650" s="94"/>
      <c r="AN650" s="94"/>
      <c r="AO650" s="94"/>
      <c r="AP650" s="94" t="s">
        <v>886</v>
      </c>
      <c r="AQ650" s="94"/>
      <c r="AR650" s="94"/>
      <c r="AS650" s="94"/>
      <c r="AT650" s="94"/>
      <c r="AU650" s="37"/>
      <c r="AV650" s="37"/>
      <c r="AW650" s="37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</row>
    <row r="651" spans="1:64" ht="13.5" customHeight="1" x14ac:dyDescent="0.3">
      <c r="A651" s="53" t="s">
        <v>280</v>
      </c>
      <c r="B651" s="107">
        <v>654</v>
      </c>
      <c r="C651" s="8" t="str">
        <f ca="1">IF(TODAY()-10*365&gt;D651,"10년 초과",IF(TODAY()-5*365&gt;D651,"10년~5년 사이","5년 이내"))</f>
        <v>5년 이내</v>
      </c>
      <c r="D651" s="7">
        <v>46159</v>
      </c>
      <c r="E651" s="110">
        <f t="shared" si="167"/>
        <v>2</v>
      </c>
      <c r="F651" s="1" t="s">
        <v>1</v>
      </c>
      <c r="G651" s="33" t="s">
        <v>36</v>
      </c>
      <c r="H651" s="33" t="s">
        <v>874</v>
      </c>
      <c r="I651" s="93" t="s">
        <v>870</v>
      </c>
      <c r="J651" s="2" t="s">
        <v>871</v>
      </c>
      <c r="K651" s="3" t="s">
        <v>872</v>
      </c>
      <c r="L651" s="4">
        <v>0.7</v>
      </c>
      <c r="M651" s="108">
        <v>249.7</v>
      </c>
      <c r="N651" s="108">
        <v>174.7</v>
      </c>
      <c r="O651" s="47">
        <f t="shared" si="170"/>
        <v>0.7</v>
      </c>
      <c r="P651" s="47">
        <f t="shared" si="171"/>
        <v>0.7</v>
      </c>
      <c r="Q651" s="47">
        <f t="shared" si="172"/>
        <v>249.7</v>
      </c>
      <c r="R651" s="47">
        <f t="shared" si="173"/>
        <v>249.7</v>
      </c>
      <c r="S651" s="47">
        <f>IF(N651&gt;100,L651,"")</f>
        <v>0.7</v>
      </c>
      <c r="T651" s="47" t="str">
        <f>IF(N651&gt;200,L651,"")</f>
        <v/>
      </c>
      <c r="U651" s="47">
        <f t="shared" si="174"/>
        <v>174.7</v>
      </c>
      <c r="V651" s="47" t="str">
        <f t="shared" si="175"/>
        <v/>
      </c>
      <c r="W651" s="99">
        <f t="shared" si="168"/>
        <v>174.7</v>
      </c>
      <c r="X651" s="99">
        <f t="shared" si="169"/>
        <v>0.7</v>
      </c>
      <c r="Z651" s="94"/>
      <c r="AA651" s="94"/>
      <c r="AB651" s="94"/>
      <c r="AC651" s="94" t="s">
        <v>119</v>
      </c>
      <c r="AD651" s="94"/>
      <c r="AE651" s="94" t="s">
        <v>24</v>
      </c>
      <c r="AF651" s="94"/>
      <c r="AG651" s="94"/>
      <c r="AH651" s="94"/>
      <c r="AI651" s="94"/>
      <c r="AJ651" s="94" t="s">
        <v>123</v>
      </c>
      <c r="AK651" s="94"/>
      <c r="AL651" s="94"/>
      <c r="AM651" s="94"/>
      <c r="AN651" s="94"/>
      <c r="AO651" s="94"/>
      <c r="AP651" s="94" t="s">
        <v>886</v>
      </c>
      <c r="AQ651" s="94"/>
      <c r="AR651" s="94"/>
      <c r="AS651" s="94"/>
      <c r="AT651" s="94"/>
      <c r="AU651" s="37"/>
      <c r="AV651" s="37"/>
      <c r="AW651" s="37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</row>
    <row r="652" spans="1:64" ht="13.5" customHeight="1" x14ac:dyDescent="0.3">
      <c r="A652" s="53" t="s">
        <v>280</v>
      </c>
      <c r="B652" s="107">
        <v>655</v>
      </c>
      <c r="C652" s="8" t="str">
        <f ca="1">IF(TODAY()-10*365&gt;D652,"10년 초과",IF(TODAY()-5*365&gt;D652,"10년~5년 사이","5년 이내"))</f>
        <v>5년 이내</v>
      </c>
      <c r="D652" s="7">
        <v>46159</v>
      </c>
      <c r="E652" s="110">
        <f t="shared" si="167"/>
        <v>2</v>
      </c>
      <c r="F652" s="1" t="s">
        <v>1</v>
      </c>
      <c r="G652" s="33" t="s">
        <v>68</v>
      </c>
      <c r="H652" s="33" t="s">
        <v>875</v>
      </c>
      <c r="I652" s="93" t="s">
        <v>870</v>
      </c>
      <c r="J652" s="2" t="s">
        <v>871</v>
      </c>
      <c r="K652" s="3" t="s">
        <v>872</v>
      </c>
      <c r="L652" s="4">
        <v>0.7</v>
      </c>
      <c r="M652" s="108">
        <v>249.7</v>
      </c>
      <c r="N652" s="108">
        <v>174.7</v>
      </c>
      <c r="O652" s="47">
        <f t="shared" si="170"/>
        <v>0.7</v>
      </c>
      <c r="P652" s="47">
        <f t="shared" si="171"/>
        <v>0.7</v>
      </c>
      <c r="Q652" s="47">
        <f t="shared" si="172"/>
        <v>249.7</v>
      </c>
      <c r="R652" s="47">
        <f t="shared" si="173"/>
        <v>249.7</v>
      </c>
      <c r="S652" s="47">
        <f>IF(N652&gt;100,L652,"")</f>
        <v>0.7</v>
      </c>
      <c r="T652" s="47" t="str">
        <f>IF(N652&gt;200,L652,"")</f>
        <v/>
      </c>
      <c r="U652" s="47">
        <f t="shared" si="174"/>
        <v>174.7</v>
      </c>
      <c r="V652" s="47" t="str">
        <f t="shared" si="175"/>
        <v/>
      </c>
      <c r="W652" s="99">
        <f t="shared" si="168"/>
        <v>174.7</v>
      </c>
      <c r="X652" s="99">
        <f t="shared" si="169"/>
        <v>0.7</v>
      </c>
      <c r="Z652" s="94"/>
      <c r="AA652" s="94"/>
      <c r="AB652" s="94"/>
      <c r="AC652" s="94" t="s">
        <v>119</v>
      </c>
      <c r="AD652" s="94"/>
      <c r="AE652" s="94" t="s">
        <v>24</v>
      </c>
      <c r="AF652" s="94"/>
      <c r="AG652" s="94"/>
      <c r="AH652" s="94"/>
      <c r="AI652" s="94"/>
      <c r="AJ652" s="94" t="s">
        <v>123</v>
      </c>
      <c r="AK652" s="94"/>
      <c r="AL652" s="94"/>
      <c r="AM652" s="94"/>
      <c r="AN652" s="94"/>
      <c r="AO652" s="94"/>
      <c r="AP652" s="94" t="s">
        <v>886</v>
      </c>
      <c r="AQ652" s="94"/>
      <c r="AR652" s="94"/>
      <c r="AS652" s="94"/>
      <c r="AT652" s="94"/>
      <c r="AU652" s="37"/>
      <c r="AV652" s="37"/>
      <c r="AW652" s="37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</row>
    <row r="653" spans="1:64" ht="13.5" customHeight="1" x14ac:dyDescent="0.3">
      <c r="A653" s="53" t="s">
        <v>280</v>
      </c>
      <c r="B653" s="107">
        <v>656</v>
      </c>
      <c r="C653" s="8" t="str">
        <f ca="1">IF(TODAY()-10*365&gt;D653,"10년 초과",IF(TODAY()-5*365&gt;D653,"10년~5년 사이","5년 이내"))</f>
        <v>5년 이내</v>
      </c>
      <c r="D653" s="7">
        <v>46159</v>
      </c>
      <c r="E653" s="110">
        <f t="shared" si="167"/>
        <v>2</v>
      </c>
      <c r="F653" s="1" t="s">
        <v>1</v>
      </c>
      <c r="G653" s="33" t="s">
        <v>876</v>
      </c>
      <c r="H653" s="33" t="s">
        <v>877</v>
      </c>
      <c r="I653" s="93" t="s">
        <v>870</v>
      </c>
      <c r="J653" s="2" t="s">
        <v>871</v>
      </c>
      <c r="K653" s="3" t="s">
        <v>872</v>
      </c>
      <c r="L653" s="4">
        <v>0.7</v>
      </c>
      <c r="M653" s="108">
        <v>249.7</v>
      </c>
      <c r="N653" s="108">
        <v>174.7</v>
      </c>
      <c r="O653" s="47">
        <f t="shared" si="170"/>
        <v>0.7</v>
      </c>
      <c r="P653" s="47">
        <f t="shared" si="171"/>
        <v>0.7</v>
      </c>
      <c r="Q653" s="47">
        <f t="shared" si="172"/>
        <v>249.7</v>
      </c>
      <c r="R653" s="47">
        <f t="shared" si="173"/>
        <v>249.7</v>
      </c>
      <c r="S653" s="47">
        <f>IF(N653&gt;100,L653,"")</f>
        <v>0.7</v>
      </c>
      <c r="T653" s="47" t="str">
        <f>IF(N653&gt;200,L653,"")</f>
        <v/>
      </c>
      <c r="U653" s="47">
        <f t="shared" si="174"/>
        <v>174.7</v>
      </c>
      <c r="V653" s="47" t="str">
        <f t="shared" si="175"/>
        <v/>
      </c>
      <c r="W653" s="99">
        <f t="shared" si="168"/>
        <v>174.7</v>
      </c>
      <c r="X653" s="99">
        <f t="shared" si="169"/>
        <v>0.7</v>
      </c>
      <c r="Z653" s="94"/>
      <c r="AA653" s="94"/>
      <c r="AB653" s="94"/>
      <c r="AC653" s="94" t="s">
        <v>119</v>
      </c>
      <c r="AD653" s="94"/>
      <c r="AE653" s="94" t="s">
        <v>24</v>
      </c>
      <c r="AF653" s="94"/>
      <c r="AG653" s="94"/>
      <c r="AH653" s="94"/>
      <c r="AI653" s="94"/>
      <c r="AJ653" s="94" t="s">
        <v>123</v>
      </c>
      <c r="AK653" s="94"/>
      <c r="AL653" s="94"/>
      <c r="AM653" s="94"/>
      <c r="AN653" s="94"/>
      <c r="AO653" s="94"/>
      <c r="AP653" s="94" t="s">
        <v>886</v>
      </c>
      <c r="AQ653" s="94"/>
      <c r="AR653" s="94"/>
      <c r="AS653" s="94"/>
      <c r="AT653" s="94"/>
      <c r="AU653" s="37"/>
      <c r="AV653" s="37"/>
      <c r="AW653" s="37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</row>
    <row r="654" spans="1:64" ht="13.5" customHeight="1" x14ac:dyDescent="0.3">
      <c r="A654" s="53" t="s">
        <v>280</v>
      </c>
      <c r="B654" s="107">
        <v>657</v>
      </c>
      <c r="C654" s="8" t="str">
        <f ca="1">IF(TODAY()-10*365&gt;D654,"10년 초과",IF(TODAY()-5*365&gt;D654,"10년~5년 사이","5년 이내"))</f>
        <v>5년 이내</v>
      </c>
      <c r="D654" s="7">
        <v>46159</v>
      </c>
      <c r="E654" s="110">
        <f t="shared" si="167"/>
        <v>2</v>
      </c>
      <c r="F654" s="1" t="s">
        <v>1</v>
      </c>
      <c r="G654" s="33" t="s">
        <v>230</v>
      </c>
      <c r="H654" s="33" t="s">
        <v>878</v>
      </c>
      <c r="I654" s="93" t="s">
        <v>870</v>
      </c>
      <c r="J654" s="2" t="s">
        <v>871</v>
      </c>
      <c r="K654" s="3" t="s">
        <v>872</v>
      </c>
      <c r="L654" s="4">
        <v>0.7</v>
      </c>
      <c r="M654" s="108">
        <v>249.7</v>
      </c>
      <c r="N654" s="108">
        <v>174.7</v>
      </c>
      <c r="O654" s="47">
        <f t="shared" si="170"/>
        <v>0.7</v>
      </c>
      <c r="P654" s="47">
        <f t="shared" si="171"/>
        <v>0.7</v>
      </c>
      <c r="Q654" s="47">
        <f t="shared" si="172"/>
        <v>249.7</v>
      </c>
      <c r="R654" s="47">
        <f t="shared" si="173"/>
        <v>249.7</v>
      </c>
      <c r="S654" s="47">
        <f>IF(N654&gt;100,L654,"")</f>
        <v>0.7</v>
      </c>
      <c r="T654" s="47" t="str">
        <f>IF(N654&gt;200,L654,"")</f>
        <v/>
      </c>
      <c r="U654" s="47">
        <f t="shared" si="174"/>
        <v>174.7</v>
      </c>
      <c r="V654" s="47" t="str">
        <f t="shared" si="175"/>
        <v/>
      </c>
      <c r="W654" s="99">
        <f t="shared" si="168"/>
        <v>174.7</v>
      </c>
      <c r="X654" s="99">
        <f t="shared" si="169"/>
        <v>0.7</v>
      </c>
      <c r="Z654" s="94"/>
      <c r="AA654" s="94"/>
      <c r="AB654" s="94"/>
      <c r="AC654" s="94" t="s">
        <v>119</v>
      </c>
      <c r="AD654" s="94"/>
      <c r="AE654" s="94" t="s">
        <v>24</v>
      </c>
      <c r="AF654" s="94"/>
      <c r="AG654" s="94"/>
      <c r="AH654" s="94"/>
      <c r="AI654" s="94"/>
      <c r="AJ654" s="94" t="s">
        <v>123</v>
      </c>
      <c r="AK654" s="94"/>
      <c r="AL654" s="94"/>
      <c r="AM654" s="94"/>
      <c r="AN654" s="94"/>
      <c r="AO654" s="94"/>
      <c r="AP654" s="94" t="s">
        <v>886</v>
      </c>
      <c r="AQ654" s="94"/>
      <c r="AR654" s="94"/>
      <c r="AS654" s="94"/>
      <c r="AT654" s="94"/>
      <c r="AU654" s="37"/>
      <c r="AV654" s="37"/>
      <c r="AW654" s="37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</row>
    <row r="655" spans="1:64" ht="13.5" customHeight="1" x14ac:dyDescent="0.3">
      <c r="A655" s="53" t="s">
        <v>280</v>
      </c>
      <c r="B655" s="107">
        <v>658</v>
      </c>
      <c r="C655" s="8" t="str">
        <f ca="1">IF(TODAY()-10*365&gt;D655,"10년 초과",IF(TODAY()-5*365&gt;D655,"10년~5년 사이","5년 이내"))</f>
        <v>5년 이내</v>
      </c>
      <c r="D655" s="7">
        <v>46159</v>
      </c>
      <c r="E655" s="110">
        <f t="shared" si="167"/>
        <v>2</v>
      </c>
      <c r="F655" s="1" t="s">
        <v>1</v>
      </c>
      <c r="G655" s="33" t="s">
        <v>39</v>
      </c>
      <c r="H655" s="33" t="s">
        <v>879</v>
      </c>
      <c r="I655" s="93" t="s">
        <v>870</v>
      </c>
      <c r="J655" s="2" t="s">
        <v>871</v>
      </c>
      <c r="K655" s="3" t="s">
        <v>872</v>
      </c>
      <c r="L655" s="4">
        <v>0.7</v>
      </c>
      <c r="M655" s="108">
        <v>249.7</v>
      </c>
      <c r="N655" s="108">
        <v>174.7</v>
      </c>
      <c r="O655" s="47">
        <f t="shared" si="170"/>
        <v>0.7</v>
      </c>
      <c r="P655" s="47">
        <f t="shared" si="171"/>
        <v>0.7</v>
      </c>
      <c r="Q655" s="47">
        <f t="shared" si="172"/>
        <v>249.7</v>
      </c>
      <c r="R655" s="47">
        <f t="shared" si="173"/>
        <v>249.7</v>
      </c>
      <c r="S655" s="47">
        <f>IF(N655&gt;100,L655,"")</f>
        <v>0.7</v>
      </c>
      <c r="T655" s="47" t="str">
        <f>IF(N655&gt;200,L655,"")</f>
        <v/>
      </c>
      <c r="U655" s="47">
        <f t="shared" si="174"/>
        <v>174.7</v>
      </c>
      <c r="V655" s="47" t="str">
        <f t="shared" si="175"/>
        <v/>
      </c>
      <c r="W655" s="99">
        <f t="shared" si="168"/>
        <v>174.7</v>
      </c>
      <c r="X655" s="99">
        <f t="shared" si="169"/>
        <v>0.7</v>
      </c>
      <c r="Z655" s="94"/>
      <c r="AA655" s="94"/>
      <c r="AB655" s="94"/>
      <c r="AC655" s="94" t="s">
        <v>119</v>
      </c>
      <c r="AD655" s="94"/>
      <c r="AE655" s="94" t="s">
        <v>24</v>
      </c>
      <c r="AF655" s="94"/>
      <c r="AG655" s="94"/>
      <c r="AH655" s="94"/>
      <c r="AI655" s="94"/>
      <c r="AJ655" s="94" t="s">
        <v>123</v>
      </c>
      <c r="AK655" s="94"/>
      <c r="AL655" s="94"/>
      <c r="AM655" s="94"/>
      <c r="AN655" s="94"/>
      <c r="AO655" s="94"/>
      <c r="AP655" s="94" t="s">
        <v>886</v>
      </c>
      <c r="AQ655" s="94"/>
      <c r="AR655" s="94"/>
      <c r="AS655" s="94"/>
      <c r="AT655" s="94"/>
      <c r="AU655" s="37"/>
      <c r="AV655" s="37"/>
      <c r="AW655" s="37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</row>
    <row r="656" spans="1:64" ht="13.5" customHeight="1" x14ac:dyDescent="0.3">
      <c r="A656" s="53" t="s">
        <v>280</v>
      </c>
      <c r="B656" s="107">
        <v>647</v>
      </c>
      <c r="C656" s="8" t="str">
        <f t="shared" ca="1" si="160"/>
        <v>5년 이내</v>
      </c>
      <c r="D656" s="7">
        <v>46160</v>
      </c>
      <c r="E656" s="5">
        <f t="shared" si="155"/>
        <v>2</v>
      </c>
      <c r="F656" s="1" t="s">
        <v>1</v>
      </c>
      <c r="G656" s="33" t="s">
        <v>451</v>
      </c>
      <c r="H656" s="33" t="s">
        <v>857</v>
      </c>
      <c r="I656" s="69" t="s">
        <v>856</v>
      </c>
      <c r="J656" s="68" t="s">
        <v>4</v>
      </c>
      <c r="K656" s="70" t="s">
        <v>121</v>
      </c>
      <c r="L656" s="4">
        <v>0.5</v>
      </c>
      <c r="M656" s="108">
        <v>478</v>
      </c>
      <c r="N656" s="108">
        <v>239</v>
      </c>
      <c r="O656" s="47">
        <f t="shared" si="161"/>
        <v>0.5</v>
      </c>
      <c r="P656" s="47">
        <f t="shared" si="162"/>
        <v>0.5</v>
      </c>
      <c r="Q656" s="47">
        <f t="shared" si="163"/>
        <v>478</v>
      </c>
      <c r="R656" s="47">
        <f t="shared" si="164"/>
        <v>478</v>
      </c>
      <c r="S656" s="47">
        <f t="shared" si="147"/>
        <v>0.5</v>
      </c>
      <c r="T656" s="47">
        <f t="shared" si="148"/>
        <v>0.5</v>
      </c>
      <c r="U656" s="47">
        <f t="shared" si="165"/>
        <v>239</v>
      </c>
      <c r="V656" s="47">
        <f t="shared" si="166"/>
        <v>239</v>
      </c>
      <c r="W656" s="99">
        <f t="shared" ref="W656:W660" si="176">N656</f>
        <v>239</v>
      </c>
      <c r="X656" s="99">
        <f t="shared" ref="X656:X660" si="177">IF(W656&gt;0,L656,"")</f>
        <v>0.5</v>
      </c>
      <c r="Z656" s="94"/>
      <c r="AA656" s="94"/>
      <c r="AB656" s="94" t="s">
        <v>861</v>
      </c>
      <c r="AC656" s="94"/>
      <c r="AD656" s="94" t="s">
        <v>862</v>
      </c>
      <c r="AE656" s="94"/>
      <c r="AF656" s="94"/>
      <c r="AG656" s="94" t="s">
        <v>863</v>
      </c>
      <c r="AH656" s="94" t="s">
        <v>121</v>
      </c>
      <c r="AI656" s="94"/>
      <c r="AJ656" s="94"/>
      <c r="AK656" s="94" t="s">
        <v>864</v>
      </c>
      <c r="AL656" s="94" t="s">
        <v>125</v>
      </c>
      <c r="AM656" s="94" t="s">
        <v>865</v>
      </c>
      <c r="AN656" s="94" t="s">
        <v>866</v>
      </c>
      <c r="AO656" s="94" t="s">
        <v>867</v>
      </c>
      <c r="AP656" s="94"/>
      <c r="AQ656" s="94"/>
      <c r="AR656" s="94" t="s">
        <v>868</v>
      </c>
      <c r="AS656" s="94" t="s">
        <v>132</v>
      </c>
      <c r="AT656" s="94"/>
      <c r="AU656" s="37"/>
      <c r="AV656" s="37"/>
      <c r="AW656" s="37"/>
      <c r="AX656"/>
      <c r="AY656"/>
      <c r="AZ656"/>
      <c r="BA656"/>
      <c r="BB656"/>
      <c r="BC656"/>
      <c r="BD656"/>
      <c r="BE656"/>
      <c r="BF656"/>
      <c r="BG656"/>
    </row>
    <row r="657" spans="1:59" ht="13.5" customHeight="1" x14ac:dyDescent="0.3">
      <c r="A657" s="53" t="s">
        <v>280</v>
      </c>
      <c r="B657" s="107">
        <v>648</v>
      </c>
      <c r="C657" s="8" t="str">
        <f t="shared" ca="1" si="160"/>
        <v>5년 이내</v>
      </c>
      <c r="D657" s="7">
        <v>46160</v>
      </c>
      <c r="E657" s="5">
        <f t="shared" si="155"/>
        <v>2</v>
      </c>
      <c r="F657" s="1" t="s">
        <v>1</v>
      </c>
      <c r="G657" s="33" t="s">
        <v>451</v>
      </c>
      <c r="H657" s="33" t="s">
        <v>858</v>
      </c>
      <c r="I657" s="69" t="s">
        <v>856</v>
      </c>
      <c r="J657" s="68" t="s">
        <v>4</v>
      </c>
      <c r="K657" s="70" t="s">
        <v>121</v>
      </c>
      <c r="L657" s="4">
        <v>0.5</v>
      </c>
      <c r="M657" s="108">
        <v>478</v>
      </c>
      <c r="N657" s="108">
        <v>239</v>
      </c>
      <c r="O657" s="47">
        <f t="shared" si="161"/>
        <v>0.5</v>
      </c>
      <c r="P657" s="47">
        <f t="shared" si="162"/>
        <v>0.5</v>
      </c>
      <c r="Q657" s="47">
        <f t="shared" si="163"/>
        <v>478</v>
      </c>
      <c r="R657" s="47">
        <f t="shared" si="164"/>
        <v>478</v>
      </c>
      <c r="S657" s="47">
        <f t="shared" si="147"/>
        <v>0.5</v>
      </c>
      <c r="T657" s="47">
        <f t="shared" si="148"/>
        <v>0.5</v>
      </c>
      <c r="U657" s="47">
        <f t="shared" si="165"/>
        <v>239</v>
      </c>
      <c r="V657" s="47">
        <f t="shared" si="166"/>
        <v>239</v>
      </c>
      <c r="W657" s="99">
        <f t="shared" si="176"/>
        <v>239</v>
      </c>
      <c r="X657" s="99">
        <f t="shared" si="177"/>
        <v>0.5</v>
      </c>
      <c r="Z657" s="94"/>
      <c r="AA657" s="94"/>
      <c r="AB657" s="94" t="s">
        <v>861</v>
      </c>
      <c r="AC657" s="94"/>
      <c r="AD657" s="94" t="s">
        <v>862</v>
      </c>
      <c r="AE657" s="94"/>
      <c r="AF657" s="94"/>
      <c r="AG657" s="94" t="s">
        <v>863</v>
      </c>
      <c r="AH657" s="94" t="s">
        <v>121</v>
      </c>
      <c r="AI657" s="94"/>
      <c r="AJ657" s="94"/>
      <c r="AK657" s="94" t="s">
        <v>864</v>
      </c>
      <c r="AL657" s="94" t="s">
        <v>125</v>
      </c>
      <c r="AM657" s="94" t="s">
        <v>865</v>
      </c>
      <c r="AN657" s="94" t="s">
        <v>866</v>
      </c>
      <c r="AO657" s="94" t="s">
        <v>867</v>
      </c>
      <c r="AP657" s="94"/>
      <c r="AQ657" s="94"/>
      <c r="AR657" s="94" t="s">
        <v>868</v>
      </c>
      <c r="AS657" s="94" t="s">
        <v>132</v>
      </c>
      <c r="AT657" s="94"/>
      <c r="AU657" s="37"/>
      <c r="AV657" s="37"/>
      <c r="AW657" s="37"/>
      <c r="AX657"/>
      <c r="AY657"/>
      <c r="AZ657"/>
      <c r="BA657"/>
      <c r="BB657"/>
      <c r="BC657"/>
      <c r="BD657"/>
      <c r="BE657"/>
      <c r="BF657"/>
      <c r="BG657"/>
    </row>
    <row r="658" spans="1:59" ht="13.5" customHeight="1" x14ac:dyDescent="0.3">
      <c r="A658" s="53" t="s">
        <v>280</v>
      </c>
      <c r="B658" s="107">
        <v>649</v>
      </c>
      <c r="C658" s="8" t="str">
        <f t="shared" ca="1" si="160"/>
        <v>5년 이내</v>
      </c>
      <c r="D658" s="7">
        <v>46160</v>
      </c>
      <c r="E658" s="5">
        <f t="shared" si="155"/>
        <v>2</v>
      </c>
      <c r="F658" s="1" t="s">
        <v>1</v>
      </c>
      <c r="G658" s="33" t="s">
        <v>451</v>
      </c>
      <c r="H658" s="33" t="s">
        <v>859</v>
      </c>
      <c r="I658" s="69" t="s">
        <v>856</v>
      </c>
      <c r="J658" s="68" t="s">
        <v>4</v>
      </c>
      <c r="K658" s="70" t="s">
        <v>121</v>
      </c>
      <c r="L658" s="4">
        <v>0.5</v>
      </c>
      <c r="M658" s="108">
        <v>478</v>
      </c>
      <c r="N658" s="108">
        <v>239</v>
      </c>
      <c r="O658" s="47">
        <f t="shared" si="161"/>
        <v>0.5</v>
      </c>
      <c r="P658" s="47">
        <f t="shared" si="162"/>
        <v>0.5</v>
      </c>
      <c r="Q658" s="47">
        <f t="shared" si="163"/>
        <v>478</v>
      </c>
      <c r="R658" s="47">
        <f t="shared" si="164"/>
        <v>478</v>
      </c>
      <c r="S658" s="47">
        <f t="shared" ref="S658:S660" si="178">IF(N658&gt;100,L658,"")</f>
        <v>0.5</v>
      </c>
      <c r="T658" s="47">
        <f t="shared" ref="T658:T660" si="179">IF(N658&gt;200,L658,"")</f>
        <v>0.5</v>
      </c>
      <c r="U658" s="47">
        <f t="shared" si="165"/>
        <v>239</v>
      </c>
      <c r="V658" s="47">
        <f t="shared" si="166"/>
        <v>239</v>
      </c>
      <c r="W658" s="99">
        <f t="shared" si="176"/>
        <v>239</v>
      </c>
      <c r="X658" s="99">
        <f t="shared" si="177"/>
        <v>0.5</v>
      </c>
      <c r="Z658" s="94"/>
      <c r="AA658" s="94"/>
      <c r="AB658" s="94" t="s">
        <v>861</v>
      </c>
      <c r="AC658" s="94"/>
      <c r="AD658" s="94" t="s">
        <v>862</v>
      </c>
      <c r="AE658" s="94"/>
      <c r="AF658" s="94"/>
      <c r="AG658" s="94" t="s">
        <v>863</v>
      </c>
      <c r="AH658" s="94" t="s">
        <v>121</v>
      </c>
      <c r="AI658" s="94"/>
      <c r="AJ658" s="94"/>
      <c r="AK658" s="94" t="s">
        <v>864</v>
      </c>
      <c r="AL658" s="94" t="s">
        <v>125</v>
      </c>
      <c r="AM658" s="94" t="s">
        <v>865</v>
      </c>
      <c r="AN658" s="94" t="s">
        <v>866</v>
      </c>
      <c r="AO658" s="94" t="s">
        <v>867</v>
      </c>
      <c r="AP658" s="94"/>
      <c r="AQ658" s="94"/>
      <c r="AR658" s="94" t="s">
        <v>868</v>
      </c>
      <c r="AS658" s="94" t="s">
        <v>132</v>
      </c>
      <c r="AT658" s="94"/>
      <c r="AU658" s="37"/>
      <c r="AV658" s="37"/>
      <c r="AW658" s="37"/>
      <c r="AX658"/>
      <c r="AY658"/>
      <c r="AZ658"/>
      <c r="BA658"/>
      <c r="BB658"/>
      <c r="BC658"/>
      <c r="BD658"/>
      <c r="BE658"/>
      <c r="BF658"/>
      <c r="BG658"/>
    </row>
    <row r="659" spans="1:59" ht="13.5" customHeight="1" x14ac:dyDescent="0.3">
      <c r="A659" s="53" t="s">
        <v>280</v>
      </c>
      <c r="B659" s="107">
        <v>650</v>
      </c>
      <c r="C659" s="8" t="str">
        <f t="shared" ca="1" si="160"/>
        <v>5년 이내</v>
      </c>
      <c r="D659" s="7">
        <v>46160</v>
      </c>
      <c r="E659" s="5">
        <f t="shared" si="155"/>
        <v>2</v>
      </c>
      <c r="F659" s="1" t="s">
        <v>1</v>
      </c>
      <c r="G659" s="33" t="s">
        <v>68</v>
      </c>
      <c r="H659" s="33" t="s">
        <v>860</v>
      </c>
      <c r="I659" s="69" t="s">
        <v>856</v>
      </c>
      <c r="J659" s="68" t="s">
        <v>4</v>
      </c>
      <c r="K659" s="70" t="s">
        <v>121</v>
      </c>
      <c r="L659" s="4">
        <v>0.5</v>
      </c>
      <c r="M659" s="108">
        <v>478</v>
      </c>
      <c r="N659" s="108">
        <v>239</v>
      </c>
      <c r="O659" s="47">
        <f t="shared" si="161"/>
        <v>0.5</v>
      </c>
      <c r="P659" s="47">
        <f t="shared" si="162"/>
        <v>0.5</v>
      </c>
      <c r="Q659" s="47">
        <f t="shared" si="163"/>
        <v>478</v>
      </c>
      <c r="R659" s="47">
        <f t="shared" si="164"/>
        <v>478</v>
      </c>
      <c r="S659" s="47">
        <f t="shared" si="178"/>
        <v>0.5</v>
      </c>
      <c r="T659" s="47">
        <f t="shared" si="179"/>
        <v>0.5</v>
      </c>
      <c r="U659" s="47">
        <f t="shared" si="165"/>
        <v>239</v>
      </c>
      <c r="V659" s="47">
        <f t="shared" si="166"/>
        <v>239</v>
      </c>
      <c r="W659" s="99">
        <f t="shared" si="176"/>
        <v>239</v>
      </c>
      <c r="X659" s="99">
        <f t="shared" si="177"/>
        <v>0.5</v>
      </c>
      <c r="Z659" s="94"/>
      <c r="AA659" s="94"/>
      <c r="AB659" s="94" t="s">
        <v>861</v>
      </c>
      <c r="AC659" s="94"/>
      <c r="AD659" s="94" t="s">
        <v>862</v>
      </c>
      <c r="AE659" s="94"/>
      <c r="AF659" s="94"/>
      <c r="AG659" s="94" t="s">
        <v>863</v>
      </c>
      <c r="AH659" s="94" t="s">
        <v>121</v>
      </c>
      <c r="AI659" s="94"/>
      <c r="AJ659" s="94"/>
      <c r="AK659" s="94" t="s">
        <v>864</v>
      </c>
      <c r="AL659" s="94" t="s">
        <v>125</v>
      </c>
      <c r="AM659" s="94" t="s">
        <v>865</v>
      </c>
      <c r="AN659" s="94" t="s">
        <v>866</v>
      </c>
      <c r="AO659" s="94" t="s">
        <v>867</v>
      </c>
      <c r="AP659" s="94"/>
      <c r="AQ659" s="94"/>
      <c r="AR659" s="94" t="s">
        <v>868</v>
      </c>
      <c r="AS659" s="94" t="s">
        <v>132</v>
      </c>
      <c r="AT659" s="94"/>
      <c r="AU659" s="37"/>
      <c r="AV659" s="37"/>
      <c r="AW659" s="37"/>
      <c r="AX659"/>
      <c r="AY659"/>
      <c r="AZ659"/>
      <c r="BA659"/>
      <c r="BB659"/>
      <c r="BC659"/>
      <c r="BD659"/>
      <c r="BE659"/>
      <c r="BF659"/>
      <c r="BG659"/>
    </row>
    <row r="660" spans="1:59" ht="13.5" customHeight="1" x14ac:dyDescent="0.3">
      <c r="A660" s="53" t="s">
        <v>280</v>
      </c>
      <c r="B660" s="107">
        <v>651</v>
      </c>
      <c r="C660" s="8" t="str">
        <f t="shared" ca="1" si="160"/>
        <v>5년 이내</v>
      </c>
      <c r="D660" s="7">
        <v>46160</v>
      </c>
      <c r="E660" s="5">
        <f t="shared" si="155"/>
        <v>2</v>
      </c>
      <c r="F660" s="1" t="s">
        <v>1</v>
      </c>
      <c r="G660" s="33" t="s">
        <v>854</v>
      </c>
      <c r="H660" s="33" t="s">
        <v>855</v>
      </c>
      <c r="I660" s="69" t="s">
        <v>856</v>
      </c>
      <c r="J660" s="68" t="s">
        <v>4</v>
      </c>
      <c r="K660" s="70" t="s">
        <v>121</v>
      </c>
      <c r="L660" s="4">
        <v>0.5</v>
      </c>
      <c r="M660" s="108">
        <v>478</v>
      </c>
      <c r="N660" s="108">
        <v>239</v>
      </c>
      <c r="O660" s="47">
        <f t="shared" si="161"/>
        <v>0.5</v>
      </c>
      <c r="P660" s="47">
        <f t="shared" si="162"/>
        <v>0.5</v>
      </c>
      <c r="Q660" s="47">
        <f t="shared" si="163"/>
        <v>478</v>
      </c>
      <c r="R660" s="47">
        <f t="shared" si="164"/>
        <v>478</v>
      </c>
      <c r="S660" s="47">
        <f t="shared" si="178"/>
        <v>0.5</v>
      </c>
      <c r="T660" s="47">
        <f t="shared" si="179"/>
        <v>0.5</v>
      </c>
      <c r="U660" s="47">
        <f t="shared" si="165"/>
        <v>239</v>
      </c>
      <c r="V660" s="47">
        <f t="shared" si="166"/>
        <v>239</v>
      </c>
      <c r="W660" s="99">
        <f t="shared" si="176"/>
        <v>239</v>
      </c>
      <c r="X660" s="99">
        <f t="shared" si="177"/>
        <v>0.5</v>
      </c>
      <c r="Z660" s="94"/>
      <c r="AA660" s="94"/>
      <c r="AB660" s="94" t="s">
        <v>861</v>
      </c>
      <c r="AC660" s="94"/>
      <c r="AD660" s="94" t="s">
        <v>862</v>
      </c>
      <c r="AE660" s="94"/>
      <c r="AF660" s="94"/>
      <c r="AG660" s="94" t="s">
        <v>863</v>
      </c>
      <c r="AH660" s="94" t="s">
        <v>121</v>
      </c>
      <c r="AI660" s="94"/>
      <c r="AJ660" s="94"/>
      <c r="AK660" s="94" t="s">
        <v>864</v>
      </c>
      <c r="AL660" s="94" t="s">
        <v>125</v>
      </c>
      <c r="AM660" s="94" t="s">
        <v>865</v>
      </c>
      <c r="AN660" s="94" t="s">
        <v>866</v>
      </c>
      <c r="AO660" s="94" t="s">
        <v>867</v>
      </c>
      <c r="AP660" s="94"/>
      <c r="AQ660" s="94"/>
      <c r="AR660" s="94" t="s">
        <v>868</v>
      </c>
      <c r="AS660" s="94" t="s">
        <v>132</v>
      </c>
      <c r="AT660" s="94"/>
      <c r="AU660" s="37"/>
      <c r="AV660" s="37"/>
      <c r="AW660" s="37"/>
      <c r="AX660"/>
      <c r="AY660"/>
      <c r="AZ660"/>
      <c r="BA660"/>
      <c r="BB660"/>
      <c r="BC660"/>
      <c r="BD660"/>
      <c r="BE660"/>
      <c r="BF660"/>
      <c r="BG660"/>
    </row>
    <row r="661" spans="1:59" ht="13.5" customHeight="1" x14ac:dyDescent="0.3">
      <c r="A661" s="53" t="s">
        <v>280</v>
      </c>
      <c r="B661" s="107">
        <v>659</v>
      </c>
    </row>
    <row r="662" spans="1:59" ht="13.5" customHeight="1" x14ac:dyDescent="0.3">
      <c r="A662" s="53" t="s">
        <v>280</v>
      </c>
      <c r="B662" s="107">
        <v>660</v>
      </c>
    </row>
    <row r="663" spans="1:59" ht="13.5" customHeight="1" x14ac:dyDescent="0.3">
      <c r="A663" s="53"/>
    </row>
    <row r="664" spans="1:59" ht="13.5" customHeight="1" x14ac:dyDescent="0.3"/>
    <row r="665" spans="1:59" ht="13.5" customHeight="1" x14ac:dyDescent="0.3"/>
    <row r="666" spans="1:59" ht="13.5" customHeight="1" x14ac:dyDescent="0.3"/>
    <row r="667" spans="1:59" ht="13.5" customHeight="1" x14ac:dyDescent="0.3"/>
    <row r="668" spans="1:59" ht="13.5" customHeight="1" x14ac:dyDescent="0.3"/>
    <row r="669" spans="1:59" ht="13.5" customHeight="1" x14ac:dyDescent="0.3"/>
    <row r="670" spans="1:59" ht="13.5" customHeight="1" x14ac:dyDescent="0.3"/>
    <row r="671" spans="1:59" ht="13.5" customHeight="1" x14ac:dyDescent="0.3"/>
    <row r="672" spans="1:59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</sheetData>
  <autoFilter ref="A1:AW645"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</autoFilter>
  <sortState ref="A326:BS641">
    <sortCondition ref="D326:D641"/>
  </sortState>
  <mergeCells count="19">
    <mergeCell ref="Z1:AW1"/>
    <mergeCell ref="M1:M2"/>
    <mergeCell ref="N1:N2"/>
    <mergeCell ref="O1:R1"/>
    <mergeCell ref="S1:V1"/>
    <mergeCell ref="W1:X1"/>
    <mergeCell ref="Y1:Y2"/>
    <mergeCell ref="A1:A2"/>
    <mergeCell ref="L1:L2"/>
    <mergeCell ref="C1:C2"/>
    <mergeCell ref="B1:B2"/>
    <mergeCell ref="D1:D2"/>
    <mergeCell ref="E1:E2"/>
    <mergeCell ref="F1:F2"/>
    <mergeCell ref="G1:G2"/>
    <mergeCell ref="H1:H2"/>
    <mergeCell ref="I1:I2"/>
    <mergeCell ref="J1:J2"/>
    <mergeCell ref="K1:K2"/>
  </mergeCells>
  <phoneticPr fontId="2" type="noConversion"/>
  <conditionalFormatting sqref="C443:C503 C574:C588 C570:C571 C548:C568 C506:C545">
    <cfRule type="containsText" dxfId="25" priority="32" operator="containsText" text="5년 초과">
      <formula>NOT(ISERROR(SEARCH("5년 초과",C443)))</formula>
    </cfRule>
  </conditionalFormatting>
  <conditionalFormatting sqref="C1:C2 C7 C9 C41:C42 C570:C571 C548:C568 C506:C545 C443:C503 C44:C126 C574:C1048576">
    <cfRule type="containsText" dxfId="24" priority="31" operator="containsText" text="5년 이내">
      <formula>NOT(ISERROR(SEARCH("5년 이내",C1)))</formula>
    </cfRule>
  </conditionalFormatting>
  <conditionalFormatting sqref="C4:C6">
    <cfRule type="containsText" dxfId="23" priority="28" operator="containsText" text="5년 초과">
      <formula>NOT(ISERROR(SEARCH("5년 초과",C4)))</formula>
    </cfRule>
  </conditionalFormatting>
  <conditionalFormatting sqref="C4:C6">
    <cfRule type="containsText" dxfId="22" priority="27" operator="containsText" text="5년 이내">
      <formula>NOT(ISERROR(SEARCH("5년 이내",C4)))</formula>
    </cfRule>
  </conditionalFormatting>
  <conditionalFormatting sqref="C8">
    <cfRule type="containsText" dxfId="21" priority="26" operator="containsText" text="5년 이내">
      <formula>NOT(ISERROR(SEARCH("5년 이내",C8)))</formula>
    </cfRule>
  </conditionalFormatting>
  <conditionalFormatting sqref="C10">
    <cfRule type="containsText" dxfId="20" priority="25" operator="containsText" text="5년 이내">
      <formula>NOT(ISERROR(SEARCH("5년 이내",C10)))</formula>
    </cfRule>
  </conditionalFormatting>
  <conditionalFormatting sqref="C11">
    <cfRule type="containsText" dxfId="19" priority="24" operator="containsText" text="5년 이내">
      <formula>NOT(ISERROR(SEARCH("5년 이내",C11)))</formula>
    </cfRule>
  </conditionalFormatting>
  <conditionalFormatting sqref="C12">
    <cfRule type="containsText" dxfId="18" priority="23" operator="containsText" text="5년 이내">
      <formula>NOT(ISERROR(SEARCH("5년 이내",C12)))</formula>
    </cfRule>
  </conditionalFormatting>
  <conditionalFormatting sqref="C13:C39">
    <cfRule type="containsText" dxfId="17" priority="22" operator="containsText" text="5년 이내">
      <formula>NOT(ISERROR(SEARCH("5년 이내",C13)))</formula>
    </cfRule>
  </conditionalFormatting>
  <conditionalFormatting sqref="C3">
    <cfRule type="containsText" dxfId="16" priority="19" operator="containsText" text="5년 이내">
      <formula>NOT(ISERROR(SEARCH("5년 이내",C3)))</formula>
    </cfRule>
  </conditionalFormatting>
  <conditionalFormatting sqref="C40">
    <cfRule type="containsText" dxfId="15" priority="20" operator="containsText" text="5년 이내">
      <formula>NOT(ISERROR(SEARCH("5년 이내",C40)))</formula>
    </cfRule>
  </conditionalFormatting>
  <conditionalFormatting sqref="C572:C573">
    <cfRule type="containsText" dxfId="14" priority="15" operator="containsText" text="5년 초과">
      <formula>NOT(ISERROR(SEARCH("5년 초과",C572)))</formula>
    </cfRule>
  </conditionalFormatting>
  <conditionalFormatting sqref="C572:C573">
    <cfRule type="containsText" dxfId="13" priority="14" operator="containsText" text="5년 이내">
      <formula>NOT(ISERROR(SEARCH("5년 이내",C572)))</formula>
    </cfRule>
  </conditionalFormatting>
  <conditionalFormatting sqref="C569">
    <cfRule type="containsText" dxfId="12" priority="13" operator="containsText" text="5년 초과">
      <formula>NOT(ISERROR(SEARCH("5년 초과",C569)))</formula>
    </cfRule>
  </conditionalFormatting>
  <conditionalFormatting sqref="C569">
    <cfRule type="containsText" dxfId="11" priority="12" operator="containsText" text="5년 이내">
      <formula>NOT(ISERROR(SEARCH("5년 이내",C569)))</formula>
    </cfRule>
  </conditionalFormatting>
  <conditionalFormatting sqref="C546">
    <cfRule type="containsText" dxfId="10" priority="11" operator="containsText" text="5년 초과">
      <formula>NOT(ISERROR(SEARCH("5년 초과",C546)))</formula>
    </cfRule>
  </conditionalFormatting>
  <conditionalFormatting sqref="C546">
    <cfRule type="containsText" dxfId="9" priority="10" operator="containsText" text="5년 이내">
      <formula>NOT(ISERROR(SEARCH("5년 이내",C546)))</formula>
    </cfRule>
  </conditionalFormatting>
  <conditionalFormatting sqref="C547">
    <cfRule type="containsText" dxfId="8" priority="9" operator="containsText" text="5년 초과">
      <formula>NOT(ISERROR(SEARCH("5년 초과",C547)))</formula>
    </cfRule>
  </conditionalFormatting>
  <conditionalFormatting sqref="C547">
    <cfRule type="containsText" dxfId="7" priority="8" operator="containsText" text="5년 이내">
      <formula>NOT(ISERROR(SEARCH("5년 이내",C547)))</formula>
    </cfRule>
  </conditionalFormatting>
  <conditionalFormatting sqref="C504">
    <cfRule type="containsText" dxfId="6" priority="7" operator="containsText" text="5년 초과">
      <formula>NOT(ISERROR(SEARCH("5년 초과",C504)))</formula>
    </cfRule>
  </conditionalFormatting>
  <conditionalFormatting sqref="C504">
    <cfRule type="containsText" dxfId="5" priority="6" operator="containsText" text="5년 이내">
      <formula>NOT(ISERROR(SEARCH("5년 이내",C504)))</formula>
    </cfRule>
  </conditionalFormatting>
  <conditionalFormatting sqref="C505">
    <cfRule type="containsText" dxfId="4" priority="5" operator="containsText" text="5년 초과">
      <formula>NOT(ISERROR(SEARCH("5년 초과",C505)))</formula>
    </cfRule>
  </conditionalFormatting>
  <conditionalFormatting sqref="C505">
    <cfRule type="containsText" dxfId="3" priority="4" operator="containsText" text="5년 이내">
      <formula>NOT(ISERROR(SEARCH("5년 이내",C505)))</formula>
    </cfRule>
  </conditionalFormatting>
  <conditionalFormatting sqref="C127:C442">
    <cfRule type="containsText" dxfId="2" priority="2" operator="containsText" text="5년 이내">
      <formula>NOT(ISERROR(SEARCH("5년 이내",C127)))</formula>
    </cfRule>
  </conditionalFormatting>
  <conditionalFormatting sqref="C127:C442">
    <cfRule type="containsText" dxfId="1" priority="3" operator="containsText" text="5년 초과">
      <formula>NOT(ISERROR(SEARCH("5년 초과",C127)))</formula>
    </cfRule>
  </conditionalFormatting>
  <conditionalFormatting sqref="C43">
    <cfRule type="containsText" dxfId="0" priority="1" operator="containsText" text="5년 이내">
      <formula>NOT(ISERROR(SEARCH("5년 이내",C43)))</formula>
    </cfRule>
  </conditionalFormatting>
  <pageMargins left="0.70866141732283472" right="0.70866141732283472" top="0.74803149606299213" bottom="0.74803149606299213" header="0.31496062992125984" footer="0.31496062992125984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saman</cp:lastModifiedBy>
  <cp:lastPrinted>2024-03-19T06:52:00Z</cp:lastPrinted>
  <dcterms:created xsi:type="dcterms:W3CDTF">2016-05-16T00:36:32Z</dcterms:created>
  <dcterms:modified xsi:type="dcterms:W3CDTF">2026-06-26T00:48:08Z</dcterms:modified>
</cp:coreProperties>
</file>