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국토품_금액" sheetId="2" state="visible" r:id="rId2"/>
    <sheet name="국토품_작업량" sheetId="3" state="visible" r:id="rId3"/>
    <sheet name="국토품_PDF" sheetId="4" state="visible" r:id="rId4"/>
  </sheets>
  <definedNames>
    <definedName name="_xlnm.Print_Area" localSheetId="1">'국토품_금액'!$A$1:$M$267</definedName>
    <definedName name="_xlnm.Print_Area" localSheetId="2">'국토품_작업량'!$A$1:$N$52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0.00_ "/>
    <numFmt numFmtId="166" formatCode="0.000"/>
    <numFmt numFmtId="167" formatCode="_-* #,##0_-;\-* #,##0_-;_-* &quot;-&quot;??_-;_-@_-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맑은 고딕"/>
      <charset val="129"/>
      <family val="3"/>
      <b val="1"/>
      <sz val="10.5"/>
      <scheme val="minor"/>
    </font>
    <font>
      <name val="맑은 고딕"/>
      <charset val="129"/>
      <family val="3"/>
      <color theme="1"/>
      <sz val="10.5"/>
      <scheme val="minor"/>
    </font>
    <font>
      <name val="맑은 고딕"/>
      <charset val="129"/>
      <family val="3"/>
      <sz val="10.5"/>
      <scheme val="minor"/>
    </font>
    <font>
      <name val="맑은 고딕"/>
      <charset val="129"/>
      <family val="3"/>
      <b val="1"/>
      <color theme="1"/>
      <sz val="10.5"/>
      <scheme val="minor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D9EAD3"/>
      </patternFill>
    </fill>
  </fills>
  <borders count="9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/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292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1" fillId="0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32" applyAlignment="1" pivotButton="0" quotePrefix="0" xfId="5">
      <alignment horizontal="left" vertical="center"/>
    </xf>
    <xf numFmtId="0" fontId="0" fillId="0" borderId="47" pivotButton="0" quotePrefix="0" xfId="0"/>
    <xf numFmtId="0" fontId="1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6" fillId="0" borderId="12" applyAlignment="1" pivotButton="0" quotePrefix="0" xfId="3">
      <alignment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6" fillId="0" borderId="13" applyAlignment="1" pivotButton="0" quotePrefix="0" xfId="3">
      <alignment vertical="center"/>
    </xf>
    <xf numFmtId="167" fontId="6" fillId="0" borderId="12" applyAlignment="1" pivotButton="0" quotePrefix="0" xfId="3">
      <alignment vertical="center"/>
    </xf>
    <xf numFmtId="0" fontId="1" fillId="0" borderId="0" pivotButton="0" quotePrefix="0" xfId="3"/>
    <xf numFmtId="164" fontId="20" fillId="0" borderId="41" applyAlignment="1" pivotButton="0" quotePrefix="0" xfId="6">
      <alignment horizontal="center" vertical="center"/>
    </xf>
    <xf numFmtId="0" fontId="1" fillId="0" borderId="0" pivotButton="0" quotePrefix="1" xfId="3"/>
    <xf numFmtId="164" fontId="20" fillId="0" borderId="12" applyAlignment="1" pivotButton="0" quotePrefix="0" xfId="7">
      <alignment horizontal="center" vertical="center"/>
    </xf>
    <xf numFmtId="0" fontId="6" fillId="0" borderId="66" applyAlignment="1" pivotButton="0" quotePrefix="0" xfId="3">
      <alignment horizontal="center" vertical="center"/>
    </xf>
    <xf numFmtId="0" fontId="0" fillId="0" borderId="46" pivotButton="0" quotePrefix="0" xfId="0"/>
    <xf numFmtId="164" fontId="6" fillId="0" borderId="67" applyAlignment="1" pivotButton="0" quotePrefix="0" xfId="4">
      <alignment vertical="center"/>
    </xf>
    <xf numFmtId="164" fontId="6" fillId="0" borderId="9" applyAlignment="1" pivotButton="0" quotePrefix="0" xfId="4">
      <alignment horizontal="right" vertical="center"/>
    </xf>
    <xf numFmtId="0" fontId="11" fillId="0" borderId="11" applyAlignment="1" pivotButton="0" quotePrefix="0" xfId="3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0" fontId="8" fillId="3" borderId="50" applyAlignment="1" pivotButton="0" quotePrefix="0" xfId="3">
      <alignment horizontal="center" vertical="center"/>
    </xf>
    <xf numFmtId="0" fontId="0" fillId="0" borderId="68" pivotButton="0" quotePrefix="0" xfId="0"/>
    <xf numFmtId="0" fontId="8" fillId="3" borderId="53" applyAlignment="1" pivotButton="0" quotePrefix="0" xfId="3">
      <alignment horizontal="center" vertical="center"/>
    </xf>
    <xf numFmtId="164" fontId="8" fillId="3" borderId="69" applyAlignment="1" pivotButton="0" quotePrefix="0" xfId="4">
      <alignment vertical="center"/>
    </xf>
    <xf numFmtId="164" fontId="8" fillId="3" borderId="53" applyAlignment="1" pivotButton="0" quotePrefix="0" xfId="4">
      <alignment horizontal="right" vertical="center"/>
    </xf>
    <xf numFmtId="0" fontId="11" fillId="3" borderId="57" applyAlignment="1" pivotButton="0" quotePrefix="0" xfId="3">
      <alignment horizontal="center" vertical="center"/>
    </xf>
    <xf numFmtId="164" fontId="22" fillId="0" borderId="0" applyAlignment="1" pivotButton="0" quotePrefix="0" xfId="5">
      <alignment horizontal="left" vertical="center"/>
    </xf>
    <xf numFmtId="0" fontId="19" fillId="0" borderId="0" applyAlignment="1" pivotButton="0" quotePrefix="0" xfId="6">
      <alignment vertical="center"/>
    </xf>
    <xf numFmtId="0" fontId="6" fillId="0" borderId="15" applyAlignment="1" pivotButton="0" quotePrefix="0" xfId="3">
      <alignment horizontal="center" vertical="center"/>
    </xf>
    <xf numFmtId="0" fontId="0" fillId="0" borderId="70" pivotButton="0" quotePrefix="0" xfId="0"/>
    <xf numFmtId="4" fontId="6" fillId="0" borderId="22" applyAlignment="1" pivotButton="0" quotePrefix="0" xfId="3">
      <alignment horizontal="center" vertical="center"/>
    </xf>
    <xf numFmtId="0" fontId="6" fillId="0" borderId="22" applyAlignment="1" pivotButton="0" quotePrefix="0" xfId="3">
      <alignment horizontal="left" vertical="center"/>
    </xf>
    <xf numFmtId="0" fontId="6" fillId="0" borderId="22" applyAlignment="1" pivotButton="0" quotePrefix="0" xfId="3">
      <alignment horizontal="right" vertical="center"/>
    </xf>
    <xf numFmtId="0" fontId="6" fillId="0" borderId="22" applyAlignment="1" pivotButton="0" quotePrefix="0" xfId="3">
      <alignment horizontal="center" vertical="center"/>
    </xf>
    <xf numFmtId="164" fontId="6" fillId="0" borderId="22" applyAlignment="1" pivotButton="0" quotePrefix="0" xfId="4">
      <alignment horizontal="right" vertical="center"/>
    </xf>
    <xf numFmtId="0" fontId="6" fillId="0" borderId="23" applyAlignment="1" pivotButton="0" quotePrefix="0" xfId="3">
      <alignment horizontal="center" vertical="center"/>
    </xf>
    <xf numFmtId="164" fontId="19" fillId="0" borderId="0" applyAlignment="1" pivotButton="0" quotePrefix="0" xfId="7">
      <alignment horizontal="center" vertical="center"/>
    </xf>
    <xf numFmtId="0" fontId="19" fillId="0" borderId="0" applyAlignment="1" pivotButton="0" quotePrefix="0" xfId="6">
      <alignment horizontal="center" vertical="center"/>
    </xf>
    <xf numFmtId="0" fontId="23" fillId="4" borderId="13" applyAlignment="1" pivotButton="0" quotePrefix="0" xfId="3">
      <alignment horizontal="left" vertical="center"/>
    </xf>
    <xf numFmtId="0" fontId="24" fillId="4" borderId="47" pivotButton="0" quotePrefix="0" xfId="0"/>
    <xf numFmtId="0" fontId="25" fillId="4" borderId="12" applyAlignment="1" pivotButton="0" quotePrefix="0" xfId="3">
      <alignment horizontal="center" vertical="center"/>
    </xf>
    <xf numFmtId="0" fontId="25" fillId="4" borderId="12" applyAlignment="1" pivotButton="0" quotePrefix="0" xfId="3">
      <alignment horizontal="right" vertical="center"/>
    </xf>
    <xf numFmtId="0" fontId="24" fillId="4" borderId="31" pivotButton="0" quotePrefix="0" xfId="0"/>
    <xf numFmtId="164" fontId="23" fillId="4" borderId="12" applyAlignment="1" pivotButton="0" quotePrefix="0" xfId="4">
      <alignment horizontal="right" vertical="center"/>
    </xf>
    <xf numFmtId="0" fontId="25" fillId="4" borderId="24" applyAlignment="1" pivotButton="0" quotePrefix="0" xfId="3">
      <alignment horizontal="center" vertical="center"/>
    </xf>
    <xf numFmtId="0" fontId="1" fillId="0" borderId="0" pivotButton="0" quotePrefix="0" xfId="7"/>
    <xf numFmtId="0" fontId="1" fillId="0" borderId="0" pivotButton="0" quotePrefix="0" xfId="6"/>
    <xf numFmtId="0" fontId="20" fillId="0" borderId="0" applyAlignment="1" pivotButton="0" quotePrefix="0" xfId="6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0" applyAlignment="1" pivotButton="0" quotePrefix="0" xfId="6">
      <alignment horizontal="center" vertical="center"/>
    </xf>
    <xf numFmtId="164" fontId="20" fillId="0" borderId="0" applyAlignment="1" pivotButton="0" quotePrefix="0" xfId="7">
      <alignment horizontal="center"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6" fillId="0" borderId="72" applyAlignment="1" pivotButton="0" quotePrefix="0" xfId="3">
      <alignment horizontal="center" vertical="center"/>
    </xf>
    <xf numFmtId="0" fontId="1" fillId="0" borderId="71" pivotButton="0" quotePrefix="0" xfId="0"/>
    <xf numFmtId="4" fontId="6" fillId="0" borderId="55" applyAlignment="1" pivotButton="0" quotePrefix="0" xfId="3">
      <alignment horizontal="center" vertical="center"/>
    </xf>
    <xf numFmtId="0" fontId="6" fillId="0" borderId="55" applyAlignment="1" pivotButton="0" quotePrefix="0" xfId="3">
      <alignment horizontal="left" vertical="center"/>
    </xf>
    <xf numFmtId="0" fontId="6" fillId="0" borderId="55" applyAlignment="1" pivotButton="0" quotePrefix="0" xfId="3">
      <alignment horizontal="right" vertical="center"/>
    </xf>
    <xf numFmtId="0" fontId="6" fillId="0" borderId="55" applyAlignment="1" pivotButton="0" quotePrefix="0" xfId="3">
      <alignment horizontal="center" vertical="center"/>
    </xf>
    <xf numFmtId="164" fontId="6" fillId="0" borderId="55" applyAlignment="1" pivotButton="0" quotePrefix="0" xfId="4">
      <alignment horizontal="right" vertical="center"/>
    </xf>
    <xf numFmtId="0" fontId="6" fillId="0" borderId="58" applyAlignment="1" pivotButton="0" quotePrefix="0" xfId="3">
      <alignment horizontal="center" vertical="center"/>
    </xf>
    <xf numFmtId="0" fontId="23" fillId="4" borderId="50" applyAlignment="1" pivotButton="0" quotePrefix="0" xfId="3">
      <alignment horizontal="left" vertical="center"/>
    </xf>
    <xf numFmtId="0" fontId="26" fillId="4" borderId="68" pivotButton="0" quotePrefix="0" xfId="0"/>
    <xf numFmtId="4" fontId="23" fillId="4" borderId="53" applyAlignment="1" pivotButton="0" quotePrefix="0" xfId="3">
      <alignment horizontal="center" vertical="center"/>
    </xf>
    <xf numFmtId="0" fontId="23" fillId="4" borderId="53" applyAlignment="1" pivotButton="0" quotePrefix="0" xfId="3">
      <alignment horizontal="left" vertical="center"/>
    </xf>
    <xf numFmtId="0" fontId="23" fillId="4" borderId="53" applyAlignment="1" pivotButton="0" quotePrefix="0" xfId="3">
      <alignment horizontal="right" vertical="center"/>
    </xf>
    <xf numFmtId="0" fontId="23" fillId="4" borderId="53" applyAlignment="1" pivotButton="0" quotePrefix="0" xfId="3">
      <alignment horizontal="center" vertical="center"/>
    </xf>
    <xf numFmtId="164" fontId="23" fillId="4" borderId="53" applyAlignment="1" pivotButton="0" quotePrefix="0" xfId="4">
      <alignment horizontal="right" vertical="center"/>
    </xf>
    <xf numFmtId="0" fontId="23" fillId="4" borderId="57" applyAlignment="1" pivotButton="0" quotePrefix="0" xfId="3">
      <alignment horizontal="center" vertical="center"/>
    </xf>
    <xf numFmtId="0" fontId="6" fillId="0" borderId="73" applyAlignment="1" pivotButton="0" quotePrefix="0" xfId="3">
      <alignment horizontal="left" vertical="center" indent="1"/>
    </xf>
    <xf numFmtId="0" fontId="1" fillId="0" borderId="30" pivotButton="0" quotePrefix="0" xfId="0"/>
    <xf numFmtId="4" fontId="6" fillId="0" borderId="28" applyAlignment="1" pivotButton="0" quotePrefix="0" xfId="3">
      <alignment horizontal="center" vertical="center"/>
    </xf>
    <xf numFmtId="0" fontId="6" fillId="0" borderId="28" applyAlignment="1" pivotButton="0" quotePrefix="0" xfId="3">
      <alignment horizontal="left" vertical="center"/>
    </xf>
    <xf numFmtId="0" fontId="6" fillId="0" borderId="28" applyAlignment="1" pivotButton="0" quotePrefix="0" xfId="3">
      <alignment horizontal="right" vertical="center"/>
    </xf>
    <xf numFmtId="0" fontId="6" fillId="0" borderId="28" applyAlignment="1" pivotButton="0" quotePrefix="0" xfId="3">
      <alignment horizontal="center" vertical="center"/>
    </xf>
    <xf numFmtId="164" fontId="6" fillId="0" borderId="28" applyAlignment="1" pivotButton="0" quotePrefix="0" xfId="4">
      <alignment horizontal="right" vertical="center"/>
    </xf>
    <xf numFmtId="0" fontId="6" fillId="0" borderId="13" applyAlignment="1" pivotButton="0" quotePrefix="0" xfId="3">
      <alignment horizontal="left" vertical="center" indent="2"/>
    </xf>
    <xf numFmtId="0" fontId="1" fillId="0" borderId="47" pivotButton="0" quotePrefix="0" xfId="0"/>
    <xf numFmtId="0" fontId="6" fillId="0" borderId="13" applyAlignment="1" pivotButton="0" quotePrefix="0" xfId="3">
      <alignment horizontal="left" vertical="center" indent="1"/>
    </xf>
    <xf numFmtId="0" fontId="6" fillId="0" borderId="66" applyAlignment="1" pivotButton="0" quotePrefix="0" xfId="3">
      <alignment horizontal="left" vertical="center" indent="2"/>
    </xf>
    <xf numFmtId="0" fontId="1" fillId="0" borderId="49" pivotButton="0" quotePrefix="0" xfId="0"/>
    <xf numFmtId="4" fontId="6" fillId="0" borderId="9" applyAlignment="1" pivotButton="0" quotePrefix="0" xfId="3">
      <alignment horizontal="center" vertical="center"/>
    </xf>
    <xf numFmtId="0" fontId="6" fillId="0" borderId="9" applyAlignment="1" pivotButton="0" quotePrefix="0" xfId="3">
      <alignment horizontal="left" vertical="center"/>
    </xf>
    <xf numFmtId="0" fontId="6" fillId="0" borderId="9" applyAlignment="1" pivotButton="0" quotePrefix="0" xfId="3">
      <alignment horizontal="right" vertical="center"/>
    </xf>
    <xf numFmtId="0" fontId="6" fillId="0" borderId="16" applyAlignment="1" pivotButton="0" quotePrefix="0" xfId="3">
      <alignment vertical="center"/>
    </xf>
    <xf numFmtId="0" fontId="1" fillId="0" borderId="59" pivotButton="0" quotePrefix="0" xfId="0"/>
    <xf numFmtId="0" fontId="24" fillId="4" borderId="68" pivotButton="0" quotePrefix="0" xfId="0"/>
    <xf numFmtId="0" fontId="25" fillId="4" borderId="53" applyAlignment="1" pivotButton="0" quotePrefix="0" xfId="3">
      <alignment horizontal="center" vertical="center"/>
    </xf>
    <xf numFmtId="0" fontId="25" fillId="4" borderId="53" applyAlignment="1" pivotButton="0" quotePrefix="0" xfId="3">
      <alignment horizontal="right" vertical="center"/>
    </xf>
    <xf numFmtId="0" fontId="25" fillId="4" borderId="57" applyAlignment="1" pivotButton="0" quotePrefix="0" xfId="3">
      <alignment horizontal="center" vertical="center"/>
    </xf>
    <xf numFmtId="0" fontId="8" fillId="0" borderId="73" applyAlignment="1" pivotButton="0" quotePrefix="0" xfId="3">
      <alignment vertical="center"/>
    </xf>
    <xf numFmtId="0" fontId="6" fillId="0" borderId="28" applyAlignment="1" pivotButton="0" quotePrefix="0" xfId="3">
      <alignment vertical="center"/>
    </xf>
    <xf numFmtId="4" fontId="6" fillId="0" borderId="28" applyAlignment="1" pivotButton="0" quotePrefix="0" xfId="3">
      <alignment vertical="center"/>
    </xf>
    <xf numFmtId="3" fontId="6" fillId="0" borderId="28" applyAlignment="1" pivotButton="0" quotePrefix="0" xfId="3">
      <alignment horizontal="right" vertical="center"/>
    </xf>
    <xf numFmtId="0" fontId="27" fillId="5" borderId="0" pivotButton="0" quotePrefix="0" xfId="0"/>
    <xf numFmtId="0" fontId="8" fillId="2" borderId="89" applyAlignment="1" pivotButton="0" quotePrefix="0" xfId="3">
      <alignment horizontal="center" vertical="center"/>
    </xf>
    <xf numFmtId="0" fontId="12" fillId="2" borderId="80" applyAlignment="1" pivotButton="0" quotePrefix="0" xfId="3">
      <alignment horizontal="center" vertical="center"/>
    </xf>
    <xf numFmtId="0" fontId="0" fillId="0" borderId="77" pivotButton="0" quotePrefix="0" xfId="0"/>
    <xf numFmtId="0" fontId="0" fillId="0" borderId="80" pivotButton="0" quotePrefix="0" xfId="0"/>
    <xf numFmtId="0" fontId="12" fillId="2" borderId="91" applyAlignment="1" pivotButton="0" quotePrefix="0" xfId="3">
      <alignment horizontal="center" vertical="center"/>
    </xf>
    <xf numFmtId="0" fontId="12" fillId="2" borderId="86" applyAlignment="1" pivotButton="0" quotePrefix="0" xfId="3">
      <alignment horizontal="center" vertical="center"/>
    </xf>
    <xf numFmtId="0" fontId="0" fillId="0" borderId="90" pivotButton="0" quotePrefix="0" xfId="0"/>
    <xf numFmtId="0" fontId="7" fillId="2" borderId="82" applyAlignment="1" pivotButton="0" quotePrefix="0" xfId="3">
      <alignment horizontal="center" vertical="center"/>
    </xf>
    <xf numFmtId="0" fontId="7" fillId="2" borderId="83" applyAlignment="1" pivotButton="0" quotePrefix="0" xfId="3">
      <alignment horizontal="center" vertical="center"/>
    </xf>
    <xf numFmtId="0" fontId="7" fillId="2" borderId="87" applyAlignment="1" pivotButton="0" quotePrefix="0" xfId="3">
      <alignment horizontal="center" vertical="center"/>
    </xf>
    <xf numFmtId="0" fontId="7" fillId="0" borderId="14" applyAlignment="1" pivotButton="0" quotePrefix="0" xfId="3">
      <alignment vertical="center"/>
    </xf>
    <xf numFmtId="2" fontId="6" fillId="0" borderId="84" applyAlignment="1" pivotButton="0" quotePrefix="0" xfId="3">
      <alignment vertical="center"/>
    </xf>
    <xf numFmtId="2" fontId="6" fillId="0" borderId="85" applyAlignment="1" pivotButton="0" quotePrefix="0" xfId="3">
      <alignment vertical="center"/>
    </xf>
    <xf numFmtId="166" fontId="6" fillId="0" borderId="88" applyAlignment="1" pivotButton="0" quotePrefix="0" xfId="3">
      <alignment vertical="center"/>
    </xf>
    <xf numFmtId="0" fontId="12" fillId="0" borderId="92" applyAlignment="1" pivotButton="0" quotePrefix="0" xfId="3">
      <alignment vertical="center" wrapText="1"/>
    </xf>
    <xf numFmtId="2" fontId="6" fillId="0" borderId="93" applyAlignment="1" pivotButton="0" quotePrefix="0" xfId="3">
      <alignment vertical="center"/>
    </xf>
    <xf numFmtId="2" fontId="6" fillId="0" borderId="94" applyAlignment="1" pivotButton="0" quotePrefix="0" xfId="3">
      <alignment vertical="center"/>
    </xf>
    <xf numFmtId="2" fontId="6" fillId="0" borderId="95" applyAlignment="1" pivotButton="0" quotePrefix="0" xfId="3">
      <alignment vertical="center"/>
    </xf>
    <xf numFmtId="2" fontId="6" fillId="0" borderId="96" applyAlignment="1" pivotButton="0" quotePrefix="0" xfId="3">
      <alignment vertical="center"/>
    </xf>
    <xf numFmtId="166" fontId="6" fillId="0" borderId="97" applyAlignment="1" pivotButton="0" quotePrefix="0" xfId="3">
      <alignment vertical="center"/>
    </xf>
    <xf numFmtId="0" fontId="7" fillId="0" borderId="14" applyAlignment="1" pivotButton="0" quotePrefix="0" xfId="3">
      <alignment vertical="center" wrapText="1"/>
    </xf>
    <xf numFmtId="166" fontId="28" fillId="0" borderId="88" applyAlignment="1" pivotButton="0" quotePrefix="0" xfId="3">
      <alignment vertical="center"/>
    </xf>
    <xf numFmtId="2" fontId="8" fillId="0" borderId="82" applyAlignment="1" pivotButton="0" quotePrefix="0" xfId="3">
      <alignment vertical="center"/>
    </xf>
    <xf numFmtId="2" fontId="8" fillId="0" borderId="83" applyAlignment="1" pivotButton="0" quotePrefix="0" xfId="3">
      <alignment vertical="center"/>
    </xf>
    <xf numFmtId="0" fontId="6" fillId="0" borderId="87" applyAlignment="1" pivotButton="0" quotePrefix="0" xfId="3">
      <alignment vertical="center"/>
    </xf>
    <xf numFmtId="0" fontId="7" fillId="0" borderId="74" applyAlignment="1" pivotButton="0" quotePrefix="0" xfId="3">
      <alignment vertical="center"/>
    </xf>
    <xf numFmtId="0" fontId="13" fillId="0" borderId="74" applyAlignment="1" pivotButton="0" quotePrefix="0" xfId="3">
      <alignment vertical="center"/>
    </xf>
    <xf numFmtId="0" fontId="10" fillId="0" borderId="74" pivotButton="0" quotePrefix="0" xfId="3"/>
    <xf numFmtId="0" fontId="14" fillId="0" borderId="74" pivotButton="0" quotePrefix="0" xfId="3"/>
    <xf numFmtId="0" fontId="1" fillId="0" borderId="74" pivotButton="0" quotePrefix="0" xfId="0"/>
    <xf numFmtId="2" fontId="6" fillId="0" borderId="74" applyAlignment="1" pivotButton="0" quotePrefix="0" xfId="3">
      <alignment vertical="center"/>
    </xf>
    <xf numFmtId="0" fontId="6" fillId="0" borderId="74" applyAlignment="1" pivotButton="0" quotePrefix="0" xfId="3">
      <alignment vertical="center"/>
    </xf>
    <xf numFmtId="0" fontId="27" fillId="5" borderId="0" applyAlignment="1" pivotButton="0" quotePrefix="0" xfId="0">
      <alignment vertical="center"/>
    </xf>
    <xf numFmtId="0" fontId="27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74" applyAlignment="1" pivotButton="0" quotePrefix="0" xfId="0">
      <alignment vertical="top"/>
    </xf>
    <xf numFmtId="0" fontId="0" fillId="0" borderId="74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61" customWidth="1" style="140" min="2" max="2"/>
  </cols>
  <sheetData>
    <row r="1">
      <c r="A1" s="254" t="inlineStr">
        <is>
          <t>항목</t>
        </is>
      </c>
      <c r="B1" s="254" t="inlineStr">
        <is>
          <t>내용</t>
        </is>
      </c>
    </row>
    <row r="2">
      <c r="A2" t="inlineStr">
        <is>
          <t>템플릿</t>
        </is>
      </c>
      <c r="B2" t="inlineStr">
        <is>
          <t>C:\Users\saman\Documents\Codex\2026-05-12\pdf\template.xlsx</t>
        </is>
      </c>
    </row>
    <row r="3">
      <c r="A3" t="inlineStr">
        <is>
          <t>대상면적(㎡)</t>
        </is>
      </c>
      <c r="B3" t="n">
        <v>10000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2026-05-14 08:32:09</t>
        </is>
      </c>
    </row>
    <row r="8"/>
    <row r="9">
      <c r="A9" t="inlineStr">
        <is>
          <t>PDF</t>
        </is>
      </c>
      <c r="B9" t="inlineStr">
        <is>
          <t>C:\Users\saman\Desktop\Ai 실습\국토품.pdf</t>
        </is>
      </c>
    </row>
    <row r="10">
      <c r="A10" t="inlineStr">
        <is>
          <t>추출 표 수</t>
        </is>
      </c>
      <c r="B10" t="n">
        <v>2</v>
      </c>
    </row>
    <row r="11">
      <c r="A11" t="inlineStr">
        <is>
          <t>반영 업무 행 수</t>
        </is>
      </c>
      <c r="B11" t="n">
        <v>7</v>
      </c>
    </row>
    <row r="12">
      <c r="A12" t="inlineStr">
        <is>
          <t>주의</t>
        </is>
      </c>
      <c r="B12" t="inlineStr">
        <is>
          <t>2쪽 표는 예상 양식과 달라 수식 표로 반영하지 못했습니다.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7"/>
  <sheetViews>
    <sheetView view="pageBreakPreview" workbookViewId="0">
      <selection activeCell="A1" sqref="A1"/>
    </sheetView>
  </sheetViews>
  <sheetFormatPr baseColWidth="8" defaultRowHeight="16.5"/>
  <cols>
    <col width="13" customWidth="1" style="140" min="1" max="1"/>
    <col width="10.125" customWidth="1" style="140" min="2" max="2"/>
    <col width="7" customWidth="1" style="140" min="3" max="3"/>
    <col width="5.625" customWidth="1" style="140" min="4" max="4"/>
    <col width="9.125" customWidth="1" style="140" min="5" max="5"/>
    <col width="15" customWidth="1" style="140" min="6" max="6"/>
    <col width="9.125" customWidth="1" style="140" min="7" max="7"/>
    <col width="13.875" customWidth="1" style="140" min="8" max="8"/>
    <col width="10.625" customWidth="1" style="140" min="9" max="9"/>
    <col width="13" customWidth="1" style="140" min="10" max="10"/>
    <col width="8" customWidth="1" style="140" min="11" max="11"/>
    <col width="13" customWidth="1" style="140" min="12" max="12"/>
    <col width="7.125" customWidth="1" style="140" min="13" max="13"/>
    <col width="13" customWidth="1" style="140" min="14" max="14"/>
    <col width="23.25" customWidth="1" style="140" min="15" max="15"/>
    <col width="11.375" customWidth="1" style="140" min="16" max="16"/>
    <col width="12.75" customWidth="1" style="140" min="17" max="17"/>
    <col width="13" customWidth="1" style="140" min="18" max="18"/>
  </cols>
  <sheetData>
    <row r="1" ht="30.75" customHeight="1" s="140">
      <c r="A1" s="25" t="inlineStr">
        <is>
          <t>국토품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  <c r="N1" s="141" t="n"/>
      <c r="O1" s="141" t="n"/>
      <c r="P1" s="141" t="n"/>
      <c r="Q1" s="141" t="n"/>
      <c r="R1" s="141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노     무     비</t>
        </is>
      </c>
      <c r="H2" s="145" t="n"/>
      <c r="I2" s="144" t="inlineStr">
        <is>
          <t>재     료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  <c r="N2" s="141" t="n"/>
      <c r="O2" s="141" t="n"/>
      <c r="P2" s="141" t="n"/>
      <c r="Q2" s="141" t="n"/>
      <c r="R2" s="141" t="n"/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  <c r="N3" s="141" t="n"/>
      <c r="O3" s="179" t="inlineStr">
        <is>
          <t>■ 엔지니어링 노임단가(2026년_건설)</t>
        </is>
      </c>
      <c r="P3" s="180" t="n"/>
      <c r="Q3" s="180" t="n"/>
      <c r="R3" s="141" t="n"/>
    </row>
    <row r="4" ht="24" customHeight="1" s="140">
      <c r="A4" s="111" t="inlineStr">
        <is>
          <t xml:space="preserve"> 가. 직접인건비</t>
        </is>
      </c>
      <c r="B4" s="151" t="n"/>
      <c r="C4" s="104" t="n"/>
      <c r="D4" s="104" t="n"/>
      <c r="E4" s="18" t="n"/>
      <c r="F4" s="152" t="n"/>
      <c r="G4" s="104" t="n"/>
      <c r="H4" s="153" t="n"/>
      <c r="I4" s="104" t="n"/>
      <c r="J4" s="104" t="n"/>
      <c r="K4" s="104" t="n"/>
      <c r="L4" s="104" t="n"/>
      <c r="M4" s="92" t="n"/>
      <c r="N4" s="141" t="n"/>
      <c r="O4" s="189" t="inlineStr">
        <is>
          <t>구   분</t>
        </is>
      </c>
      <c r="P4" s="189" t="inlineStr">
        <is>
          <t>노  무  비</t>
        </is>
      </c>
      <c r="Q4" s="190" t="inlineStr">
        <is>
          <t>비   고</t>
        </is>
      </c>
      <c r="R4" s="141" t="n"/>
    </row>
    <row r="5" ht="24" customHeight="1" s="140">
      <c r="A5" s="111" t="inlineStr">
        <is>
          <t xml:space="preserve">  1. 국토품</t>
        </is>
      </c>
      <c r="B5" s="151" t="n"/>
      <c r="C5" s="95" t="n">
        <v>1</v>
      </c>
      <c r="D5" s="104" t="inlineStr">
        <is>
          <t>식</t>
        </is>
      </c>
      <c r="E5" s="156" t="n"/>
      <c r="F5" s="156">
        <f>H5</f>
        <v/>
      </c>
      <c r="G5" s="104" t="n"/>
      <c r="H5" s="153">
        <f>H16</f>
        <v/>
      </c>
      <c r="I5" s="104" t="n"/>
      <c r="J5" s="104" t="n"/>
      <c r="K5" s="104" t="n"/>
      <c r="L5" s="104" t="n"/>
      <c r="M5" s="92" t="n"/>
      <c r="N5" s="141" t="n"/>
      <c r="O5" s="198" t="inlineStr">
        <is>
          <t>기술사</t>
        </is>
      </c>
      <c r="P5" s="198" t="n">
        <v>1</v>
      </c>
      <c r="Q5" s="199" t="n"/>
      <c r="R5" s="141" t="n"/>
    </row>
    <row r="6" ht="24" customHeight="1" s="140">
      <c r="A6" s="103" t="inlineStr">
        <is>
          <t>소   계</t>
        </is>
      </c>
      <c r="B6" s="151" t="n"/>
      <c r="C6" s="104" t="n"/>
      <c r="D6" s="104" t="n"/>
      <c r="E6" s="156" t="n"/>
      <c r="F6" s="156">
        <f>H6</f>
        <v/>
      </c>
      <c r="G6" s="105" t="n"/>
      <c r="H6" s="153">
        <f>SUM(H5:H5)</f>
        <v/>
      </c>
      <c r="I6" s="105" t="n"/>
      <c r="J6" s="105" t="n"/>
      <c r="K6" s="105" t="n"/>
      <c r="L6" s="105" t="n"/>
      <c r="M6" s="92" t="n"/>
      <c r="N6" s="141" t="n"/>
      <c r="O6" s="190" t="inlineStr">
        <is>
          <t>특급기술자</t>
        </is>
      </c>
      <c r="P6" s="189" t="n">
        <v>2</v>
      </c>
      <c r="Q6" s="200" t="n"/>
      <c r="R6" s="141" t="n"/>
    </row>
    <row r="7" ht="24" customHeight="1" s="140">
      <c r="A7" s="103" t="n"/>
      <c r="B7" s="151" t="n"/>
      <c r="C7" s="104" t="n"/>
      <c r="D7" s="104" t="n"/>
      <c r="E7" s="18" t="n"/>
      <c r="F7" s="18" t="n"/>
      <c r="G7" s="104" t="n"/>
      <c r="H7" s="153" t="n"/>
      <c r="I7" s="104" t="n"/>
      <c r="J7" s="104" t="n"/>
      <c r="K7" s="104" t="n"/>
      <c r="L7" s="104" t="n"/>
      <c r="M7" s="92" t="n"/>
      <c r="N7" s="141" t="n"/>
      <c r="O7" s="190" t="inlineStr">
        <is>
          <t>고급기술자</t>
        </is>
      </c>
      <c r="P7" s="189" t="n">
        <v>3</v>
      </c>
      <c r="Q7" s="200" t="n"/>
      <c r="R7" s="141" t="n"/>
    </row>
    <row r="8" ht="24" customHeight="1" s="140">
      <c r="A8" s="160" t="inlineStr">
        <is>
          <t xml:space="preserve"> 나. 제경비</t>
        </is>
      </c>
      <c r="B8" s="18" t="inlineStr">
        <is>
          <t xml:space="preserve">(직접인건비)x </t>
        </is>
      </c>
      <c r="C8" s="152" t="n"/>
      <c r="D8" s="31" t="n">
        <v>1.1</v>
      </c>
      <c r="E8" s="161" t="n"/>
      <c r="F8" s="161">
        <f>ROUNDDOWN(F6*D8,0)</f>
        <v/>
      </c>
      <c r="G8" s="18" t="n"/>
      <c r="H8" s="153" t="n"/>
      <c r="I8" s="162" t="n"/>
      <c r="J8" s="32" t="n"/>
      <c r="K8" s="33" t="n"/>
      <c r="L8" s="34" t="n"/>
      <c r="M8" s="92" t="n"/>
      <c r="N8" s="141" t="n"/>
      <c r="O8" s="190" t="inlineStr">
        <is>
          <t>중급기술자</t>
        </is>
      </c>
      <c r="P8" s="189" t="n">
        <v>4</v>
      </c>
      <c r="Q8" s="200" t="n"/>
      <c r="R8" s="141" t="n"/>
    </row>
    <row r="9" ht="24" customHeight="1" s="140">
      <c r="A9" s="160" t="inlineStr">
        <is>
          <t xml:space="preserve"> 다. 기술료</t>
        </is>
      </c>
      <c r="B9" s="18" t="inlineStr">
        <is>
          <t>(직접인건비+제경비)x</t>
        </is>
      </c>
      <c r="C9" s="112" t="n"/>
      <c r="D9" s="31" t="n">
        <v>0.2</v>
      </c>
      <c r="E9" s="156" t="n"/>
      <c r="F9" s="156">
        <f>INT((F6+F8)*D9)</f>
        <v/>
      </c>
      <c r="G9" s="33" t="n"/>
      <c r="H9" s="153" t="n"/>
      <c r="I9" s="164" t="n"/>
      <c r="J9" s="32" t="n"/>
      <c r="K9" s="18" t="n"/>
      <c r="L9" s="18" t="n"/>
      <c r="M9" s="92" t="n"/>
      <c r="N9" s="141" t="n"/>
      <c r="O9" s="190" t="inlineStr">
        <is>
          <t>초급기술자</t>
        </is>
      </c>
      <c r="P9" s="189" t="n">
        <v>5</v>
      </c>
      <c r="Q9" s="202" t="n"/>
      <c r="R9" s="141" t="n"/>
    </row>
    <row r="10" ht="24" customHeight="1" s="140">
      <c r="A10" s="103" t="inlineStr">
        <is>
          <t>소   계</t>
        </is>
      </c>
      <c r="B10" s="151" t="n"/>
      <c r="C10" s="104" t="n"/>
      <c r="D10" s="104" t="n"/>
      <c r="E10" s="161" t="n"/>
      <c r="F10" s="161">
        <f>F8+F9</f>
        <v/>
      </c>
      <c r="G10" s="104" t="n"/>
      <c r="H10" s="153" t="n"/>
      <c r="I10" s="104" t="n"/>
      <c r="J10" s="104" t="n"/>
      <c r="K10" s="104" t="n"/>
      <c r="L10" s="104" t="n"/>
      <c r="M10" s="35" t="n"/>
      <c r="N10" s="141" t="n"/>
      <c r="O10" s="190" t="inlineStr">
        <is>
          <t>고급숙련기술자</t>
        </is>
      </c>
      <c r="P10" s="189" t="n">
        <v>6</v>
      </c>
      <c r="Q10" s="202" t="n"/>
      <c r="R10" s="141" t="n"/>
    </row>
    <row r="11" ht="24" customHeight="1" s="140">
      <c r="A11" s="103" t="n"/>
      <c r="B11" s="151" t="n"/>
      <c r="C11" s="93" t="n"/>
      <c r="D11" s="104" t="n"/>
      <c r="E11" s="18" t="n"/>
      <c r="F11" s="18" t="n"/>
      <c r="G11" s="104" t="n"/>
      <c r="H11" s="153" t="n"/>
      <c r="I11" s="104" t="n"/>
      <c r="J11" s="104" t="n"/>
      <c r="K11" s="104" t="n"/>
      <c r="L11" s="104" t="n"/>
      <c r="M11" s="35" t="n"/>
      <c r="N11" s="141" t="n"/>
      <c r="O11" s="200" t="inlineStr">
        <is>
          <t>중급숙련기술자</t>
        </is>
      </c>
      <c r="P11" s="203" t="n">
        <v>7</v>
      </c>
      <c r="Q11" s="202" t="n"/>
      <c r="R11" s="141" t="n"/>
    </row>
    <row r="12" ht="24" customHeight="1" s="140">
      <c r="A12" s="166" t="inlineStr">
        <is>
          <t>합   계</t>
        </is>
      </c>
      <c r="B12" s="167" t="n"/>
      <c r="C12" s="37" t="n"/>
      <c r="D12" s="37" t="n"/>
      <c r="E12" s="168" t="n"/>
      <c r="F12" s="168">
        <f>ROUNDDOWN(F6+F10,0)</f>
        <v/>
      </c>
      <c r="G12" s="37" t="n"/>
      <c r="H12" s="169" t="n"/>
      <c r="I12" s="37" t="n"/>
      <c r="J12" s="37" t="n"/>
      <c r="K12" s="37" t="n"/>
      <c r="L12" s="37" t="n"/>
      <c r="M12" s="170" t="n"/>
      <c r="N12" s="87" t="n"/>
      <c r="O12" s="200" t="inlineStr">
        <is>
          <t>초급숙련기술자</t>
        </is>
      </c>
      <c r="P12" s="203" t="n">
        <v>8</v>
      </c>
      <c r="Q12" s="202" t="n"/>
      <c r="R12" s="87" t="n"/>
    </row>
    <row r="13" ht="24" customHeight="1" s="140">
      <c r="A13" s="173" t="inlineStr">
        <is>
          <t>적   용</t>
        </is>
      </c>
      <c r="B13" s="174" t="n"/>
      <c r="C13" s="175" t="n"/>
      <c r="D13" s="175" t="n"/>
      <c r="E13" s="176" t="n"/>
      <c r="F13" s="176">
        <f>ROUNDDOWN(F12,-3)</f>
        <v/>
      </c>
      <c r="G13" s="175" t="n"/>
      <c r="H13" s="177" t="n"/>
      <c r="I13" s="175" t="n"/>
      <c r="J13" s="175" t="n"/>
      <c r="K13" s="175" t="n"/>
      <c r="L13" s="175" t="n"/>
      <c r="M13" s="178" t="inlineStr">
        <is>
          <t>단위절사</t>
        </is>
      </c>
      <c r="N13" s="87" t="n"/>
      <c r="O13" s="179" t="n"/>
      <c r="P13" s="180" t="n"/>
      <c r="Q13" s="180" t="n"/>
      <c r="R13" s="87" t="n"/>
    </row>
    <row r="14" ht="24" customHeight="1" s="140">
      <c r="A14" s="221">
        <f>A5</f>
        <v/>
      </c>
      <c r="B14" s="222" t="n"/>
      <c r="C14" s="223" t="n"/>
      <c r="D14" s="224" t="n"/>
      <c r="E14" s="225" t="n"/>
      <c r="F14" s="222" t="n"/>
      <c r="G14" s="226" t="n"/>
      <c r="H14" s="227">
        <f>H15+H22+H27+H32+H39+H45+H48</f>
        <v/>
      </c>
      <c r="I14" s="226" t="n"/>
      <c r="J14" s="226" t="n"/>
      <c r="K14" s="226" t="n"/>
      <c r="L14" s="226" t="n"/>
      <c r="M14" s="228" t="n"/>
      <c r="N14" s="87" t="n"/>
      <c r="O14" s="189" t="n"/>
      <c r="P14" s="189" t="n"/>
      <c r="Q14" s="190" t="n"/>
      <c r="R14" s="87" t="n"/>
    </row>
    <row r="15" ht="18" customHeight="1" s="140">
      <c r="A15" s="229">
        <f>A56</f>
        <v/>
      </c>
      <c r="B15" s="230" t="n"/>
      <c r="C15" s="231" t="n"/>
      <c r="D15" s="232" t="n"/>
      <c r="E15" s="233" t="n"/>
      <c r="F15" s="230" t="n"/>
      <c r="G15" s="234" t="n"/>
      <c r="H15" s="235">
        <f>SUM(H16:H21)</f>
        <v/>
      </c>
      <c r="I15" s="234" t="n"/>
      <c r="J15" s="234" t="n"/>
      <c r="K15" s="234" t="n"/>
      <c r="L15" s="234" t="n"/>
      <c r="M15" s="92" t="n"/>
      <c r="N15" s="87" t="n"/>
      <c r="O15" s="189" t="n"/>
      <c r="P15" s="189" t="n"/>
      <c r="Q15" s="190" t="n"/>
      <c r="R15" s="87" t="n"/>
    </row>
    <row r="16" ht="18" customHeight="1" s="140">
      <c r="A16" s="236">
        <f>A57</f>
        <v/>
      </c>
      <c r="B16" s="237" t="n"/>
      <c r="C16" s="93" t="n"/>
      <c r="D16" s="112" t="n"/>
      <c r="E16" s="105" t="n"/>
      <c r="F16" s="153">
        <f>H16</f>
        <v/>
      </c>
      <c r="G16" s="104" t="n"/>
      <c r="H16" s="153">
        <f>H57</f>
        <v/>
      </c>
      <c r="I16" s="104" t="n"/>
      <c r="J16" s="104" t="n"/>
      <c r="K16" s="104" t="n"/>
      <c r="L16" s="104" t="n"/>
      <c r="M16" s="35" t="n"/>
      <c r="N16" s="87" t="n"/>
      <c r="O16" s="189" t="n"/>
      <c r="P16" s="189" t="n"/>
      <c r="Q16" s="190" t="n"/>
      <c r="R16" s="87" t="n"/>
    </row>
    <row r="17" ht="18" customHeight="1" s="140">
      <c r="A17" s="236">
        <f>A63</f>
        <v/>
      </c>
      <c r="B17" s="237" t="n"/>
      <c r="C17" s="93" t="n"/>
      <c r="D17" s="112" t="n"/>
      <c r="E17" s="105" t="n"/>
      <c r="F17" s="153">
        <f>H17</f>
        <v/>
      </c>
      <c r="G17" s="104" t="n"/>
      <c r="H17" s="153">
        <f>H63</f>
        <v/>
      </c>
      <c r="I17" s="104" t="n"/>
      <c r="J17" s="104" t="n"/>
      <c r="K17" s="104" t="n"/>
      <c r="L17" s="104" t="n"/>
      <c r="M17" s="35" t="n"/>
      <c r="N17" s="87" t="n"/>
      <c r="O17" s="189" t="n"/>
      <c r="P17" s="189" t="n"/>
      <c r="Q17" s="190" t="n"/>
      <c r="R17" s="87" t="n"/>
    </row>
    <row r="18" ht="18" customHeight="1" s="140">
      <c r="A18" s="236">
        <f>A69</f>
        <v/>
      </c>
      <c r="B18" s="237" t="n"/>
      <c r="C18" s="93" t="n"/>
      <c r="D18" s="112" t="n"/>
      <c r="E18" s="105" t="n"/>
      <c r="F18" s="153">
        <f>H18</f>
        <v/>
      </c>
      <c r="G18" s="104" t="n"/>
      <c r="H18" s="153">
        <f>H69</f>
        <v/>
      </c>
      <c r="I18" s="104" t="n"/>
      <c r="J18" s="104" t="n"/>
      <c r="K18" s="104" t="n"/>
      <c r="L18" s="104" t="n"/>
      <c r="M18" s="35" t="n"/>
      <c r="N18" s="87" t="n"/>
      <c r="O18" s="189" t="n"/>
      <c r="P18" s="189" t="n"/>
      <c r="Q18" s="190" t="n"/>
      <c r="R18" s="87" t="n"/>
    </row>
    <row r="19" ht="18" customHeight="1" s="140">
      <c r="A19" s="236">
        <f>A75</f>
        <v/>
      </c>
      <c r="B19" s="237" t="n"/>
      <c r="C19" s="93" t="n"/>
      <c r="D19" s="112" t="n"/>
      <c r="E19" s="105" t="n"/>
      <c r="F19" s="153">
        <f>H19</f>
        <v/>
      </c>
      <c r="G19" s="104" t="n"/>
      <c r="H19" s="153">
        <f>H75</f>
        <v/>
      </c>
      <c r="I19" s="104" t="n"/>
      <c r="J19" s="104" t="n"/>
      <c r="K19" s="104" t="n"/>
      <c r="L19" s="104" t="n"/>
      <c r="M19" s="35" t="n"/>
      <c r="N19" s="87" t="n"/>
      <c r="O19" s="189" t="n"/>
      <c r="P19" s="189" t="n"/>
      <c r="Q19" s="190" t="n"/>
      <c r="R19" s="87" t="n"/>
    </row>
    <row r="20" ht="18" customHeight="1" s="140">
      <c r="A20" s="236">
        <f>A81</f>
        <v/>
      </c>
      <c r="B20" s="237" t="n"/>
      <c r="C20" s="93" t="n"/>
      <c r="D20" s="112" t="n"/>
      <c r="E20" s="105" t="n"/>
      <c r="F20" s="153">
        <f>H20</f>
        <v/>
      </c>
      <c r="G20" s="104" t="n"/>
      <c r="H20" s="153">
        <f>H81</f>
        <v/>
      </c>
      <c r="I20" s="104" t="n"/>
      <c r="J20" s="104" t="n"/>
      <c r="K20" s="104" t="n"/>
      <c r="L20" s="104" t="n"/>
      <c r="M20" s="35" t="n"/>
      <c r="N20" s="87" t="n"/>
      <c r="O20" s="189" t="n"/>
      <c r="P20" s="189" t="n"/>
      <c r="Q20" s="190" t="n"/>
      <c r="R20" s="87" t="n"/>
    </row>
    <row r="21" ht="18" customHeight="1" s="140">
      <c r="A21" s="236">
        <f>A87</f>
        <v/>
      </c>
      <c r="B21" s="237" t="n"/>
      <c r="C21" s="93" t="n"/>
      <c r="D21" s="112" t="n"/>
      <c r="E21" s="105" t="n"/>
      <c r="F21" s="153">
        <f>H21</f>
        <v/>
      </c>
      <c r="G21" s="104" t="n"/>
      <c r="H21" s="153">
        <f>H87</f>
        <v/>
      </c>
      <c r="I21" s="104" t="n"/>
      <c r="J21" s="104" t="n"/>
      <c r="K21" s="104" t="n"/>
      <c r="L21" s="104" t="n"/>
      <c r="M21" s="35" t="n"/>
      <c r="N21" s="87" t="n"/>
      <c r="O21" s="189" t="n"/>
      <c r="P21" s="189" t="n"/>
      <c r="Q21" s="190" t="n"/>
      <c r="R21" s="87" t="n"/>
    </row>
    <row r="22" ht="18" customHeight="1" s="140">
      <c r="A22" s="229">
        <f>A94</f>
        <v/>
      </c>
      <c r="B22" s="230" t="n"/>
      <c r="C22" s="231" t="n"/>
      <c r="D22" s="232" t="n"/>
      <c r="E22" s="233" t="n"/>
      <c r="F22" s="230" t="n"/>
      <c r="G22" s="234" t="n"/>
      <c r="H22" s="235">
        <f>SUM(H23:H26)</f>
        <v/>
      </c>
      <c r="I22" s="234" t="n"/>
      <c r="J22" s="234" t="n"/>
      <c r="K22" s="234" t="n"/>
      <c r="L22" s="234" t="n"/>
      <c r="M22" s="92" t="n"/>
      <c r="N22" s="87" t="n"/>
      <c r="O22" s="189" t="n"/>
      <c r="P22" s="189" t="n"/>
      <c r="Q22" s="190" t="n"/>
      <c r="R22" s="87" t="n"/>
    </row>
    <row r="23" ht="18" customHeight="1" s="140">
      <c r="A23" s="236">
        <f>A95</f>
        <v/>
      </c>
      <c r="B23" s="237" t="n"/>
      <c r="C23" s="93" t="n"/>
      <c r="D23" s="112" t="n"/>
      <c r="E23" s="105" t="n"/>
      <c r="F23" s="153">
        <f>H23</f>
        <v/>
      </c>
      <c r="G23" s="104" t="n"/>
      <c r="H23" s="153">
        <f>H95</f>
        <v/>
      </c>
      <c r="I23" s="104" t="n"/>
      <c r="J23" s="104" t="n"/>
      <c r="K23" s="104" t="n"/>
      <c r="L23" s="104" t="n"/>
      <c r="M23" s="35" t="n"/>
      <c r="N23" s="87" t="n"/>
      <c r="O23" s="189" t="n"/>
      <c r="P23" s="189" t="n"/>
      <c r="Q23" s="190" t="n"/>
      <c r="R23" s="87" t="n"/>
    </row>
    <row r="24" ht="18" customHeight="1" s="140">
      <c r="A24" s="236">
        <f>A101</f>
        <v/>
      </c>
      <c r="B24" s="237" t="n"/>
      <c r="C24" s="93" t="n"/>
      <c r="D24" s="112" t="n"/>
      <c r="E24" s="105" t="n"/>
      <c r="F24" s="153">
        <f>H24</f>
        <v/>
      </c>
      <c r="G24" s="104" t="n"/>
      <c r="H24" s="153">
        <f>H101</f>
        <v/>
      </c>
      <c r="I24" s="104" t="n"/>
      <c r="J24" s="104" t="n"/>
      <c r="K24" s="104" t="n"/>
      <c r="L24" s="104" t="n"/>
      <c r="M24" s="35" t="n"/>
      <c r="N24" s="87" t="n"/>
      <c r="O24" s="189" t="n"/>
      <c r="P24" s="189" t="n"/>
      <c r="Q24" s="190" t="n"/>
      <c r="R24" s="87" t="n"/>
    </row>
    <row r="25" ht="18" customHeight="1" s="140">
      <c r="A25" s="236">
        <f>A107</f>
        <v/>
      </c>
      <c r="B25" s="237" t="n"/>
      <c r="C25" s="93" t="n"/>
      <c r="D25" s="112" t="n"/>
      <c r="E25" s="105" t="n"/>
      <c r="F25" s="153">
        <f>H25</f>
        <v/>
      </c>
      <c r="G25" s="104" t="n"/>
      <c r="H25" s="153">
        <f>H107</f>
        <v/>
      </c>
      <c r="I25" s="104" t="n"/>
      <c r="J25" s="104" t="n"/>
      <c r="K25" s="104" t="n"/>
      <c r="L25" s="104" t="n"/>
      <c r="M25" s="35" t="n"/>
      <c r="N25" s="87" t="n"/>
      <c r="O25" s="189" t="n"/>
      <c r="P25" s="189" t="n"/>
      <c r="Q25" s="190" t="n"/>
      <c r="R25" s="87" t="n"/>
    </row>
    <row r="26" ht="18" customHeight="1" s="140">
      <c r="A26" s="236">
        <f>A113</f>
        <v/>
      </c>
      <c r="B26" s="237" t="n"/>
      <c r="C26" s="93" t="n"/>
      <c r="D26" s="112" t="n"/>
      <c r="E26" s="105" t="n"/>
      <c r="F26" s="153">
        <f>H26</f>
        <v/>
      </c>
      <c r="G26" s="104" t="n"/>
      <c r="H26" s="153">
        <f>H113</f>
        <v/>
      </c>
      <c r="I26" s="104" t="n"/>
      <c r="J26" s="104" t="n"/>
      <c r="K26" s="104" t="n"/>
      <c r="L26" s="104" t="n"/>
      <c r="M26" s="35" t="n"/>
      <c r="N26" s="87" t="n"/>
      <c r="O26" s="189" t="n"/>
      <c r="P26" s="189" t="n"/>
      <c r="Q26" s="190" t="n"/>
      <c r="R26" s="87" t="n"/>
    </row>
    <row r="27" ht="18" customHeight="1" s="140">
      <c r="A27" s="229">
        <f>A120</f>
        <v/>
      </c>
      <c r="B27" s="230" t="n"/>
      <c r="C27" s="231" t="n"/>
      <c r="D27" s="232" t="n"/>
      <c r="E27" s="233" t="n"/>
      <c r="F27" s="230" t="n"/>
      <c r="G27" s="234" t="n"/>
      <c r="H27" s="235">
        <f>SUM(H28:H31)</f>
        <v/>
      </c>
      <c r="I27" s="234" t="n"/>
      <c r="J27" s="234" t="n"/>
      <c r="K27" s="234" t="n"/>
      <c r="L27" s="234" t="n"/>
      <c r="M27" s="92" t="n"/>
      <c r="N27" s="87" t="n"/>
      <c r="O27" s="189" t="n"/>
      <c r="P27" s="189" t="n"/>
      <c r="Q27" s="190" t="n"/>
      <c r="R27" s="87" t="n"/>
    </row>
    <row r="28" ht="18" customHeight="1" s="140">
      <c r="A28" s="236">
        <f>A121</f>
        <v/>
      </c>
      <c r="B28" s="237" t="n"/>
      <c r="C28" s="93" t="n"/>
      <c r="D28" s="112" t="n"/>
      <c r="E28" s="105" t="n"/>
      <c r="F28" s="153">
        <f>H28</f>
        <v/>
      </c>
      <c r="G28" s="104" t="n"/>
      <c r="H28" s="153">
        <f>H121</f>
        <v/>
      </c>
      <c r="I28" s="104" t="n"/>
      <c r="J28" s="104" t="n"/>
      <c r="K28" s="104" t="n"/>
      <c r="L28" s="104" t="n"/>
      <c r="M28" s="35" t="n"/>
      <c r="N28" s="87" t="n"/>
      <c r="O28" s="189" t="n"/>
      <c r="P28" s="189" t="n"/>
      <c r="Q28" s="190" t="n"/>
      <c r="R28" s="87" t="n"/>
    </row>
    <row r="29" ht="18" customHeight="1" s="140">
      <c r="A29" s="236">
        <f>A127</f>
        <v/>
      </c>
      <c r="B29" s="237" t="n"/>
      <c r="C29" s="93" t="n"/>
      <c r="D29" s="112" t="n"/>
      <c r="E29" s="105" t="n"/>
      <c r="F29" s="153">
        <f>H29</f>
        <v/>
      </c>
      <c r="G29" s="104" t="n"/>
      <c r="H29" s="153">
        <f>H127</f>
        <v/>
      </c>
      <c r="I29" s="104" t="n"/>
      <c r="J29" s="104" t="n"/>
      <c r="K29" s="104" t="n"/>
      <c r="L29" s="104" t="n"/>
      <c r="M29" s="35" t="n"/>
      <c r="N29" s="87" t="n"/>
      <c r="O29" s="189" t="n"/>
      <c r="P29" s="189" t="n"/>
      <c r="Q29" s="190" t="n"/>
      <c r="R29" s="87" t="n"/>
    </row>
    <row r="30" ht="18" customHeight="1" s="140">
      <c r="A30" s="236">
        <f>A133</f>
        <v/>
      </c>
      <c r="B30" s="237" t="n"/>
      <c r="C30" s="93" t="n"/>
      <c r="D30" s="112" t="n"/>
      <c r="E30" s="105" t="n"/>
      <c r="F30" s="153">
        <f>H30</f>
        <v/>
      </c>
      <c r="G30" s="104" t="n"/>
      <c r="H30" s="153">
        <f>H133</f>
        <v/>
      </c>
      <c r="I30" s="104" t="n"/>
      <c r="J30" s="104" t="n"/>
      <c r="K30" s="104" t="n"/>
      <c r="L30" s="104" t="n"/>
      <c r="M30" s="35" t="n"/>
      <c r="N30" s="87" t="n"/>
      <c r="O30" s="189" t="n"/>
      <c r="P30" s="189" t="n"/>
      <c r="Q30" s="190" t="n"/>
      <c r="R30" s="87" t="n"/>
    </row>
    <row r="31" ht="18" customHeight="1" s="140">
      <c r="A31" s="236">
        <f>A139</f>
        <v/>
      </c>
      <c r="B31" s="237" t="n"/>
      <c r="C31" s="93" t="n"/>
      <c r="D31" s="112" t="n"/>
      <c r="E31" s="105" t="n"/>
      <c r="F31" s="153">
        <f>H31</f>
        <v/>
      </c>
      <c r="G31" s="104" t="n"/>
      <c r="H31" s="153">
        <f>H139</f>
        <v/>
      </c>
      <c r="I31" s="104" t="n"/>
      <c r="J31" s="104" t="n"/>
      <c r="K31" s="104" t="n"/>
      <c r="L31" s="104" t="n"/>
      <c r="M31" s="35" t="n"/>
      <c r="N31" s="87" t="n"/>
      <c r="O31" s="189" t="n"/>
      <c r="P31" s="189" t="n"/>
      <c r="Q31" s="190" t="n"/>
      <c r="R31" s="87" t="n"/>
    </row>
    <row r="32" ht="18" customHeight="1" s="140">
      <c r="A32" s="229">
        <f>A146</f>
        <v/>
      </c>
      <c r="B32" s="230" t="n"/>
      <c r="C32" s="231" t="n"/>
      <c r="D32" s="232" t="n"/>
      <c r="E32" s="233" t="n"/>
      <c r="F32" s="230" t="n"/>
      <c r="G32" s="234" t="n"/>
      <c r="H32" s="235">
        <f>SUM(H33:H38)</f>
        <v/>
      </c>
      <c r="I32" s="234" t="n"/>
      <c r="J32" s="234" t="n"/>
      <c r="K32" s="234" t="n"/>
      <c r="L32" s="234" t="n"/>
      <c r="M32" s="92" t="n"/>
      <c r="N32" s="87" t="n"/>
      <c r="O32" s="189" t="n"/>
      <c r="P32" s="189" t="n"/>
      <c r="Q32" s="190" t="n"/>
      <c r="R32" s="87" t="n"/>
    </row>
    <row r="33" ht="18" customHeight="1" s="140">
      <c r="A33" s="236">
        <f>A147</f>
        <v/>
      </c>
      <c r="B33" s="237" t="n"/>
      <c r="C33" s="93" t="n"/>
      <c r="D33" s="112" t="n"/>
      <c r="E33" s="105" t="n"/>
      <c r="F33" s="153">
        <f>H33</f>
        <v/>
      </c>
      <c r="G33" s="104" t="n"/>
      <c r="H33" s="153">
        <f>H147</f>
        <v/>
      </c>
      <c r="I33" s="104" t="n"/>
      <c r="J33" s="104" t="n"/>
      <c r="K33" s="104" t="n"/>
      <c r="L33" s="104" t="n"/>
      <c r="M33" s="35" t="n"/>
      <c r="N33" s="87" t="n"/>
      <c r="O33" s="189" t="n"/>
      <c r="P33" s="189" t="n"/>
      <c r="Q33" s="190" t="n"/>
      <c r="R33" s="87" t="n"/>
    </row>
    <row r="34" ht="18" customHeight="1" s="140">
      <c r="A34" s="236">
        <f>A153</f>
        <v/>
      </c>
      <c r="B34" s="237" t="n"/>
      <c r="C34" s="93" t="n"/>
      <c r="D34" s="112" t="n"/>
      <c r="E34" s="105" t="n"/>
      <c r="F34" s="153">
        <f>H34</f>
        <v/>
      </c>
      <c r="G34" s="104" t="n"/>
      <c r="H34" s="153">
        <f>H153</f>
        <v/>
      </c>
      <c r="I34" s="104" t="n"/>
      <c r="J34" s="104" t="n"/>
      <c r="K34" s="104" t="n"/>
      <c r="L34" s="104" t="n"/>
      <c r="M34" s="35" t="n"/>
      <c r="N34" s="87" t="n"/>
      <c r="O34" s="189" t="n"/>
      <c r="P34" s="189" t="n"/>
      <c r="Q34" s="190" t="n"/>
      <c r="R34" s="87" t="n"/>
    </row>
    <row r="35" ht="18" customHeight="1" s="140">
      <c r="A35" s="236">
        <f>A159</f>
        <v/>
      </c>
      <c r="B35" s="237" t="n"/>
      <c r="C35" s="93" t="n"/>
      <c r="D35" s="112" t="n"/>
      <c r="E35" s="105" t="n"/>
      <c r="F35" s="153">
        <f>H35</f>
        <v/>
      </c>
      <c r="G35" s="104" t="n"/>
      <c r="H35" s="153">
        <f>H159</f>
        <v/>
      </c>
      <c r="I35" s="104" t="n"/>
      <c r="J35" s="104" t="n"/>
      <c r="K35" s="104" t="n"/>
      <c r="L35" s="104" t="n"/>
      <c r="M35" s="35" t="n"/>
      <c r="N35" s="87" t="n"/>
      <c r="O35" s="189" t="n"/>
      <c r="P35" s="189" t="n"/>
      <c r="Q35" s="190" t="n"/>
      <c r="R35" s="87" t="n"/>
    </row>
    <row r="36" ht="18" customHeight="1" s="140">
      <c r="A36" s="236">
        <f>A165</f>
        <v/>
      </c>
      <c r="B36" s="237" t="n"/>
      <c r="C36" s="93" t="n"/>
      <c r="D36" s="112" t="n"/>
      <c r="E36" s="105" t="n"/>
      <c r="F36" s="153">
        <f>H36</f>
        <v/>
      </c>
      <c r="G36" s="104" t="n"/>
      <c r="H36" s="153">
        <f>H165</f>
        <v/>
      </c>
      <c r="I36" s="104" t="n"/>
      <c r="J36" s="104" t="n"/>
      <c r="K36" s="104" t="n"/>
      <c r="L36" s="104" t="n"/>
      <c r="M36" s="35" t="n"/>
      <c r="N36" s="87" t="n"/>
      <c r="O36" s="189" t="n"/>
      <c r="P36" s="189" t="n"/>
      <c r="Q36" s="190" t="n"/>
      <c r="R36" s="87" t="n"/>
    </row>
    <row r="37" ht="18" customHeight="1" s="140">
      <c r="A37" s="236">
        <f>A171</f>
        <v/>
      </c>
      <c r="B37" s="237" t="n"/>
      <c r="C37" s="93" t="n"/>
      <c r="D37" s="112" t="n"/>
      <c r="E37" s="105" t="n"/>
      <c r="F37" s="153">
        <f>H37</f>
        <v/>
      </c>
      <c r="G37" s="104" t="n"/>
      <c r="H37" s="153">
        <f>H171</f>
        <v/>
      </c>
      <c r="I37" s="104" t="n"/>
      <c r="J37" s="104" t="n"/>
      <c r="K37" s="104" t="n"/>
      <c r="L37" s="104" t="n"/>
      <c r="M37" s="35" t="n"/>
      <c r="N37" s="87" t="n"/>
      <c r="O37" s="189" t="n"/>
      <c r="P37" s="189" t="n"/>
      <c r="Q37" s="190" t="n"/>
      <c r="R37" s="87" t="n"/>
    </row>
    <row r="38" ht="18" customHeight="1" s="140">
      <c r="A38" s="236">
        <f>A177</f>
        <v/>
      </c>
      <c r="B38" s="237" t="n"/>
      <c r="C38" s="93" t="n"/>
      <c r="D38" s="112" t="n"/>
      <c r="E38" s="105" t="n"/>
      <c r="F38" s="153">
        <f>H38</f>
        <v/>
      </c>
      <c r="G38" s="104" t="n"/>
      <c r="H38" s="153">
        <f>H177</f>
        <v/>
      </c>
      <c r="I38" s="104" t="n"/>
      <c r="J38" s="104" t="n"/>
      <c r="K38" s="104" t="n"/>
      <c r="L38" s="104" t="n"/>
      <c r="M38" s="35" t="n"/>
      <c r="N38" s="87" t="n"/>
      <c r="O38" s="189" t="n"/>
      <c r="P38" s="189" t="n"/>
      <c r="Q38" s="190" t="n"/>
      <c r="R38" s="87" t="n"/>
    </row>
    <row r="39" ht="18" customHeight="1" s="140">
      <c r="A39" s="229">
        <f>A184</f>
        <v/>
      </c>
      <c r="B39" s="230" t="n"/>
      <c r="C39" s="231" t="n"/>
      <c r="D39" s="232" t="n"/>
      <c r="E39" s="233" t="n"/>
      <c r="F39" s="230" t="n"/>
      <c r="G39" s="234" t="n"/>
      <c r="H39" s="235">
        <f>SUM(H40:H44)</f>
        <v/>
      </c>
      <c r="I39" s="234" t="n"/>
      <c r="J39" s="234" t="n"/>
      <c r="K39" s="234" t="n"/>
      <c r="L39" s="234" t="n"/>
      <c r="M39" s="92" t="n"/>
      <c r="N39" s="87" t="n"/>
      <c r="O39" s="189" t="n"/>
      <c r="P39" s="189" t="n"/>
      <c r="Q39" s="190" t="n"/>
      <c r="R39" s="87" t="n"/>
    </row>
    <row r="40" ht="18" customHeight="1" s="140">
      <c r="A40" s="236">
        <f>A185</f>
        <v/>
      </c>
      <c r="B40" s="237" t="n"/>
      <c r="C40" s="93" t="n"/>
      <c r="D40" s="112" t="n"/>
      <c r="E40" s="105" t="n"/>
      <c r="F40" s="153">
        <f>H40</f>
        <v/>
      </c>
      <c r="G40" s="104" t="n"/>
      <c r="H40" s="153">
        <f>H185</f>
        <v/>
      </c>
      <c r="I40" s="104" t="n"/>
      <c r="J40" s="104" t="n"/>
      <c r="K40" s="104" t="n"/>
      <c r="L40" s="104" t="n"/>
      <c r="M40" s="35" t="n"/>
      <c r="N40" s="87" t="n"/>
      <c r="O40" s="189" t="n"/>
      <c r="P40" s="189" t="n"/>
      <c r="Q40" s="190" t="n"/>
      <c r="R40" s="87" t="n"/>
    </row>
    <row r="41" ht="18" customHeight="1" s="140">
      <c r="A41" s="236">
        <f>A191</f>
        <v/>
      </c>
      <c r="B41" s="237" t="n"/>
      <c r="C41" s="93" t="n"/>
      <c r="D41" s="112" t="n"/>
      <c r="E41" s="105" t="n"/>
      <c r="F41" s="153">
        <f>H41</f>
        <v/>
      </c>
      <c r="G41" s="104" t="n"/>
      <c r="H41" s="153">
        <f>H191</f>
        <v/>
      </c>
      <c r="I41" s="104" t="n"/>
      <c r="J41" s="104" t="n"/>
      <c r="K41" s="104" t="n"/>
      <c r="L41" s="104" t="n"/>
      <c r="M41" s="35" t="n"/>
      <c r="N41" s="87" t="n"/>
      <c r="O41" s="189" t="n"/>
      <c r="P41" s="189" t="n"/>
      <c r="Q41" s="190" t="n"/>
      <c r="R41" s="87" t="n"/>
    </row>
    <row r="42" ht="18" customHeight="1" s="140">
      <c r="A42" s="236">
        <f>A197</f>
        <v/>
      </c>
      <c r="B42" s="237" t="n"/>
      <c r="C42" s="93" t="n"/>
      <c r="D42" s="112" t="n"/>
      <c r="E42" s="105" t="n"/>
      <c r="F42" s="153">
        <f>H42</f>
        <v/>
      </c>
      <c r="G42" s="104" t="n"/>
      <c r="H42" s="153">
        <f>H197</f>
        <v/>
      </c>
      <c r="I42" s="104" t="n"/>
      <c r="J42" s="104" t="n"/>
      <c r="K42" s="104" t="n"/>
      <c r="L42" s="104" t="n"/>
      <c r="M42" s="35" t="n"/>
      <c r="N42" s="87" t="n"/>
      <c r="O42" s="189" t="n"/>
      <c r="P42" s="189" t="n"/>
      <c r="Q42" s="190" t="n"/>
      <c r="R42" s="87" t="n"/>
    </row>
    <row r="43" ht="18" customHeight="1" s="140">
      <c r="A43" s="236">
        <f>A203</f>
        <v/>
      </c>
      <c r="B43" s="237" t="n"/>
      <c r="C43" s="93" t="n"/>
      <c r="D43" s="112" t="n"/>
      <c r="E43" s="105" t="n"/>
      <c r="F43" s="153">
        <f>H43</f>
        <v/>
      </c>
      <c r="G43" s="104" t="n"/>
      <c r="H43" s="153">
        <f>H203</f>
        <v/>
      </c>
      <c r="I43" s="104" t="n"/>
      <c r="J43" s="104" t="n"/>
      <c r="K43" s="104" t="n"/>
      <c r="L43" s="104" t="n"/>
      <c r="M43" s="35" t="n"/>
      <c r="N43" s="87" t="n"/>
      <c r="O43" s="189" t="n"/>
      <c r="P43" s="189" t="n"/>
      <c r="Q43" s="190" t="n"/>
      <c r="R43" s="87" t="n"/>
    </row>
    <row r="44" ht="18" customHeight="1" s="140">
      <c r="A44" s="236">
        <f>A209</f>
        <v/>
      </c>
      <c r="B44" s="237" t="n"/>
      <c r="C44" s="93" t="n"/>
      <c r="D44" s="112" t="n"/>
      <c r="E44" s="105" t="n"/>
      <c r="F44" s="153">
        <f>H44</f>
        <v/>
      </c>
      <c r="G44" s="104" t="n"/>
      <c r="H44" s="153">
        <f>H209</f>
        <v/>
      </c>
      <c r="I44" s="104" t="n"/>
      <c r="J44" s="104" t="n"/>
      <c r="K44" s="104" t="n"/>
      <c r="L44" s="104" t="n"/>
      <c r="M44" s="35" t="n"/>
      <c r="N44" s="87" t="n"/>
      <c r="O44" s="189" t="n"/>
      <c r="P44" s="189" t="n"/>
      <c r="Q44" s="190" t="n"/>
      <c r="R44" s="87" t="n"/>
    </row>
    <row r="45" ht="18" customHeight="1" s="140">
      <c r="A45" s="229">
        <f>A216</f>
        <v/>
      </c>
      <c r="B45" s="230" t="n"/>
      <c r="C45" s="231" t="n"/>
      <c r="D45" s="232" t="n"/>
      <c r="E45" s="233" t="n"/>
      <c r="F45" s="230" t="n"/>
      <c r="G45" s="234" t="n"/>
      <c r="H45" s="235">
        <f>SUM(H46:H47)</f>
        <v/>
      </c>
      <c r="I45" s="234" t="n"/>
      <c r="J45" s="234" t="n"/>
      <c r="K45" s="234" t="n"/>
      <c r="L45" s="234" t="n"/>
      <c r="M45" s="92" t="n"/>
      <c r="N45" s="87" t="n"/>
      <c r="O45" s="189" t="n"/>
      <c r="P45" s="189" t="n"/>
      <c r="Q45" s="190" t="n"/>
      <c r="R45" s="87" t="n"/>
    </row>
    <row r="46" ht="18" customHeight="1" s="140">
      <c r="A46" s="236">
        <f>A217</f>
        <v/>
      </c>
      <c r="B46" s="237" t="n"/>
      <c r="C46" s="93" t="n"/>
      <c r="D46" s="112" t="n"/>
      <c r="E46" s="105" t="n"/>
      <c r="F46" s="153">
        <f>H46</f>
        <v/>
      </c>
      <c r="G46" s="104" t="n"/>
      <c r="H46" s="153">
        <f>H217</f>
        <v/>
      </c>
      <c r="I46" s="104" t="n"/>
      <c r="J46" s="104" t="n"/>
      <c r="K46" s="104" t="n"/>
      <c r="L46" s="104" t="n"/>
      <c r="M46" s="35" t="n"/>
      <c r="N46" s="87" t="n"/>
      <c r="O46" s="189" t="n"/>
      <c r="P46" s="189" t="n"/>
      <c r="Q46" s="190" t="n"/>
      <c r="R46" s="87" t="n"/>
    </row>
    <row r="47" ht="18" customHeight="1" s="140">
      <c r="A47" s="236">
        <f>A223</f>
        <v/>
      </c>
      <c r="B47" s="237" t="n"/>
      <c r="C47" s="93" t="n"/>
      <c r="D47" s="112" t="n"/>
      <c r="E47" s="105" t="n"/>
      <c r="F47" s="153">
        <f>H47</f>
        <v/>
      </c>
      <c r="G47" s="104" t="n"/>
      <c r="H47" s="153">
        <f>H223</f>
        <v/>
      </c>
      <c r="I47" s="104" t="n"/>
      <c r="J47" s="104" t="n"/>
      <c r="K47" s="104" t="n"/>
      <c r="L47" s="104" t="n"/>
      <c r="M47" s="35" t="n"/>
      <c r="N47" s="87" t="n"/>
      <c r="O47" s="189" t="n"/>
      <c r="P47" s="189" t="n"/>
      <c r="Q47" s="190" t="n"/>
      <c r="R47" s="87" t="n"/>
    </row>
    <row r="48" ht="18" customHeight="1" s="140">
      <c r="A48" s="229">
        <f>A230</f>
        <v/>
      </c>
      <c r="B48" s="230" t="n"/>
      <c r="C48" s="231" t="n"/>
      <c r="D48" s="232" t="n"/>
      <c r="E48" s="233" t="n"/>
      <c r="F48" s="230" t="n"/>
      <c r="G48" s="234" t="n"/>
      <c r="H48" s="235">
        <f>SUM(H49:H54)</f>
        <v/>
      </c>
      <c r="I48" s="234" t="n"/>
      <c r="J48" s="234" t="n"/>
      <c r="K48" s="234" t="n"/>
      <c r="L48" s="234" t="n"/>
      <c r="M48" s="92" t="n"/>
      <c r="N48" s="87" t="n"/>
      <c r="O48" s="189" t="n"/>
      <c r="P48" s="189" t="n"/>
      <c r="Q48" s="190" t="n"/>
      <c r="R48" s="87" t="n"/>
    </row>
    <row r="49" ht="18" customHeight="1" s="140">
      <c r="A49" s="236">
        <f>A231</f>
        <v/>
      </c>
      <c r="B49" s="237" t="n"/>
      <c r="C49" s="93" t="n"/>
      <c r="D49" s="112" t="n"/>
      <c r="E49" s="105" t="n"/>
      <c r="F49" s="153">
        <f>H49</f>
        <v/>
      </c>
      <c r="G49" s="104" t="n"/>
      <c r="H49" s="153">
        <f>H231</f>
        <v/>
      </c>
      <c r="I49" s="104" t="n"/>
      <c r="J49" s="104" t="n"/>
      <c r="K49" s="104" t="n"/>
      <c r="L49" s="104" t="n"/>
      <c r="M49" s="35" t="n"/>
      <c r="N49" s="87" t="n"/>
      <c r="O49" s="189" t="n"/>
      <c r="P49" s="189" t="n"/>
      <c r="Q49" s="190" t="n"/>
      <c r="R49" s="87" t="n"/>
    </row>
    <row r="50" ht="18" customHeight="1" s="140">
      <c r="A50" s="236">
        <f>A237</f>
        <v/>
      </c>
      <c r="B50" s="237" t="n"/>
      <c r="C50" s="93" t="n"/>
      <c r="D50" s="112" t="n"/>
      <c r="E50" s="105" t="n"/>
      <c r="F50" s="153">
        <f>H50</f>
        <v/>
      </c>
      <c r="G50" s="104" t="n"/>
      <c r="H50" s="153">
        <f>H237</f>
        <v/>
      </c>
      <c r="I50" s="104" t="n"/>
      <c r="J50" s="104" t="n"/>
      <c r="K50" s="104" t="n"/>
      <c r="L50" s="104" t="n"/>
      <c r="M50" s="35" t="n"/>
      <c r="N50" s="87" t="n"/>
      <c r="O50" s="189" t="n"/>
      <c r="P50" s="189" t="n"/>
      <c r="Q50" s="190" t="n"/>
      <c r="R50" s="87" t="n"/>
    </row>
    <row r="51" ht="18" customHeight="1" s="140">
      <c r="A51" s="236">
        <f>A243</f>
        <v/>
      </c>
      <c r="B51" s="237" t="n"/>
      <c r="C51" s="93" t="n"/>
      <c r="D51" s="112" t="n"/>
      <c r="E51" s="105" t="n"/>
      <c r="F51" s="153">
        <f>H51</f>
        <v/>
      </c>
      <c r="G51" s="104" t="n"/>
      <c r="H51" s="153">
        <f>H243</f>
        <v/>
      </c>
      <c r="I51" s="104" t="n"/>
      <c r="J51" s="104" t="n"/>
      <c r="K51" s="104" t="n"/>
      <c r="L51" s="104" t="n"/>
      <c r="M51" s="35" t="n"/>
      <c r="N51" s="87" t="n"/>
      <c r="O51" s="189" t="n"/>
      <c r="P51" s="189" t="n"/>
      <c r="Q51" s="190" t="n"/>
      <c r="R51" s="87" t="n"/>
    </row>
    <row r="52" ht="18" customHeight="1" s="140">
      <c r="A52" s="236">
        <f>A249</f>
        <v/>
      </c>
      <c r="B52" s="237" t="n"/>
      <c r="C52" s="93" t="n"/>
      <c r="D52" s="112" t="n"/>
      <c r="E52" s="105" t="n"/>
      <c r="F52" s="153">
        <f>H52</f>
        <v/>
      </c>
      <c r="G52" s="104" t="n"/>
      <c r="H52" s="153">
        <f>H249</f>
        <v/>
      </c>
      <c r="I52" s="104" t="n"/>
      <c r="J52" s="104" t="n"/>
      <c r="K52" s="104" t="n"/>
      <c r="L52" s="104" t="n"/>
      <c r="M52" s="35" t="n"/>
      <c r="N52" s="87" t="n"/>
      <c r="O52" s="189" t="n"/>
      <c r="P52" s="189" t="n"/>
      <c r="Q52" s="190" t="n"/>
      <c r="R52" s="87" t="n"/>
    </row>
    <row r="53" ht="18" customHeight="1" s="140">
      <c r="A53" s="236">
        <f>A255</f>
        <v/>
      </c>
      <c r="B53" s="237" t="n"/>
      <c r="C53" s="93" t="n"/>
      <c r="D53" s="112" t="n"/>
      <c r="E53" s="105" t="n"/>
      <c r="F53" s="153">
        <f>H53</f>
        <v/>
      </c>
      <c r="G53" s="104" t="n"/>
      <c r="H53" s="153">
        <f>H255</f>
        <v/>
      </c>
      <c r="I53" s="104" t="n"/>
      <c r="J53" s="104" t="n"/>
      <c r="K53" s="104" t="n"/>
      <c r="L53" s="104" t="n"/>
      <c r="M53" s="35" t="n"/>
      <c r="N53" s="87" t="n"/>
      <c r="O53" s="189" t="n"/>
      <c r="P53" s="189" t="n"/>
      <c r="Q53" s="190" t="n"/>
      <c r="R53" s="87" t="n"/>
    </row>
    <row r="54" ht="18" customHeight="1" s="140">
      <c r="A54" s="236">
        <f>A261</f>
        <v/>
      </c>
      <c r="B54" s="237" t="n"/>
      <c r="C54" s="93" t="n"/>
      <c r="D54" s="112" t="n"/>
      <c r="E54" s="105" t="n"/>
      <c r="F54" s="153">
        <f>H54</f>
        <v/>
      </c>
      <c r="G54" s="104" t="n"/>
      <c r="H54" s="153">
        <f>H261</f>
        <v/>
      </c>
      <c r="I54" s="104" t="n"/>
      <c r="J54" s="104" t="n"/>
      <c r="K54" s="104" t="n"/>
      <c r="L54" s="104" t="n"/>
      <c r="M54" s="35" t="n"/>
      <c r="N54" s="87" t="n"/>
      <c r="O54" s="189" t="n"/>
      <c r="P54" s="189" t="n"/>
      <c r="Q54" s="190" t="n"/>
      <c r="R54" s="87" t="n"/>
    </row>
    <row r="55" ht="24" customHeight="1" s="140">
      <c r="A55" s="221">
        <f>A5</f>
        <v/>
      </c>
      <c r="B55" s="246" t="n"/>
      <c r="C55" s="247" t="n"/>
      <c r="D55" s="247" t="n"/>
      <c r="E55" s="248" t="n"/>
      <c r="F55" s="246" t="n"/>
      <c r="G55" s="247" t="n"/>
      <c r="H55" s="227">
        <f>H56+H94+H120+H146+H184+H216+H230</f>
        <v/>
      </c>
      <c r="I55" s="247" t="n"/>
      <c r="J55" s="247" t="n"/>
      <c r="K55" s="247" t="n"/>
      <c r="L55" s="247" t="n"/>
      <c r="M55" s="249" t="n"/>
      <c r="N55" s="141" t="n"/>
      <c r="O55" s="198" t="n"/>
      <c r="P55" s="198" t="n"/>
      <c r="Q55" s="199" t="n"/>
      <c r="R55" s="141" t="n"/>
    </row>
    <row r="56" ht="18" customHeight="1" s="140">
      <c r="A56" s="250">
        <f>'국토품_작업량'!A8</f>
        <v/>
      </c>
      <c r="B56" s="251" t="n"/>
      <c r="C56" s="252" t="n"/>
      <c r="D56" s="251" t="n"/>
      <c r="E56" s="251" t="n"/>
      <c r="F56" s="251" t="n"/>
      <c r="G56" s="251" t="n"/>
      <c r="H56" s="253">
        <f>H57+H63+H69+H75+H81+H87</f>
        <v/>
      </c>
      <c r="I56" s="251" t="n"/>
      <c r="J56" s="251" t="n"/>
      <c r="K56" s="251" t="n"/>
      <c r="L56" s="251" t="n"/>
      <c r="M56" s="65" t="n"/>
      <c r="N56" s="87" t="n"/>
      <c r="O56" s="190" t="n"/>
      <c r="P56" s="189" t="n"/>
      <c r="Q56" s="200" t="n"/>
      <c r="R56" s="87" t="n"/>
    </row>
    <row r="57" ht="18" customHeight="1" s="140">
      <c r="A57" s="47">
        <f>'국토품_작업량'!A9</f>
        <v/>
      </c>
      <c r="B57" s="18" t="n"/>
      <c r="C57" s="48" t="n"/>
      <c r="D57" s="18" t="n"/>
      <c r="E57" s="18" t="n"/>
      <c r="F57" s="18" t="n"/>
      <c r="G57" s="18" t="n"/>
      <c r="H57" s="95">
        <f>SUM(H58:H62)</f>
        <v/>
      </c>
      <c r="I57" s="18" t="n"/>
      <c r="J57" s="18" t="n"/>
      <c r="K57" s="18" t="n"/>
      <c r="L57" s="18" t="n"/>
      <c r="M57" s="36" t="n"/>
      <c r="N57" s="87" t="n"/>
      <c r="O57" s="190" t="n"/>
      <c r="P57" s="189" t="n"/>
      <c r="Q57" s="200" t="n"/>
      <c r="R57" s="87" t="n"/>
    </row>
    <row r="58" ht="18" customHeight="1" s="140">
      <c r="A58" s="103" t="inlineStr">
        <is>
          <t>기  술  사</t>
        </is>
      </c>
      <c r="B58" s="18" t="n"/>
      <c r="C58" s="48">
        <f>'국토품_작업량'!H9</f>
        <v/>
      </c>
      <c r="D58" s="104" t="inlineStr">
        <is>
          <t>인</t>
        </is>
      </c>
      <c r="E58" s="18" t="n"/>
      <c r="F58" s="18" t="n"/>
      <c r="G58" s="95">
        <f>$P$5</f>
        <v/>
      </c>
      <c r="H58" s="95">
        <f>ROUNDDOWN(G58*C58,0)</f>
        <v/>
      </c>
      <c r="I58" s="18" t="n"/>
      <c r="J58" s="18" t="n"/>
      <c r="K58" s="18" t="n"/>
      <c r="L58" s="18" t="n"/>
      <c r="M58" s="36" t="n"/>
      <c r="N58" s="87" t="n"/>
      <c r="O58" s="190" t="n"/>
      <c r="P58" s="189" t="n"/>
      <c r="Q58" s="200" t="n"/>
      <c r="R58" s="87" t="n"/>
    </row>
    <row r="59" ht="18" customHeight="1" s="140">
      <c r="A59" s="103" t="inlineStr">
        <is>
          <t>특급기술자</t>
        </is>
      </c>
      <c r="B59" s="18" t="n"/>
      <c r="C59" s="48">
        <f>'국토품_작업량'!I9</f>
        <v/>
      </c>
      <c r="D59" s="104" t="inlineStr">
        <is>
          <t>인</t>
        </is>
      </c>
      <c r="E59" s="201" t="n"/>
      <c r="F59" s="201" t="n"/>
      <c r="G59" s="95">
        <f>$P$6</f>
        <v/>
      </c>
      <c r="H59" s="95">
        <f>ROUNDDOWN(G59*C59,0)</f>
        <v/>
      </c>
      <c r="I59" s="18" t="n"/>
      <c r="J59" s="18" t="n"/>
      <c r="K59" s="18" t="n"/>
      <c r="L59" s="18" t="n"/>
      <c r="M59" s="36" t="n"/>
      <c r="N59" s="87" t="n"/>
      <c r="O59" s="190" t="n"/>
      <c r="P59" s="189" t="n"/>
      <c r="Q59" s="202" t="n"/>
      <c r="R59" s="87" t="n"/>
    </row>
    <row r="60" ht="18" customHeight="1" s="140">
      <c r="A60" s="103" t="inlineStr">
        <is>
          <t>고급기술자</t>
        </is>
      </c>
      <c r="B60" s="18" t="n"/>
      <c r="C60" s="48">
        <f>'국토품_작업량'!J9</f>
        <v/>
      </c>
      <c r="D60" s="104" t="inlineStr">
        <is>
          <t>인</t>
        </is>
      </c>
      <c r="E60" s="201" t="n"/>
      <c r="F60" s="201" t="n"/>
      <c r="G60" s="95">
        <f>$P$7</f>
        <v/>
      </c>
      <c r="H60" s="95">
        <f>ROUNDDOWN(G60*C60,0)</f>
        <v/>
      </c>
      <c r="I60" s="18" t="n"/>
      <c r="J60" s="18" t="n"/>
      <c r="K60" s="18" t="n"/>
      <c r="L60" s="18" t="n"/>
      <c r="M60" s="36" t="n"/>
      <c r="N60" s="87" t="n"/>
      <c r="O60" s="190" t="n"/>
      <c r="P60" s="189" t="n"/>
      <c r="Q60" s="202" t="n"/>
      <c r="R60" s="87" t="n"/>
    </row>
    <row r="61" ht="18" customHeight="1" s="140">
      <c r="A61" s="103" t="inlineStr">
        <is>
          <t>중급기술자</t>
        </is>
      </c>
      <c r="B61" s="18" t="n"/>
      <c r="C61" s="48">
        <f>'국토품_작업량'!K9</f>
        <v/>
      </c>
      <c r="D61" s="104" t="inlineStr">
        <is>
          <t>인</t>
        </is>
      </c>
      <c r="E61" s="201" t="n"/>
      <c r="F61" s="201" t="n"/>
      <c r="G61" s="95">
        <f>$P$8</f>
        <v/>
      </c>
      <c r="H61" s="95">
        <f>ROUNDDOWN(G61*C61,0)</f>
        <v/>
      </c>
      <c r="I61" s="18" t="n"/>
      <c r="J61" s="18" t="n"/>
      <c r="K61" s="18" t="n"/>
      <c r="L61" s="18" t="n"/>
      <c r="M61" s="36" t="n"/>
      <c r="N61" s="87" t="n"/>
      <c r="O61" s="200" t="n"/>
      <c r="P61" s="203" t="n"/>
      <c r="Q61" s="202" t="n"/>
      <c r="R61" s="87" t="n"/>
    </row>
    <row r="62" ht="18" customHeight="1" s="140">
      <c r="A62" s="103" t="inlineStr">
        <is>
          <t>초급기술자</t>
        </is>
      </c>
      <c r="B62" s="18" t="n"/>
      <c r="C62" s="48">
        <f>'국토품_작업량'!L9</f>
        <v/>
      </c>
      <c r="D62" s="104" t="inlineStr">
        <is>
          <t>인</t>
        </is>
      </c>
      <c r="E62" s="201" t="n"/>
      <c r="F62" s="201" t="n"/>
      <c r="G62" s="95">
        <f>$P$9</f>
        <v/>
      </c>
      <c r="H62" s="95">
        <f>ROUNDDOWN(G62*C62,0)</f>
        <v/>
      </c>
      <c r="I62" s="18" t="n"/>
      <c r="J62" s="18" t="n"/>
      <c r="K62" s="18" t="n"/>
      <c r="L62" s="18" t="n"/>
      <c r="M62" s="36" t="n"/>
      <c r="N62" s="87" t="n"/>
      <c r="O62" s="200" t="n"/>
      <c r="P62" s="203" t="n"/>
      <c r="Q62" s="202" t="n"/>
      <c r="R62" s="87" t="n"/>
    </row>
    <row r="63" ht="18" customHeight="1" s="140">
      <c r="A63" s="47">
        <f>'국토품_작업량'!A10</f>
        <v/>
      </c>
      <c r="B63" s="18" t="n"/>
      <c r="C63" s="48" t="n"/>
      <c r="D63" s="18" t="n"/>
      <c r="E63" s="18" t="n"/>
      <c r="F63" s="18" t="n"/>
      <c r="G63" s="18" t="n"/>
      <c r="H63" s="95">
        <f>SUM(H64:H68)</f>
        <v/>
      </c>
      <c r="I63" s="18" t="n"/>
      <c r="J63" s="18" t="n"/>
      <c r="K63" s="18" t="n"/>
      <c r="L63" s="18" t="n"/>
      <c r="M63" s="36" t="n"/>
      <c r="N63" s="87" t="n"/>
      <c r="O63" s="190" t="n"/>
      <c r="P63" s="189" t="n"/>
      <c r="Q63" s="200" t="n"/>
      <c r="R63" s="87" t="n"/>
    </row>
    <row r="64" ht="18" customHeight="1" s="140">
      <c r="A64" s="103" t="inlineStr">
        <is>
          <t>기  술  사</t>
        </is>
      </c>
      <c r="B64" s="18" t="n"/>
      <c r="C64" s="48">
        <f>'국토품_작업량'!H10</f>
        <v/>
      </c>
      <c r="D64" s="104" t="inlineStr">
        <is>
          <t>인</t>
        </is>
      </c>
      <c r="E64" s="18" t="n"/>
      <c r="F64" s="18" t="n"/>
      <c r="G64" s="95">
        <f>$P$5</f>
        <v/>
      </c>
      <c r="H64" s="95">
        <f>ROUNDDOWN(G64*C64,0)</f>
        <v/>
      </c>
      <c r="I64" s="18" t="n"/>
      <c r="J64" s="18" t="n"/>
      <c r="K64" s="18" t="n"/>
      <c r="L64" s="18" t="n"/>
      <c r="M64" s="36" t="n"/>
      <c r="N64" s="87" t="n"/>
      <c r="O64" s="190" t="n"/>
      <c r="P64" s="189" t="n"/>
      <c r="Q64" s="200" t="n"/>
      <c r="R64" s="87" t="n"/>
    </row>
    <row r="65" ht="18" customHeight="1" s="140">
      <c r="A65" s="103" t="inlineStr">
        <is>
          <t>특급기술자</t>
        </is>
      </c>
      <c r="B65" s="18" t="n"/>
      <c r="C65" s="48">
        <f>'국토품_작업량'!I10</f>
        <v/>
      </c>
      <c r="D65" s="104" t="inlineStr">
        <is>
          <t>인</t>
        </is>
      </c>
      <c r="E65" s="201" t="n"/>
      <c r="F65" s="201" t="n"/>
      <c r="G65" s="95">
        <f>$P$6</f>
        <v/>
      </c>
      <c r="H65" s="95">
        <f>ROUNDDOWN(G65*C65,0)</f>
        <v/>
      </c>
      <c r="I65" s="18" t="n"/>
      <c r="J65" s="18" t="n"/>
      <c r="K65" s="18" t="n"/>
      <c r="L65" s="18" t="n"/>
      <c r="M65" s="36" t="n"/>
      <c r="N65" s="87" t="n"/>
      <c r="O65" s="190" t="n"/>
      <c r="P65" s="189" t="n"/>
      <c r="Q65" s="202" t="n"/>
      <c r="R65" s="87" t="n"/>
    </row>
    <row r="66" ht="18" customHeight="1" s="140">
      <c r="A66" s="103" t="inlineStr">
        <is>
          <t>고급기술자</t>
        </is>
      </c>
      <c r="B66" s="18" t="n"/>
      <c r="C66" s="48">
        <f>'국토품_작업량'!J10</f>
        <v/>
      </c>
      <c r="D66" s="104" t="inlineStr">
        <is>
          <t>인</t>
        </is>
      </c>
      <c r="E66" s="201" t="n"/>
      <c r="F66" s="201" t="n"/>
      <c r="G66" s="95">
        <f>$P$7</f>
        <v/>
      </c>
      <c r="H66" s="95">
        <f>ROUNDDOWN(G66*C66,0)</f>
        <v/>
      </c>
      <c r="I66" s="18" t="n"/>
      <c r="J66" s="18" t="n"/>
      <c r="K66" s="18" t="n"/>
      <c r="L66" s="18" t="n"/>
      <c r="M66" s="36" t="n"/>
      <c r="N66" s="87" t="n"/>
      <c r="O66" s="190" t="n"/>
      <c r="P66" s="189" t="n"/>
      <c r="Q66" s="202" t="n"/>
      <c r="R66" s="87" t="n"/>
    </row>
    <row r="67" ht="18" customHeight="1" s="140">
      <c r="A67" s="103" t="inlineStr">
        <is>
          <t>중급기술자</t>
        </is>
      </c>
      <c r="B67" s="18" t="n"/>
      <c r="C67" s="48">
        <f>'국토품_작업량'!K10</f>
        <v/>
      </c>
      <c r="D67" s="104" t="inlineStr">
        <is>
          <t>인</t>
        </is>
      </c>
      <c r="E67" s="201" t="n"/>
      <c r="F67" s="201" t="n"/>
      <c r="G67" s="95">
        <f>$P$8</f>
        <v/>
      </c>
      <c r="H67" s="95">
        <f>ROUNDDOWN(G67*C67,0)</f>
        <v/>
      </c>
      <c r="I67" s="18" t="n"/>
      <c r="J67" s="18" t="n"/>
      <c r="K67" s="18" t="n"/>
      <c r="L67" s="18" t="n"/>
      <c r="M67" s="36" t="n"/>
      <c r="N67" s="87" t="n"/>
      <c r="O67" s="200" t="n"/>
      <c r="P67" s="203" t="n"/>
      <c r="Q67" s="202" t="n"/>
      <c r="R67" s="87" t="n"/>
    </row>
    <row r="68" ht="18" customHeight="1" s="140">
      <c r="A68" s="103" t="inlineStr">
        <is>
          <t>초급기술자</t>
        </is>
      </c>
      <c r="B68" s="18" t="n"/>
      <c r="C68" s="48">
        <f>'국토품_작업량'!L10</f>
        <v/>
      </c>
      <c r="D68" s="104" t="inlineStr">
        <is>
          <t>인</t>
        </is>
      </c>
      <c r="E68" s="201" t="n"/>
      <c r="F68" s="201" t="n"/>
      <c r="G68" s="95">
        <f>$P$9</f>
        <v/>
      </c>
      <c r="H68" s="95">
        <f>ROUNDDOWN(G68*C68,0)</f>
        <v/>
      </c>
      <c r="I68" s="18" t="n"/>
      <c r="J68" s="18" t="n"/>
      <c r="K68" s="18" t="n"/>
      <c r="L68" s="18" t="n"/>
      <c r="M68" s="36" t="n"/>
      <c r="N68" s="87" t="n"/>
      <c r="O68" s="200" t="n"/>
      <c r="P68" s="203" t="n"/>
      <c r="Q68" s="202" t="n"/>
      <c r="R68" s="87" t="n"/>
    </row>
    <row r="69" ht="18" customHeight="1" s="140">
      <c r="A69" s="47">
        <f>'국토품_작업량'!A11</f>
        <v/>
      </c>
      <c r="B69" s="18" t="n"/>
      <c r="C69" s="48" t="n"/>
      <c r="D69" s="18" t="n"/>
      <c r="E69" s="18" t="n"/>
      <c r="F69" s="18" t="n"/>
      <c r="G69" s="18" t="n"/>
      <c r="H69" s="95">
        <f>SUM(H70:H74)</f>
        <v/>
      </c>
      <c r="I69" s="18" t="n"/>
      <c r="J69" s="18" t="n"/>
      <c r="K69" s="18" t="n"/>
      <c r="L69" s="18" t="n"/>
      <c r="M69" s="36" t="n"/>
      <c r="N69" s="87" t="n"/>
      <c r="O69" s="190" t="n"/>
      <c r="P69" s="189" t="n"/>
      <c r="Q69" s="200" t="n"/>
      <c r="R69" s="87" t="n"/>
    </row>
    <row r="70" ht="18" customHeight="1" s="140">
      <c r="A70" s="103" t="inlineStr">
        <is>
          <t>기  술  사</t>
        </is>
      </c>
      <c r="B70" s="18" t="n"/>
      <c r="C70" s="48">
        <f>'국토품_작업량'!H11</f>
        <v/>
      </c>
      <c r="D70" s="104" t="inlineStr">
        <is>
          <t>인</t>
        </is>
      </c>
      <c r="E70" s="18" t="n"/>
      <c r="F70" s="18" t="n"/>
      <c r="G70" s="95">
        <f>$P$5</f>
        <v/>
      </c>
      <c r="H70" s="95">
        <f>ROUNDDOWN(G70*C70,0)</f>
        <v/>
      </c>
      <c r="I70" s="18" t="n"/>
      <c r="J70" s="18" t="n"/>
      <c r="K70" s="18" t="n"/>
      <c r="L70" s="18" t="n"/>
      <c r="M70" s="36" t="n"/>
      <c r="N70" s="87" t="n"/>
      <c r="O70" s="190" t="n"/>
      <c r="P70" s="189" t="n"/>
      <c r="Q70" s="200" t="n"/>
      <c r="R70" s="87" t="n"/>
    </row>
    <row r="71" ht="18" customHeight="1" s="140">
      <c r="A71" s="103" t="inlineStr">
        <is>
          <t>특급기술자</t>
        </is>
      </c>
      <c r="B71" s="18" t="n"/>
      <c r="C71" s="48">
        <f>'국토품_작업량'!I11</f>
        <v/>
      </c>
      <c r="D71" s="104" t="inlineStr">
        <is>
          <t>인</t>
        </is>
      </c>
      <c r="E71" s="201" t="n"/>
      <c r="F71" s="201" t="n"/>
      <c r="G71" s="95">
        <f>$P$6</f>
        <v/>
      </c>
      <c r="H71" s="95">
        <f>ROUNDDOWN(G71*C71,0)</f>
        <v/>
      </c>
      <c r="I71" s="18" t="n"/>
      <c r="J71" s="18" t="n"/>
      <c r="K71" s="18" t="n"/>
      <c r="L71" s="18" t="n"/>
      <c r="M71" s="36" t="n"/>
      <c r="N71" s="87" t="n"/>
      <c r="O71" s="190" t="n"/>
      <c r="P71" s="189" t="n"/>
      <c r="Q71" s="202" t="n"/>
      <c r="R71" s="87" t="n"/>
    </row>
    <row r="72" ht="18" customHeight="1" s="140">
      <c r="A72" s="103" t="inlineStr">
        <is>
          <t>고급기술자</t>
        </is>
      </c>
      <c r="B72" s="18" t="n"/>
      <c r="C72" s="48">
        <f>'국토품_작업량'!J11</f>
        <v/>
      </c>
      <c r="D72" s="104" t="inlineStr">
        <is>
          <t>인</t>
        </is>
      </c>
      <c r="E72" s="201" t="n"/>
      <c r="F72" s="201" t="n"/>
      <c r="G72" s="95">
        <f>$P$7</f>
        <v/>
      </c>
      <c r="H72" s="95">
        <f>ROUNDDOWN(G72*C72,0)</f>
        <v/>
      </c>
      <c r="I72" s="18" t="n"/>
      <c r="J72" s="18" t="n"/>
      <c r="K72" s="18" t="n"/>
      <c r="L72" s="18" t="n"/>
      <c r="M72" s="36" t="n"/>
      <c r="N72" s="87" t="n"/>
      <c r="O72" s="190" t="n"/>
      <c r="P72" s="189" t="n"/>
      <c r="Q72" s="202" t="n"/>
      <c r="R72" s="87" t="n"/>
    </row>
    <row r="73" ht="18" customHeight="1" s="140">
      <c r="A73" s="103" t="inlineStr">
        <is>
          <t>중급기술자</t>
        </is>
      </c>
      <c r="B73" s="18" t="n"/>
      <c r="C73" s="48">
        <f>'국토품_작업량'!K11</f>
        <v/>
      </c>
      <c r="D73" s="104" t="inlineStr">
        <is>
          <t>인</t>
        </is>
      </c>
      <c r="E73" s="201" t="n"/>
      <c r="F73" s="201" t="n"/>
      <c r="G73" s="95">
        <f>$P$8</f>
        <v/>
      </c>
      <c r="H73" s="95">
        <f>ROUNDDOWN(G73*C73,0)</f>
        <v/>
      </c>
      <c r="I73" s="18" t="n"/>
      <c r="J73" s="18" t="n"/>
      <c r="K73" s="18" t="n"/>
      <c r="L73" s="18" t="n"/>
      <c r="M73" s="36" t="n"/>
      <c r="N73" s="87" t="n"/>
      <c r="O73" s="200" t="n"/>
      <c r="P73" s="203" t="n"/>
      <c r="Q73" s="202" t="n"/>
      <c r="R73" s="87" t="n"/>
    </row>
    <row r="74" ht="18" customHeight="1" s="140">
      <c r="A74" s="103" t="inlineStr">
        <is>
          <t>초급기술자</t>
        </is>
      </c>
      <c r="B74" s="18" t="n"/>
      <c r="C74" s="48">
        <f>'국토품_작업량'!L11</f>
        <v/>
      </c>
      <c r="D74" s="104" t="inlineStr">
        <is>
          <t>인</t>
        </is>
      </c>
      <c r="E74" s="201" t="n"/>
      <c r="F74" s="201" t="n"/>
      <c r="G74" s="95">
        <f>$P$9</f>
        <v/>
      </c>
      <c r="H74" s="95">
        <f>ROUNDDOWN(G74*C74,0)</f>
        <v/>
      </c>
      <c r="I74" s="18" t="n"/>
      <c r="J74" s="18" t="n"/>
      <c r="K74" s="18" t="n"/>
      <c r="L74" s="18" t="n"/>
      <c r="M74" s="36" t="n"/>
      <c r="N74" s="87" t="n"/>
      <c r="O74" s="200" t="n"/>
      <c r="P74" s="203" t="n"/>
      <c r="Q74" s="202" t="n"/>
      <c r="R74" s="87" t="n"/>
    </row>
    <row r="75" ht="18" customHeight="1" s="140">
      <c r="A75" s="47">
        <f>'국토품_작업량'!A12</f>
        <v/>
      </c>
      <c r="B75" s="18" t="n"/>
      <c r="C75" s="48" t="n"/>
      <c r="D75" s="18" t="n"/>
      <c r="E75" s="18" t="n"/>
      <c r="F75" s="18" t="n"/>
      <c r="G75" s="18" t="n"/>
      <c r="H75" s="95">
        <f>SUM(H76:H80)</f>
        <v/>
      </c>
      <c r="I75" s="18" t="n"/>
      <c r="J75" s="18" t="n"/>
      <c r="K75" s="18" t="n"/>
      <c r="L75" s="18" t="n"/>
      <c r="M75" s="36" t="n"/>
      <c r="N75" s="87" t="n"/>
      <c r="O75" s="190" t="n"/>
      <c r="P75" s="189" t="n"/>
      <c r="Q75" s="200" t="n"/>
      <c r="R75" s="87" t="n"/>
    </row>
    <row r="76" ht="18" customHeight="1" s="140">
      <c r="A76" s="103" t="inlineStr">
        <is>
          <t>기  술  사</t>
        </is>
      </c>
      <c r="B76" s="18" t="n"/>
      <c r="C76" s="48">
        <f>'국토품_작업량'!H12</f>
        <v/>
      </c>
      <c r="D76" s="104" t="inlineStr">
        <is>
          <t>인</t>
        </is>
      </c>
      <c r="E76" s="18" t="n"/>
      <c r="F76" s="18" t="n"/>
      <c r="G76" s="95">
        <f>$P$5</f>
        <v/>
      </c>
      <c r="H76" s="95">
        <f>ROUNDDOWN(G76*C76,0)</f>
        <v/>
      </c>
      <c r="I76" s="18" t="n"/>
      <c r="J76" s="18" t="n"/>
      <c r="K76" s="18" t="n"/>
      <c r="L76" s="18" t="n"/>
      <c r="M76" s="36" t="n"/>
      <c r="N76" s="87" t="n"/>
      <c r="O76" s="190" t="n"/>
      <c r="P76" s="189" t="n"/>
      <c r="Q76" s="200" t="n"/>
      <c r="R76" s="87" t="n"/>
    </row>
    <row r="77" ht="18" customHeight="1" s="140">
      <c r="A77" s="103" t="inlineStr">
        <is>
          <t>특급기술자</t>
        </is>
      </c>
      <c r="B77" s="18" t="n"/>
      <c r="C77" s="48">
        <f>'국토품_작업량'!I12</f>
        <v/>
      </c>
      <c r="D77" s="104" t="inlineStr">
        <is>
          <t>인</t>
        </is>
      </c>
      <c r="E77" s="201" t="n"/>
      <c r="F77" s="201" t="n"/>
      <c r="G77" s="95">
        <f>$P$6</f>
        <v/>
      </c>
      <c r="H77" s="95">
        <f>ROUNDDOWN(G77*C77,0)</f>
        <v/>
      </c>
      <c r="I77" s="18" t="n"/>
      <c r="J77" s="18" t="n"/>
      <c r="K77" s="18" t="n"/>
      <c r="L77" s="18" t="n"/>
      <c r="M77" s="36" t="n"/>
      <c r="N77" s="87" t="n"/>
      <c r="O77" s="190" t="n"/>
      <c r="P77" s="189" t="n"/>
      <c r="Q77" s="202" t="n"/>
      <c r="R77" s="87" t="n"/>
    </row>
    <row r="78" ht="18" customHeight="1" s="140">
      <c r="A78" s="103" t="inlineStr">
        <is>
          <t>고급기술자</t>
        </is>
      </c>
      <c r="B78" s="18" t="n"/>
      <c r="C78" s="48">
        <f>'국토품_작업량'!J12</f>
        <v/>
      </c>
      <c r="D78" s="104" t="inlineStr">
        <is>
          <t>인</t>
        </is>
      </c>
      <c r="E78" s="201" t="n"/>
      <c r="F78" s="201" t="n"/>
      <c r="G78" s="95">
        <f>$P$7</f>
        <v/>
      </c>
      <c r="H78" s="95">
        <f>ROUNDDOWN(G78*C78,0)</f>
        <v/>
      </c>
      <c r="I78" s="18" t="n"/>
      <c r="J78" s="18" t="n"/>
      <c r="K78" s="18" t="n"/>
      <c r="L78" s="18" t="n"/>
      <c r="M78" s="36" t="n"/>
      <c r="N78" s="87" t="n"/>
      <c r="O78" s="190" t="n"/>
      <c r="P78" s="189" t="n"/>
      <c r="Q78" s="202" t="n"/>
      <c r="R78" s="87" t="n"/>
    </row>
    <row r="79" ht="18" customHeight="1" s="140">
      <c r="A79" s="103" t="inlineStr">
        <is>
          <t>중급기술자</t>
        </is>
      </c>
      <c r="B79" s="18" t="n"/>
      <c r="C79" s="48">
        <f>'국토품_작업량'!K12</f>
        <v/>
      </c>
      <c r="D79" s="104" t="inlineStr">
        <is>
          <t>인</t>
        </is>
      </c>
      <c r="E79" s="201" t="n"/>
      <c r="F79" s="201" t="n"/>
      <c r="G79" s="95">
        <f>$P$8</f>
        <v/>
      </c>
      <c r="H79" s="95">
        <f>ROUNDDOWN(G79*C79,0)</f>
        <v/>
      </c>
      <c r="I79" s="18" t="n"/>
      <c r="J79" s="18" t="n"/>
      <c r="K79" s="18" t="n"/>
      <c r="L79" s="18" t="n"/>
      <c r="M79" s="36" t="n"/>
      <c r="N79" s="87" t="n"/>
      <c r="O79" s="200" t="n"/>
      <c r="P79" s="203" t="n"/>
      <c r="Q79" s="202" t="n"/>
      <c r="R79" s="87" t="n"/>
    </row>
    <row r="80" ht="18" customHeight="1" s="140">
      <c r="A80" s="103" t="inlineStr">
        <is>
          <t>초급기술자</t>
        </is>
      </c>
      <c r="B80" s="18" t="n"/>
      <c r="C80" s="48">
        <f>'국토품_작업량'!L12</f>
        <v/>
      </c>
      <c r="D80" s="104" t="inlineStr">
        <is>
          <t>인</t>
        </is>
      </c>
      <c r="E80" s="201" t="n"/>
      <c r="F80" s="201" t="n"/>
      <c r="G80" s="95">
        <f>$P$9</f>
        <v/>
      </c>
      <c r="H80" s="95">
        <f>ROUNDDOWN(G80*C80,0)</f>
        <v/>
      </c>
      <c r="I80" s="18" t="n"/>
      <c r="J80" s="18" t="n"/>
      <c r="K80" s="18" t="n"/>
      <c r="L80" s="18" t="n"/>
      <c r="M80" s="36" t="n"/>
      <c r="N80" s="87" t="n"/>
      <c r="O80" s="200" t="n"/>
      <c r="P80" s="203" t="n"/>
      <c r="Q80" s="202" t="n"/>
      <c r="R80" s="87" t="n"/>
    </row>
    <row r="81" ht="18" customHeight="1" s="140">
      <c r="A81" s="47">
        <f>'국토품_작업량'!A13</f>
        <v/>
      </c>
      <c r="B81" s="18" t="n"/>
      <c r="C81" s="48" t="n"/>
      <c r="D81" s="18" t="n"/>
      <c r="E81" s="18" t="n"/>
      <c r="F81" s="18" t="n"/>
      <c r="G81" s="18" t="n"/>
      <c r="H81" s="95">
        <f>SUM(H82:H86)</f>
        <v/>
      </c>
      <c r="I81" s="18" t="n"/>
      <c r="J81" s="18" t="n"/>
      <c r="K81" s="18" t="n"/>
      <c r="L81" s="18" t="n"/>
      <c r="M81" s="36" t="n"/>
      <c r="N81" s="87" t="n"/>
      <c r="O81" s="190" t="n"/>
      <c r="P81" s="189" t="n"/>
      <c r="Q81" s="200" t="n"/>
      <c r="R81" s="87" t="n"/>
    </row>
    <row r="82" ht="18" customHeight="1" s="140">
      <c r="A82" s="103" t="inlineStr">
        <is>
          <t>기  술  사</t>
        </is>
      </c>
      <c r="B82" s="18" t="n"/>
      <c r="C82" s="48">
        <f>'국토품_작업량'!H13</f>
        <v/>
      </c>
      <c r="D82" s="104" t="inlineStr">
        <is>
          <t>인</t>
        </is>
      </c>
      <c r="E82" s="18" t="n"/>
      <c r="F82" s="18" t="n"/>
      <c r="G82" s="95">
        <f>$P$5</f>
        <v/>
      </c>
      <c r="H82" s="95">
        <f>ROUNDDOWN(G82*C82,0)</f>
        <v/>
      </c>
      <c r="I82" s="18" t="n"/>
      <c r="J82" s="18" t="n"/>
      <c r="K82" s="18" t="n"/>
      <c r="L82" s="18" t="n"/>
      <c r="M82" s="36" t="n"/>
      <c r="N82" s="87" t="n"/>
      <c r="O82" s="190" t="n"/>
      <c r="P82" s="189" t="n"/>
      <c r="Q82" s="200" t="n"/>
      <c r="R82" s="87" t="n"/>
    </row>
    <row r="83" ht="18" customHeight="1" s="140">
      <c r="A83" s="103" t="inlineStr">
        <is>
          <t>특급기술자</t>
        </is>
      </c>
      <c r="B83" s="18" t="n"/>
      <c r="C83" s="48">
        <f>'국토품_작업량'!I13</f>
        <v/>
      </c>
      <c r="D83" s="104" t="inlineStr">
        <is>
          <t>인</t>
        </is>
      </c>
      <c r="E83" s="201" t="n"/>
      <c r="F83" s="201" t="n"/>
      <c r="G83" s="95">
        <f>$P$6</f>
        <v/>
      </c>
      <c r="H83" s="95">
        <f>ROUNDDOWN(G83*C83,0)</f>
        <v/>
      </c>
      <c r="I83" s="18" t="n"/>
      <c r="J83" s="18" t="n"/>
      <c r="K83" s="18" t="n"/>
      <c r="L83" s="18" t="n"/>
      <c r="M83" s="36" t="n"/>
      <c r="N83" s="87" t="n"/>
      <c r="O83" s="190" t="n"/>
      <c r="P83" s="189" t="n"/>
      <c r="Q83" s="202" t="n"/>
      <c r="R83" s="87" t="n"/>
    </row>
    <row r="84" ht="18" customHeight="1" s="140">
      <c r="A84" s="103" t="inlineStr">
        <is>
          <t>고급기술자</t>
        </is>
      </c>
      <c r="B84" s="18" t="n"/>
      <c r="C84" s="48">
        <f>'국토품_작업량'!J13</f>
        <v/>
      </c>
      <c r="D84" s="104" t="inlineStr">
        <is>
          <t>인</t>
        </is>
      </c>
      <c r="E84" s="201" t="n"/>
      <c r="F84" s="201" t="n"/>
      <c r="G84" s="95">
        <f>$P$7</f>
        <v/>
      </c>
      <c r="H84" s="95">
        <f>ROUNDDOWN(G84*C84,0)</f>
        <v/>
      </c>
      <c r="I84" s="18" t="n"/>
      <c r="J84" s="18" t="n"/>
      <c r="K84" s="18" t="n"/>
      <c r="L84" s="18" t="n"/>
      <c r="M84" s="36" t="n"/>
      <c r="N84" s="87" t="n"/>
      <c r="O84" s="190" t="n"/>
      <c r="P84" s="189" t="n"/>
      <c r="Q84" s="202" t="n"/>
      <c r="R84" s="87" t="n"/>
    </row>
    <row r="85" ht="18" customHeight="1" s="140">
      <c r="A85" s="103" t="inlineStr">
        <is>
          <t>중급기술자</t>
        </is>
      </c>
      <c r="B85" s="18" t="n"/>
      <c r="C85" s="48">
        <f>'국토품_작업량'!K13</f>
        <v/>
      </c>
      <c r="D85" s="104" t="inlineStr">
        <is>
          <t>인</t>
        </is>
      </c>
      <c r="E85" s="201" t="n"/>
      <c r="F85" s="201" t="n"/>
      <c r="G85" s="95">
        <f>$P$8</f>
        <v/>
      </c>
      <c r="H85" s="95">
        <f>ROUNDDOWN(G85*C85,0)</f>
        <v/>
      </c>
      <c r="I85" s="18" t="n"/>
      <c r="J85" s="18" t="n"/>
      <c r="K85" s="18" t="n"/>
      <c r="L85" s="18" t="n"/>
      <c r="M85" s="36" t="n"/>
      <c r="N85" s="87" t="n"/>
      <c r="O85" s="200" t="n"/>
      <c r="P85" s="203" t="n"/>
      <c r="Q85" s="202" t="n"/>
      <c r="R85" s="87" t="n"/>
    </row>
    <row r="86" ht="18" customHeight="1" s="140">
      <c r="A86" s="103" t="inlineStr">
        <is>
          <t>초급기술자</t>
        </is>
      </c>
      <c r="B86" s="18" t="n"/>
      <c r="C86" s="48">
        <f>'국토품_작업량'!L13</f>
        <v/>
      </c>
      <c r="D86" s="104" t="inlineStr">
        <is>
          <t>인</t>
        </is>
      </c>
      <c r="E86" s="201" t="n"/>
      <c r="F86" s="201" t="n"/>
      <c r="G86" s="95">
        <f>$P$9</f>
        <v/>
      </c>
      <c r="H86" s="95">
        <f>ROUNDDOWN(G86*C86,0)</f>
        <v/>
      </c>
      <c r="I86" s="18" t="n"/>
      <c r="J86" s="18" t="n"/>
      <c r="K86" s="18" t="n"/>
      <c r="L86" s="18" t="n"/>
      <c r="M86" s="36" t="n"/>
      <c r="N86" s="87" t="n"/>
      <c r="O86" s="200" t="n"/>
      <c r="P86" s="203" t="n"/>
      <c r="Q86" s="202" t="n"/>
      <c r="R86" s="87" t="n"/>
    </row>
    <row r="87" ht="18" customHeight="1" s="140">
      <c r="A87" s="47">
        <f>'국토품_작업량'!A14</f>
        <v/>
      </c>
      <c r="B87" s="18" t="n"/>
      <c r="C87" s="48" t="n"/>
      <c r="D87" s="18" t="n"/>
      <c r="E87" s="18" t="n"/>
      <c r="F87" s="18" t="n"/>
      <c r="G87" s="18" t="n"/>
      <c r="H87" s="95">
        <f>SUM(H88:H92)</f>
        <v/>
      </c>
      <c r="I87" s="18" t="n"/>
      <c r="J87" s="18" t="n"/>
      <c r="K87" s="18" t="n"/>
      <c r="L87" s="18" t="n"/>
      <c r="M87" s="36" t="n"/>
      <c r="N87" s="87" t="n"/>
      <c r="O87" s="190" t="n"/>
      <c r="P87" s="189" t="n"/>
      <c r="Q87" s="200" t="n"/>
      <c r="R87" s="87" t="n"/>
    </row>
    <row r="88" ht="18" customHeight="1" s="140">
      <c r="A88" s="103" t="inlineStr">
        <is>
          <t>기  술  사</t>
        </is>
      </c>
      <c r="B88" s="18" t="n"/>
      <c r="C88" s="48">
        <f>'국토품_작업량'!H14</f>
        <v/>
      </c>
      <c r="D88" s="104" t="inlineStr">
        <is>
          <t>인</t>
        </is>
      </c>
      <c r="E88" s="18" t="n"/>
      <c r="F88" s="18" t="n"/>
      <c r="G88" s="95">
        <f>$P$5</f>
        <v/>
      </c>
      <c r="H88" s="95">
        <f>ROUNDDOWN(G88*C88,0)</f>
        <v/>
      </c>
      <c r="I88" s="18" t="n"/>
      <c r="J88" s="18" t="n"/>
      <c r="K88" s="18" t="n"/>
      <c r="L88" s="18" t="n"/>
      <c r="M88" s="36" t="n"/>
      <c r="N88" s="87" t="n"/>
      <c r="O88" s="190" t="n"/>
      <c r="P88" s="189" t="n"/>
      <c r="Q88" s="200" t="n"/>
      <c r="R88" s="87" t="n"/>
    </row>
    <row r="89" ht="18" customHeight="1" s="140">
      <c r="A89" s="103" t="inlineStr">
        <is>
          <t>특급기술자</t>
        </is>
      </c>
      <c r="B89" s="18" t="n"/>
      <c r="C89" s="48">
        <f>'국토품_작업량'!I14</f>
        <v/>
      </c>
      <c r="D89" s="104" t="inlineStr">
        <is>
          <t>인</t>
        </is>
      </c>
      <c r="E89" s="201" t="n"/>
      <c r="F89" s="201" t="n"/>
      <c r="G89" s="95">
        <f>$P$6</f>
        <v/>
      </c>
      <c r="H89" s="95">
        <f>ROUNDDOWN(G89*C89,0)</f>
        <v/>
      </c>
      <c r="I89" s="18" t="n"/>
      <c r="J89" s="18" t="n"/>
      <c r="K89" s="18" t="n"/>
      <c r="L89" s="18" t="n"/>
      <c r="M89" s="36" t="n"/>
      <c r="N89" s="87" t="n"/>
      <c r="O89" s="190" t="n"/>
      <c r="P89" s="189" t="n"/>
      <c r="Q89" s="202" t="n"/>
      <c r="R89" s="87" t="n"/>
    </row>
    <row r="90" ht="18" customHeight="1" s="140">
      <c r="A90" s="103" t="inlineStr">
        <is>
          <t>고급기술자</t>
        </is>
      </c>
      <c r="B90" s="18" t="n"/>
      <c r="C90" s="48">
        <f>'국토품_작업량'!J14</f>
        <v/>
      </c>
      <c r="D90" s="104" t="inlineStr">
        <is>
          <t>인</t>
        </is>
      </c>
      <c r="E90" s="201" t="n"/>
      <c r="F90" s="201" t="n"/>
      <c r="G90" s="95">
        <f>$P$7</f>
        <v/>
      </c>
      <c r="H90" s="95">
        <f>ROUNDDOWN(G90*C90,0)</f>
        <v/>
      </c>
      <c r="I90" s="18" t="n"/>
      <c r="J90" s="18" t="n"/>
      <c r="K90" s="18" t="n"/>
      <c r="L90" s="18" t="n"/>
      <c r="M90" s="36" t="n"/>
      <c r="N90" s="87" t="n"/>
      <c r="O90" s="190" t="n"/>
      <c r="P90" s="189" t="n"/>
      <c r="Q90" s="202" t="n"/>
      <c r="R90" s="87" t="n"/>
    </row>
    <row r="91" ht="18" customHeight="1" s="140">
      <c r="A91" s="103" t="inlineStr">
        <is>
          <t>중급기술자</t>
        </is>
      </c>
      <c r="B91" s="18" t="n"/>
      <c r="C91" s="48">
        <f>'국토품_작업량'!K14</f>
        <v/>
      </c>
      <c r="D91" s="104" t="inlineStr">
        <is>
          <t>인</t>
        </is>
      </c>
      <c r="E91" s="201" t="n"/>
      <c r="F91" s="201" t="n"/>
      <c r="G91" s="95">
        <f>$P$8</f>
        <v/>
      </c>
      <c r="H91" s="95">
        <f>ROUNDDOWN(G91*C91,0)</f>
        <v/>
      </c>
      <c r="I91" s="18" t="n"/>
      <c r="J91" s="18" t="n"/>
      <c r="K91" s="18" t="n"/>
      <c r="L91" s="18" t="n"/>
      <c r="M91" s="36" t="n"/>
      <c r="N91" s="87" t="n"/>
      <c r="O91" s="200" t="n"/>
      <c r="P91" s="203" t="n"/>
      <c r="Q91" s="202" t="n"/>
      <c r="R91" s="87" t="n"/>
    </row>
    <row r="92" ht="18" customHeight="1" s="140">
      <c r="A92" s="103" t="inlineStr">
        <is>
          <t>초급기술자</t>
        </is>
      </c>
      <c r="B92" s="18" t="n"/>
      <c r="C92" s="48">
        <f>'국토품_작업량'!L14</f>
        <v/>
      </c>
      <c r="D92" s="104" t="inlineStr">
        <is>
          <t>인</t>
        </is>
      </c>
      <c r="E92" s="201" t="n"/>
      <c r="F92" s="201" t="n"/>
      <c r="G92" s="95">
        <f>$P$9</f>
        <v/>
      </c>
      <c r="H92" s="95">
        <f>ROUNDDOWN(G92*C92,0)</f>
        <v/>
      </c>
      <c r="I92" s="18" t="n"/>
      <c r="J92" s="18" t="n"/>
      <c r="K92" s="18" t="n"/>
      <c r="L92" s="18" t="n"/>
      <c r="M92" s="36" t="n"/>
      <c r="N92" s="87" t="n"/>
      <c r="O92" s="200" t="n"/>
      <c r="P92" s="203" t="n"/>
      <c r="Q92" s="202" t="n"/>
      <c r="R92" s="87" t="n"/>
    </row>
    <row r="93" ht="18" customHeight="1" s="140">
      <c r="A93" s="244" t="n"/>
      <c r="B93" s="245" t="n"/>
      <c r="C93" s="94" t="n"/>
      <c r="D93" s="40" t="n"/>
      <c r="E93" s="108" t="n"/>
      <c r="F93" s="245" t="n"/>
      <c r="G93" s="107" t="n"/>
      <c r="H93" s="102" t="n"/>
      <c r="I93" s="107" t="n"/>
      <c r="J93" s="107" t="n"/>
      <c r="K93" s="107" t="n"/>
      <c r="L93" s="107" t="n"/>
      <c r="M93" s="41" t="n"/>
      <c r="N93" s="87" t="n"/>
      <c r="O93" s="189" t="n"/>
      <c r="P93" s="189" t="n"/>
      <c r="Q93" s="190" t="n"/>
      <c r="R93" s="87" t="n"/>
    </row>
    <row r="94" ht="18" customHeight="1" s="140">
      <c r="A94" s="250">
        <f>'국토품_작업량'!A15</f>
        <v/>
      </c>
      <c r="B94" s="251" t="n"/>
      <c r="C94" s="252" t="n"/>
      <c r="D94" s="251" t="n"/>
      <c r="E94" s="251" t="n"/>
      <c r="F94" s="251" t="n"/>
      <c r="G94" s="251" t="n"/>
      <c r="H94" s="253">
        <f>H95+H101+H107+H113</f>
        <v/>
      </c>
      <c r="I94" s="251" t="n"/>
      <c r="J94" s="251" t="n"/>
      <c r="K94" s="251" t="n"/>
      <c r="L94" s="251" t="n"/>
      <c r="M94" s="65" t="n"/>
      <c r="N94" s="87" t="n"/>
      <c r="O94" s="190" t="n"/>
      <c r="P94" s="189" t="n"/>
      <c r="Q94" s="200" t="n"/>
      <c r="R94" s="87" t="n"/>
    </row>
    <row r="95" ht="18" customHeight="1" s="140">
      <c r="A95" s="47">
        <f>'국토품_작업량'!A16</f>
        <v/>
      </c>
      <c r="B95" s="18" t="n"/>
      <c r="C95" s="48" t="n"/>
      <c r="D95" s="18" t="n"/>
      <c r="E95" s="18" t="n"/>
      <c r="F95" s="18" t="n"/>
      <c r="G95" s="18" t="n"/>
      <c r="H95" s="95">
        <f>SUM(H96:H100)</f>
        <v/>
      </c>
      <c r="I95" s="18" t="n"/>
      <c r="J95" s="18" t="n"/>
      <c r="K95" s="18" t="n"/>
      <c r="L95" s="18" t="n"/>
      <c r="M95" s="36" t="n"/>
      <c r="N95" s="87" t="n"/>
      <c r="O95" s="190" t="n"/>
      <c r="P95" s="189" t="n"/>
      <c r="Q95" s="200" t="n"/>
      <c r="R95" s="87" t="n"/>
    </row>
    <row r="96" ht="18" customHeight="1" s="140">
      <c r="A96" s="103" t="inlineStr">
        <is>
          <t>기  술  사</t>
        </is>
      </c>
      <c r="B96" s="18" t="n"/>
      <c r="C96" s="48">
        <f>'국토품_작업량'!H16</f>
        <v/>
      </c>
      <c r="D96" s="104" t="inlineStr">
        <is>
          <t>인</t>
        </is>
      </c>
      <c r="E96" s="18" t="n"/>
      <c r="F96" s="18" t="n"/>
      <c r="G96" s="95">
        <f>$P$5</f>
        <v/>
      </c>
      <c r="H96" s="95">
        <f>ROUNDDOWN(G96*C96,0)</f>
        <v/>
      </c>
      <c r="I96" s="18" t="n"/>
      <c r="J96" s="18" t="n"/>
      <c r="K96" s="18" t="n"/>
      <c r="L96" s="18" t="n"/>
      <c r="M96" s="36" t="n"/>
      <c r="N96" s="87" t="n"/>
      <c r="O96" s="190" t="n"/>
      <c r="P96" s="189" t="n"/>
      <c r="Q96" s="200" t="n"/>
      <c r="R96" s="87" t="n"/>
    </row>
    <row r="97" ht="18" customHeight="1" s="140">
      <c r="A97" s="103" t="inlineStr">
        <is>
          <t>특급기술자</t>
        </is>
      </c>
      <c r="B97" s="18" t="n"/>
      <c r="C97" s="48">
        <f>'국토품_작업량'!I16</f>
        <v/>
      </c>
      <c r="D97" s="104" t="inlineStr">
        <is>
          <t>인</t>
        </is>
      </c>
      <c r="E97" s="201" t="n"/>
      <c r="F97" s="201" t="n"/>
      <c r="G97" s="95">
        <f>$P$6</f>
        <v/>
      </c>
      <c r="H97" s="95">
        <f>ROUNDDOWN(G97*C97,0)</f>
        <v/>
      </c>
      <c r="I97" s="18" t="n"/>
      <c r="J97" s="18" t="n"/>
      <c r="K97" s="18" t="n"/>
      <c r="L97" s="18" t="n"/>
      <c r="M97" s="36" t="n"/>
      <c r="N97" s="87" t="n"/>
      <c r="O97" s="190" t="n"/>
      <c r="P97" s="189" t="n"/>
      <c r="Q97" s="202" t="n"/>
      <c r="R97" s="87" t="n"/>
    </row>
    <row r="98" ht="18" customHeight="1" s="140">
      <c r="A98" s="103" t="inlineStr">
        <is>
          <t>고급기술자</t>
        </is>
      </c>
      <c r="B98" s="18" t="n"/>
      <c r="C98" s="48">
        <f>'국토품_작업량'!J16</f>
        <v/>
      </c>
      <c r="D98" s="104" t="inlineStr">
        <is>
          <t>인</t>
        </is>
      </c>
      <c r="E98" s="201" t="n"/>
      <c r="F98" s="201" t="n"/>
      <c r="G98" s="95">
        <f>$P$7</f>
        <v/>
      </c>
      <c r="H98" s="95">
        <f>ROUNDDOWN(G98*C98,0)</f>
        <v/>
      </c>
      <c r="I98" s="18" t="n"/>
      <c r="J98" s="18" t="n"/>
      <c r="K98" s="18" t="n"/>
      <c r="L98" s="18" t="n"/>
      <c r="M98" s="36" t="n"/>
      <c r="N98" s="87" t="n"/>
      <c r="O98" s="190" t="n"/>
      <c r="P98" s="189" t="n"/>
      <c r="Q98" s="202" t="n"/>
      <c r="R98" s="87" t="n"/>
    </row>
    <row r="99" ht="18" customHeight="1" s="140">
      <c r="A99" s="103" t="inlineStr">
        <is>
          <t>중급기술자</t>
        </is>
      </c>
      <c r="B99" s="18" t="n"/>
      <c r="C99" s="48">
        <f>'국토품_작업량'!K16</f>
        <v/>
      </c>
      <c r="D99" s="104" t="inlineStr">
        <is>
          <t>인</t>
        </is>
      </c>
      <c r="E99" s="201" t="n"/>
      <c r="F99" s="201" t="n"/>
      <c r="G99" s="95">
        <f>$P$8</f>
        <v/>
      </c>
      <c r="H99" s="95">
        <f>ROUNDDOWN(G99*C99,0)</f>
        <v/>
      </c>
      <c r="I99" s="18" t="n"/>
      <c r="J99" s="18" t="n"/>
      <c r="K99" s="18" t="n"/>
      <c r="L99" s="18" t="n"/>
      <c r="M99" s="36" t="n"/>
      <c r="N99" s="87" t="n"/>
      <c r="O99" s="200" t="n"/>
      <c r="P99" s="203" t="n"/>
      <c r="Q99" s="202" t="n"/>
      <c r="R99" s="87" t="n"/>
    </row>
    <row r="100" ht="18" customHeight="1" s="140">
      <c r="A100" s="103" t="inlineStr">
        <is>
          <t>초급기술자</t>
        </is>
      </c>
      <c r="B100" s="18" t="n"/>
      <c r="C100" s="48">
        <f>'국토품_작업량'!L16</f>
        <v/>
      </c>
      <c r="D100" s="104" t="inlineStr">
        <is>
          <t>인</t>
        </is>
      </c>
      <c r="E100" s="201" t="n"/>
      <c r="F100" s="201" t="n"/>
      <c r="G100" s="95">
        <f>$P$9</f>
        <v/>
      </c>
      <c r="H100" s="95">
        <f>ROUNDDOWN(G100*C100,0)</f>
        <v/>
      </c>
      <c r="I100" s="18" t="n"/>
      <c r="J100" s="18" t="n"/>
      <c r="K100" s="18" t="n"/>
      <c r="L100" s="18" t="n"/>
      <c r="M100" s="36" t="n"/>
      <c r="N100" s="87" t="n"/>
      <c r="O100" s="200" t="n"/>
      <c r="P100" s="203" t="n"/>
      <c r="Q100" s="202" t="n"/>
      <c r="R100" s="87" t="n"/>
    </row>
    <row r="101" ht="18" customHeight="1" s="140">
      <c r="A101" s="47">
        <f>'국토품_작업량'!A17</f>
        <v/>
      </c>
      <c r="B101" s="18" t="n"/>
      <c r="C101" s="48" t="n"/>
      <c r="D101" s="18" t="n"/>
      <c r="E101" s="18" t="n"/>
      <c r="F101" s="18" t="n"/>
      <c r="G101" s="18" t="n"/>
      <c r="H101" s="95">
        <f>SUM(H102:H106)</f>
        <v/>
      </c>
      <c r="I101" s="18" t="n"/>
      <c r="J101" s="18" t="n"/>
      <c r="K101" s="18" t="n"/>
      <c r="L101" s="18" t="n"/>
      <c r="M101" s="36" t="n"/>
      <c r="N101" s="87" t="n"/>
      <c r="O101" s="190" t="n"/>
      <c r="P101" s="189" t="n"/>
      <c r="Q101" s="200" t="n"/>
      <c r="R101" s="87" t="n"/>
    </row>
    <row r="102" ht="18" customHeight="1" s="140">
      <c r="A102" s="103" t="inlineStr">
        <is>
          <t>기  술  사</t>
        </is>
      </c>
      <c r="B102" s="18" t="n"/>
      <c r="C102" s="48">
        <f>'국토품_작업량'!H17</f>
        <v/>
      </c>
      <c r="D102" s="104" t="inlineStr">
        <is>
          <t>인</t>
        </is>
      </c>
      <c r="E102" s="18" t="n"/>
      <c r="F102" s="18" t="n"/>
      <c r="G102" s="95">
        <f>$P$5</f>
        <v/>
      </c>
      <c r="H102" s="95">
        <f>ROUNDDOWN(G102*C102,0)</f>
        <v/>
      </c>
      <c r="I102" s="18" t="n"/>
      <c r="J102" s="18" t="n"/>
      <c r="K102" s="18" t="n"/>
      <c r="L102" s="18" t="n"/>
      <c r="M102" s="36" t="n"/>
      <c r="N102" s="87" t="n"/>
      <c r="O102" s="190" t="n"/>
      <c r="P102" s="189" t="n"/>
      <c r="Q102" s="200" t="n"/>
      <c r="R102" s="87" t="n"/>
    </row>
    <row r="103" ht="18" customHeight="1" s="140">
      <c r="A103" s="103" t="inlineStr">
        <is>
          <t>특급기술자</t>
        </is>
      </c>
      <c r="B103" s="18" t="n"/>
      <c r="C103" s="48">
        <f>'국토품_작업량'!I17</f>
        <v/>
      </c>
      <c r="D103" s="104" t="inlineStr">
        <is>
          <t>인</t>
        </is>
      </c>
      <c r="E103" s="201" t="n"/>
      <c r="F103" s="201" t="n"/>
      <c r="G103" s="95">
        <f>$P$6</f>
        <v/>
      </c>
      <c r="H103" s="95">
        <f>ROUNDDOWN(G103*C103,0)</f>
        <v/>
      </c>
      <c r="I103" s="18" t="n"/>
      <c r="J103" s="18" t="n"/>
      <c r="K103" s="18" t="n"/>
      <c r="L103" s="18" t="n"/>
      <c r="M103" s="36" t="n"/>
      <c r="N103" s="87" t="n"/>
      <c r="O103" s="190" t="n"/>
      <c r="P103" s="189" t="n"/>
      <c r="Q103" s="202" t="n"/>
      <c r="R103" s="87" t="n"/>
    </row>
    <row r="104" ht="18" customHeight="1" s="140">
      <c r="A104" s="103" t="inlineStr">
        <is>
          <t>고급기술자</t>
        </is>
      </c>
      <c r="B104" s="18" t="n"/>
      <c r="C104" s="48">
        <f>'국토품_작업량'!J17</f>
        <v/>
      </c>
      <c r="D104" s="104" t="inlineStr">
        <is>
          <t>인</t>
        </is>
      </c>
      <c r="E104" s="201" t="n"/>
      <c r="F104" s="201" t="n"/>
      <c r="G104" s="95">
        <f>$P$7</f>
        <v/>
      </c>
      <c r="H104" s="95">
        <f>ROUNDDOWN(G104*C104,0)</f>
        <v/>
      </c>
      <c r="I104" s="18" t="n"/>
      <c r="J104" s="18" t="n"/>
      <c r="K104" s="18" t="n"/>
      <c r="L104" s="18" t="n"/>
      <c r="M104" s="36" t="n"/>
      <c r="N104" s="87" t="n"/>
      <c r="O104" s="190" t="n"/>
      <c r="P104" s="189" t="n"/>
      <c r="Q104" s="202" t="n"/>
      <c r="R104" s="87" t="n"/>
    </row>
    <row r="105" ht="18" customHeight="1" s="140">
      <c r="A105" s="103" t="inlineStr">
        <is>
          <t>중급기술자</t>
        </is>
      </c>
      <c r="B105" s="18" t="n"/>
      <c r="C105" s="48">
        <f>'국토품_작업량'!K17</f>
        <v/>
      </c>
      <c r="D105" s="104" t="inlineStr">
        <is>
          <t>인</t>
        </is>
      </c>
      <c r="E105" s="201" t="n"/>
      <c r="F105" s="201" t="n"/>
      <c r="G105" s="95">
        <f>$P$8</f>
        <v/>
      </c>
      <c r="H105" s="95">
        <f>ROUNDDOWN(G105*C105,0)</f>
        <v/>
      </c>
      <c r="I105" s="18" t="n"/>
      <c r="J105" s="18" t="n"/>
      <c r="K105" s="18" t="n"/>
      <c r="L105" s="18" t="n"/>
      <c r="M105" s="36" t="n"/>
      <c r="N105" s="87" t="n"/>
      <c r="O105" s="200" t="n"/>
      <c r="P105" s="203" t="n"/>
      <c r="Q105" s="202" t="n"/>
      <c r="R105" s="87" t="n"/>
    </row>
    <row r="106" ht="18" customHeight="1" s="140">
      <c r="A106" s="103" t="inlineStr">
        <is>
          <t>초급기술자</t>
        </is>
      </c>
      <c r="B106" s="18" t="n"/>
      <c r="C106" s="48">
        <f>'국토품_작업량'!L17</f>
        <v/>
      </c>
      <c r="D106" s="104" t="inlineStr">
        <is>
          <t>인</t>
        </is>
      </c>
      <c r="E106" s="201" t="n"/>
      <c r="F106" s="201" t="n"/>
      <c r="G106" s="95">
        <f>$P$9</f>
        <v/>
      </c>
      <c r="H106" s="95">
        <f>ROUNDDOWN(G106*C106,0)</f>
        <v/>
      </c>
      <c r="I106" s="18" t="n"/>
      <c r="J106" s="18" t="n"/>
      <c r="K106" s="18" t="n"/>
      <c r="L106" s="18" t="n"/>
      <c r="M106" s="36" t="n"/>
      <c r="N106" s="87" t="n"/>
      <c r="O106" s="200" t="n"/>
      <c r="P106" s="203" t="n"/>
      <c r="Q106" s="202" t="n"/>
      <c r="R106" s="87" t="n"/>
    </row>
    <row r="107" ht="18" customHeight="1" s="140">
      <c r="A107" s="47">
        <f>'국토품_작업량'!A18</f>
        <v/>
      </c>
      <c r="B107" s="18" t="n"/>
      <c r="C107" s="48" t="n"/>
      <c r="D107" s="18" t="n"/>
      <c r="E107" s="18" t="n"/>
      <c r="F107" s="18" t="n"/>
      <c r="G107" s="18" t="n"/>
      <c r="H107" s="95">
        <f>SUM(H108:H112)</f>
        <v/>
      </c>
      <c r="I107" s="18" t="n"/>
      <c r="J107" s="18" t="n"/>
      <c r="K107" s="18" t="n"/>
      <c r="L107" s="18" t="n"/>
      <c r="M107" s="36" t="n"/>
      <c r="N107" s="87" t="n"/>
      <c r="O107" s="190" t="n"/>
      <c r="P107" s="189" t="n"/>
      <c r="Q107" s="200" t="n"/>
      <c r="R107" s="87" t="n"/>
    </row>
    <row r="108" ht="18" customHeight="1" s="140">
      <c r="A108" s="103" t="inlineStr">
        <is>
          <t>기  술  사</t>
        </is>
      </c>
      <c r="B108" s="18" t="n"/>
      <c r="C108" s="48">
        <f>'국토품_작업량'!H18</f>
        <v/>
      </c>
      <c r="D108" s="104" t="inlineStr">
        <is>
          <t>인</t>
        </is>
      </c>
      <c r="E108" s="18" t="n"/>
      <c r="F108" s="18" t="n"/>
      <c r="G108" s="95">
        <f>$P$5</f>
        <v/>
      </c>
      <c r="H108" s="95">
        <f>ROUNDDOWN(G108*C108,0)</f>
        <v/>
      </c>
      <c r="I108" s="18" t="n"/>
      <c r="J108" s="18" t="n"/>
      <c r="K108" s="18" t="n"/>
      <c r="L108" s="18" t="n"/>
      <c r="M108" s="36" t="n"/>
      <c r="N108" s="87" t="n"/>
      <c r="O108" s="190" t="n"/>
      <c r="P108" s="189" t="n"/>
      <c r="Q108" s="200" t="n"/>
      <c r="R108" s="87" t="n"/>
    </row>
    <row r="109" ht="18" customHeight="1" s="140">
      <c r="A109" s="103" t="inlineStr">
        <is>
          <t>특급기술자</t>
        </is>
      </c>
      <c r="B109" s="18" t="n"/>
      <c r="C109" s="48">
        <f>'국토품_작업량'!I18</f>
        <v/>
      </c>
      <c r="D109" s="104" t="inlineStr">
        <is>
          <t>인</t>
        </is>
      </c>
      <c r="E109" s="201" t="n"/>
      <c r="F109" s="201" t="n"/>
      <c r="G109" s="95">
        <f>$P$6</f>
        <v/>
      </c>
      <c r="H109" s="95">
        <f>ROUNDDOWN(G109*C109,0)</f>
        <v/>
      </c>
      <c r="I109" s="18" t="n"/>
      <c r="J109" s="18" t="n"/>
      <c r="K109" s="18" t="n"/>
      <c r="L109" s="18" t="n"/>
      <c r="M109" s="36" t="n"/>
      <c r="N109" s="87" t="n"/>
      <c r="O109" s="190" t="n"/>
      <c r="P109" s="189" t="n"/>
      <c r="Q109" s="202" t="n"/>
      <c r="R109" s="87" t="n"/>
    </row>
    <row r="110" ht="18" customHeight="1" s="140">
      <c r="A110" s="103" t="inlineStr">
        <is>
          <t>고급기술자</t>
        </is>
      </c>
      <c r="B110" s="18" t="n"/>
      <c r="C110" s="48">
        <f>'국토품_작업량'!J18</f>
        <v/>
      </c>
      <c r="D110" s="104" t="inlineStr">
        <is>
          <t>인</t>
        </is>
      </c>
      <c r="E110" s="201" t="n"/>
      <c r="F110" s="201" t="n"/>
      <c r="G110" s="95">
        <f>$P$7</f>
        <v/>
      </c>
      <c r="H110" s="95">
        <f>ROUNDDOWN(G110*C110,0)</f>
        <v/>
      </c>
      <c r="I110" s="18" t="n"/>
      <c r="J110" s="18" t="n"/>
      <c r="K110" s="18" t="n"/>
      <c r="L110" s="18" t="n"/>
      <c r="M110" s="36" t="n"/>
      <c r="N110" s="87" t="n"/>
      <c r="O110" s="190" t="n"/>
      <c r="P110" s="189" t="n"/>
      <c r="Q110" s="202" t="n"/>
      <c r="R110" s="87" t="n"/>
    </row>
    <row r="111" ht="18" customHeight="1" s="140">
      <c r="A111" s="103" t="inlineStr">
        <is>
          <t>중급기술자</t>
        </is>
      </c>
      <c r="B111" s="18" t="n"/>
      <c r="C111" s="48">
        <f>'국토품_작업량'!K18</f>
        <v/>
      </c>
      <c r="D111" s="104" t="inlineStr">
        <is>
          <t>인</t>
        </is>
      </c>
      <c r="E111" s="201" t="n"/>
      <c r="F111" s="201" t="n"/>
      <c r="G111" s="95">
        <f>$P$8</f>
        <v/>
      </c>
      <c r="H111" s="95">
        <f>ROUNDDOWN(G111*C111,0)</f>
        <v/>
      </c>
      <c r="I111" s="18" t="n"/>
      <c r="J111" s="18" t="n"/>
      <c r="K111" s="18" t="n"/>
      <c r="L111" s="18" t="n"/>
      <c r="M111" s="36" t="n"/>
      <c r="N111" s="87" t="n"/>
      <c r="O111" s="200" t="n"/>
      <c r="P111" s="203" t="n"/>
      <c r="Q111" s="202" t="n"/>
      <c r="R111" s="87" t="n"/>
    </row>
    <row r="112" ht="18" customHeight="1" s="140">
      <c r="A112" s="103" t="inlineStr">
        <is>
          <t>초급기술자</t>
        </is>
      </c>
      <c r="B112" s="18" t="n"/>
      <c r="C112" s="48">
        <f>'국토품_작업량'!L18</f>
        <v/>
      </c>
      <c r="D112" s="104" t="inlineStr">
        <is>
          <t>인</t>
        </is>
      </c>
      <c r="E112" s="201" t="n"/>
      <c r="F112" s="201" t="n"/>
      <c r="G112" s="95">
        <f>$P$9</f>
        <v/>
      </c>
      <c r="H112" s="95">
        <f>ROUNDDOWN(G112*C112,0)</f>
        <v/>
      </c>
      <c r="I112" s="18" t="n"/>
      <c r="J112" s="18" t="n"/>
      <c r="K112" s="18" t="n"/>
      <c r="L112" s="18" t="n"/>
      <c r="M112" s="36" t="n"/>
      <c r="N112" s="87" t="n"/>
      <c r="O112" s="200" t="n"/>
      <c r="P112" s="203" t="n"/>
      <c r="Q112" s="202" t="n"/>
      <c r="R112" s="87" t="n"/>
    </row>
    <row r="113" ht="18" customHeight="1" s="140">
      <c r="A113" s="47">
        <f>'국토품_작업량'!A19</f>
        <v/>
      </c>
      <c r="B113" s="18" t="n"/>
      <c r="C113" s="48" t="n"/>
      <c r="D113" s="18" t="n"/>
      <c r="E113" s="18" t="n"/>
      <c r="F113" s="18" t="n"/>
      <c r="G113" s="18" t="n"/>
      <c r="H113" s="95">
        <f>SUM(H114:H118)</f>
        <v/>
      </c>
      <c r="I113" s="18" t="n"/>
      <c r="J113" s="18" t="n"/>
      <c r="K113" s="18" t="n"/>
      <c r="L113" s="18" t="n"/>
      <c r="M113" s="36" t="n"/>
      <c r="N113" s="87" t="n"/>
      <c r="O113" s="190" t="n"/>
      <c r="P113" s="189" t="n"/>
      <c r="Q113" s="200" t="n"/>
      <c r="R113" s="87" t="n"/>
    </row>
    <row r="114" ht="18" customHeight="1" s="140">
      <c r="A114" s="103" t="inlineStr">
        <is>
          <t>기  술  사</t>
        </is>
      </c>
      <c r="B114" s="18" t="n"/>
      <c r="C114" s="48">
        <f>'국토품_작업량'!H19</f>
        <v/>
      </c>
      <c r="D114" s="104" t="inlineStr">
        <is>
          <t>인</t>
        </is>
      </c>
      <c r="E114" s="18" t="n"/>
      <c r="F114" s="18" t="n"/>
      <c r="G114" s="95">
        <f>$P$5</f>
        <v/>
      </c>
      <c r="H114" s="95">
        <f>ROUNDDOWN(G114*C114,0)</f>
        <v/>
      </c>
      <c r="I114" s="18" t="n"/>
      <c r="J114" s="18" t="n"/>
      <c r="K114" s="18" t="n"/>
      <c r="L114" s="18" t="n"/>
      <c r="M114" s="36" t="n"/>
      <c r="N114" s="87" t="n"/>
      <c r="O114" s="190" t="n"/>
      <c r="P114" s="189" t="n"/>
      <c r="Q114" s="200" t="n"/>
      <c r="R114" s="87" t="n"/>
    </row>
    <row r="115" ht="18" customHeight="1" s="140">
      <c r="A115" s="103" t="inlineStr">
        <is>
          <t>특급기술자</t>
        </is>
      </c>
      <c r="B115" s="18" t="n"/>
      <c r="C115" s="48">
        <f>'국토품_작업량'!I19</f>
        <v/>
      </c>
      <c r="D115" s="104" t="inlineStr">
        <is>
          <t>인</t>
        </is>
      </c>
      <c r="E115" s="201" t="n"/>
      <c r="F115" s="201" t="n"/>
      <c r="G115" s="95">
        <f>$P$6</f>
        <v/>
      </c>
      <c r="H115" s="95">
        <f>ROUNDDOWN(G115*C115,0)</f>
        <v/>
      </c>
      <c r="I115" s="18" t="n"/>
      <c r="J115" s="18" t="n"/>
      <c r="K115" s="18" t="n"/>
      <c r="L115" s="18" t="n"/>
      <c r="M115" s="36" t="n"/>
      <c r="N115" s="87" t="n"/>
      <c r="O115" s="190" t="n"/>
      <c r="P115" s="189" t="n"/>
      <c r="Q115" s="202" t="n"/>
      <c r="R115" s="87" t="n"/>
    </row>
    <row r="116" ht="18" customHeight="1" s="140">
      <c r="A116" s="103" t="inlineStr">
        <is>
          <t>고급기술자</t>
        </is>
      </c>
      <c r="B116" s="18" t="n"/>
      <c r="C116" s="48">
        <f>'국토품_작업량'!J19</f>
        <v/>
      </c>
      <c r="D116" s="104" t="inlineStr">
        <is>
          <t>인</t>
        </is>
      </c>
      <c r="E116" s="201" t="n"/>
      <c r="F116" s="201" t="n"/>
      <c r="G116" s="95">
        <f>$P$7</f>
        <v/>
      </c>
      <c r="H116" s="95">
        <f>ROUNDDOWN(G116*C116,0)</f>
        <v/>
      </c>
      <c r="I116" s="18" t="n"/>
      <c r="J116" s="18" t="n"/>
      <c r="K116" s="18" t="n"/>
      <c r="L116" s="18" t="n"/>
      <c r="M116" s="36" t="n"/>
      <c r="N116" s="87" t="n"/>
      <c r="O116" s="190" t="n"/>
      <c r="P116" s="189" t="n"/>
      <c r="Q116" s="202" t="n"/>
      <c r="R116" s="87" t="n"/>
    </row>
    <row r="117" ht="18" customHeight="1" s="140">
      <c r="A117" s="103" t="inlineStr">
        <is>
          <t>중급기술자</t>
        </is>
      </c>
      <c r="B117" s="18" t="n"/>
      <c r="C117" s="48">
        <f>'국토품_작업량'!K19</f>
        <v/>
      </c>
      <c r="D117" s="104" t="inlineStr">
        <is>
          <t>인</t>
        </is>
      </c>
      <c r="E117" s="201" t="n"/>
      <c r="F117" s="201" t="n"/>
      <c r="G117" s="95">
        <f>$P$8</f>
        <v/>
      </c>
      <c r="H117" s="95">
        <f>ROUNDDOWN(G117*C117,0)</f>
        <v/>
      </c>
      <c r="I117" s="18" t="n"/>
      <c r="J117" s="18" t="n"/>
      <c r="K117" s="18" t="n"/>
      <c r="L117" s="18" t="n"/>
      <c r="M117" s="36" t="n"/>
      <c r="N117" s="87" t="n"/>
      <c r="O117" s="200" t="n"/>
      <c r="P117" s="203" t="n"/>
      <c r="Q117" s="202" t="n"/>
      <c r="R117" s="87" t="n"/>
    </row>
    <row r="118" ht="18" customHeight="1" s="140">
      <c r="A118" s="103" t="inlineStr">
        <is>
          <t>초급기술자</t>
        </is>
      </c>
      <c r="B118" s="18" t="n"/>
      <c r="C118" s="48">
        <f>'국토품_작업량'!L19</f>
        <v/>
      </c>
      <c r="D118" s="104" t="inlineStr">
        <is>
          <t>인</t>
        </is>
      </c>
      <c r="E118" s="201" t="n"/>
      <c r="F118" s="201" t="n"/>
      <c r="G118" s="95">
        <f>$P$9</f>
        <v/>
      </c>
      <c r="H118" s="95">
        <f>ROUNDDOWN(G118*C118,0)</f>
        <v/>
      </c>
      <c r="I118" s="18" t="n"/>
      <c r="J118" s="18" t="n"/>
      <c r="K118" s="18" t="n"/>
      <c r="L118" s="18" t="n"/>
      <c r="M118" s="36" t="n"/>
      <c r="N118" s="87" t="n"/>
      <c r="O118" s="200" t="n"/>
      <c r="P118" s="203" t="n"/>
      <c r="Q118" s="202" t="n"/>
      <c r="R118" s="87" t="n"/>
    </row>
    <row r="119" ht="18" customHeight="1" s="140">
      <c r="A119" s="244" t="n"/>
      <c r="B119" s="245" t="n"/>
      <c r="C119" s="94" t="n"/>
      <c r="D119" s="40" t="n"/>
      <c r="E119" s="108" t="n"/>
      <c r="F119" s="245" t="n"/>
      <c r="G119" s="107" t="n"/>
      <c r="H119" s="102" t="n"/>
      <c r="I119" s="107" t="n"/>
      <c r="J119" s="107" t="n"/>
      <c r="K119" s="107" t="n"/>
      <c r="L119" s="107" t="n"/>
      <c r="M119" s="41" t="n"/>
      <c r="N119" s="87" t="n"/>
      <c r="O119" s="189" t="n"/>
      <c r="P119" s="189" t="n"/>
      <c r="Q119" s="190" t="n"/>
      <c r="R119" s="87" t="n"/>
    </row>
    <row r="120" ht="18" customHeight="1" s="140">
      <c r="A120" s="250">
        <f>'국토품_작업량'!A20</f>
        <v/>
      </c>
      <c r="B120" s="251" t="n"/>
      <c r="C120" s="252" t="n"/>
      <c r="D120" s="251" t="n"/>
      <c r="E120" s="251" t="n"/>
      <c r="F120" s="251" t="n"/>
      <c r="G120" s="251" t="n"/>
      <c r="H120" s="253">
        <f>H121+H127+H133+H139</f>
        <v/>
      </c>
      <c r="I120" s="251" t="n"/>
      <c r="J120" s="251" t="n"/>
      <c r="K120" s="251" t="n"/>
      <c r="L120" s="251" t="n"/>
      <c r="M120" s="65" t="n"/>
      <c r="N120" s="87" t="n"/>
      <c r="O120" s="190" t="n"/>
      <c r="P120" s="189" t="n"/>
      <c r="Q120" s="200" t="n"/>
      <c r="R120" s="87" t="n"/>
    </row>
    <row r="121" ht="18" customHeight="1" s="140">
      <c r="A121" s="47">
        <f>'국토품_작업량'!A21</f>
        <v/>
      </c>
      <c r="B121" s="18" t="n"/>
      <c r="C121" s="48" t="n"/>
      <c r="D121" s="18" t="n"/>
      <c r="E121" s="18" t="n"/>
      <c r="F121" s="18" t="n"/>
      <c r="G121" s="18" t="n"/>
      <c r="H121" s="95">
        <f>SUM(H122:H126)</f>
        <v/>
      </c>
      <c r="I121" s="18" t="n"/>
      <c r="J121" s="18" t="n"/>
      <c r="K121" s="18" t="n"/>
      <c r="L121" s="18" t="n"/>
      <c r="M121" s="36" t="n"/>
      <c r="N121" s="87" t="n"/>
      <c r="O121" s="190" t="n"/>
      <c r="P121" s="189" t="n"/>
      <c r="Q121" s="200" t="n"/>
      <c r="R121" s="87" t="n"/>
    </row>
    <row r="122" ht="18" customHeight="1" s="140">
      <c r="A122" s="103" t="inlineStr">
        <is>
          <t>기  술  사</t>
        </is>
      </c>
      <c r="B122" s="18" t="n"/>
      <c r="C122" s="48">
        <f>'국토품_작업량'!H21</f>
        <v/>
      </c>
      <c r="D122" s="104" t="inlineStr">
        <is>
          <t>인</t>
        </is>
      </c>
      <c r="E122" s="18" t="n"/>
      <c r="F122" s="18" t="n"/>
      <c r="G122" s="95">
        <f>$P$5</f>
        <v/>
      </c>
      <c r="H122" s="95">
        <f>ROUNDDOWN(G122*C122,0)</f>
        <v/>
      </c>
      <c r="I122" s="18" t="n"/>
      <c r="J122" s="18" t="n"/>
      <c r="K122" s="18" t="n"/>
      <c r="L122" s="18" t="n"/>
      <c r="M122" s="36" t="n"/>
      <c r="N122" s="87" t="n"/>
      <c r="O122" s="190" t="n"/>
      <c r="P122" s="189" t="n"/>
      <c r="Q122" s="200" t="n"/>
      <c r="R122" s="87" t="n"/>
    </row>
    <row r="123" ht="18" customHeight="1" s="140">
      <c r="A123" s="103" t="inlineStr">
        <is>
          <t>특급기술자</t>
        </is>
      </c>
      <c r="B123" s="18" t="n"/>
      <c r="C123" s="48">
        <f>'국토품_작업량'!I21</f>
        <v/>
      </c>
      <c r="D123" s="104" t="inlineStr">
        <is>
          <t>인</t>
        </is>
      </c>
      <c r="E123" s="201" t="n"/>
      <c r="F123" s="201" t="n"/>
      <c r="G123" s="95">
        <f>$P$6</f>
        <v/>
      </c>
      <c r="H123" s="95">
        <f>ROUNDDOWN(G123*C123,0)</f>
        <v/>
      </c>
      <c r="I123" s="18" t="n"/>
      <c r="J123" s="18" t="n"/>
      <c r="K123" s="18" t="n"/>
      <c r="L123" s="18" t="n"/>
      <c r="M123" s="36" t="n"/>
      <c r="N123" s="87" t="n"/>
      <c r="O123" s="190" t="n"/>
      <c r="P123" s="189" t="n"/>
      <c r="Q123" s="202" t="n"/>
      <c r="R123" s="87" t="n"/>
    </row>
    <row r="124" ht="18" customHeight="1" s="140">
      <c r="A124" s="103" t="inlineStr">
        <is>
          <t>고급기술자</t>
        </is>
      </c>
      <c r="B124" s="18" t="n"/>
      <c r="C124" s="48">
        <f>'국토품_작업량'!J21</f>
        <v/>
      </c>
      <c r="D124" s="104" t="inlineStr">
        <is>
          <t>인</t>
        </is>
      </c>
      <c r="E124" s="201" t="n"/>
      <c r="F124" s="201" t="n"/>
      <c r="G124" s="95">
        <f>$P$7</f>
        <v/>
      </c>
      <c r="H124" s="95">
        <f>ROUNDDOWN(G124*C124,0)</f>
        <v/>
      </c>
      <c r="I124" s="18" t="n"/>
      <c r="J124" s="18" t="n"/>
      <c r="K124" s="18" t="n"/>
      <c r="L124" s="18" t="n"/>
      <c r="M124" s="36" t="n"/>
      <c r="N124" s="87" t="n"/>
      <c r="O124" s="190" t="n"/>
      <c r="P124" s="189" t="n"/>
      <c r="Q124" s="202" t="n"/>
      <c r="R124" s="87" t="n"/>
    </row>
    <row r="125" ht="18" customHeight="1" s="140">
      <c r="A125" s="103" t="inlineStr">
        <is>
          <t>중급기술자</t>
        </is>
      </c>
      <c r="B125" s="18" t="n"/>
      <c r="C125" s="48">
        <f>'국토품_작업량'!K21</f>
        <v/>
      </c>
      <c r="D125" s="104" t="inlineStr">
        <is>
          <t>인</t>
        </is>
      </c>
      <c r="E125" s="201" t="n"/>
      <c r="F125" s="201" t="n"/>
      <c r="G125" s="95">
        <f>$P$8</f>
        <v/>
      </c>
      <c r="H125" s="95">
        <f>ROUNDDOWN(G125*C125,0)</f>
        <v/>
      </c>
      <c r="I125" s="18" t="n"/>
      <c r="J125" s="18" t="n"/>
      <c r="K125" s="18" t="n"/>
      <c r="L125" s="18" t="n"/>
      <c r="M125" s="36" t="n"/>
      <c r="N125" s="87" t="n"/>
      <c r="O125" s="200" t="n"/>
      <c r="P125" s="203" t="n"/>
      <c r="Q125" s="202" t="n"/>
      <c r="R125" s="87" t="n"/>
    </row>
    <row r="126" ht="18" customHeight="1" s="140">
      <c r="A126" s="103" t="inlineStr">
        <is>
          <t>초급기술자</t>
        </is>
      </c>
      <c r="B126" s="18" t="n"/>
      <c r="C126" s="48">
        <f>'국토품_작업량'!L21</f>
        <v/>
      </c>
      <c r="D126" s="104" t="inlineStr">
        <is>
          <t>인</t>
        </is>
      </c>
      <c r="E126" s="201" t="n"/>
      <c r="F126" s="201" t="n"/>
      <c r="G126" s="95">
        <f>$P$9</f>
        <v/>
      </c>
      <c r="H126" s="95">
        <f>ROUNDDOWN(G126*C126,0)</f>
        <v/>
      </c>
      <c r="I126" s="18" t="n"/>
      <c r="J126" s="18" t="n"/>
      <c r="K126" s="18" t="n"/>
      <c r="L126" s="18" t="n"/>
      <c r="M126" s="36" t="n"/>
      <c r="N126" s="87" t="n"/>
      <c r="O126" s="200" t="n"/>
      <c r="P126" s="203" t="n"/>
      <c r="Q126" s="202" t="n"/>
      <c r="R126" s="87" t="n"/>
    </row>
    <row r="127" ht="18" customHeight="1" s="140">
      <c r="A127" s="47">
        <f>'국토품_작업량'!A22</f>
        <v/>
      </c>
      <c r="B127" s="18" t="n"/>
      <c r="C127" s="48" t="n"/>
      <c r="D127" s="18" t="n"/>
      <c r="E127" s="18" t="n"/>
      <c r="F127" s="18" t="n"/>
      <c r="G127" s="18" t="n"/>
      <c r="H127" s="95">
        <f>SUM(H128:H132)</f>
        <v/>
      </c>
      <c r="I127" s="18" t="n"/>
      <c r="J127" s="18" t="n"/>
      <c r="K127" s="18" t="n"/>
      <c r="L127" s="18" t="n"/>
      <c r="M127" s="36" t="n"/>
      <c r="N127" s="87" t="n"/>
      <c r="O127" s="190" t="n"/>
      <c r="P127" s="189" t="n"/>
      <c r="Q127" s="200" t="n"/>
      <c r="R127" s="87" t="n"/>
    </row>
    <row r="128" ht="18" customHeight="1" s="140">
      <c r="A128" s="103" t="inlineStr">
        <is>
          <t>기  술  사</t>
        </is>
      </c>
      <c r="B128" s="18" t="n"/>
      <c r="C128" s="48">
        <f>'국토품_작업량'!H22</f>
        <v/>
      </c>
      <c r="D128" s="104" t="inlineStr">
        <is>
          <t>인</t>
        </is>
      </c>
      <c r="E128" s="18" t="n"/>
      <c r="F128" s="18" t="n"/>
      <c r="G128" s="95">
        <f>$P$5</f>
        <v/>
      </c>
      <c r="H128" s="95">
        <f>ROUNDDOWN(G128*C128,0)</f>
        <v/>
      </c>
      <c r="I128" s="18" t="n"/>
      <c r="J128" s="18" t="n"/>
      <c r="K128" s="18" t="n"/>
      <c r="L128" s="18" t="n"/>
      <c r="M128" s="36" t="n"/>
      <c r="N128" s="87" t="n"/>
      <c r="O128" s="190" t="n"/>
      <c r="P128" s="189" t="n"/>
      <c r="Q128" s="200" t="n"/>
      <c r="R128" s="87" t="n"/>
    </row>
    <row r="129" ht="18" customHeight="1" s="140">
      <c r="A129" s="103" t="inlineStr">
        <is>
          <t>특급기술자</t>
        </is>
      </c>
      <c r="B129" s="18" t="n"/>
      <c r="C129" s="48">
        <f>'국토품_작업량'!I22</f>
        <v/>
      </c>
      <c r="D129" s="104" t="inlineStr">
        <is>
          <t>인</t>
        </is>
      </c>
      <c r="E129" s="201" t="n"/>
      <c r="F129" s="201" t="n"/>
      <c r="G129" s="95">
        <f>$P$6</f>
        <v/>
      </c>
      <c r="H129" s="95">
        <f>ROUNDDOWN(G129*C129,0)</f>
        <v/>
      </c>
      <c r="I129" s="18" t="n"/>
      <c r="J129" s="18" t="n"/>
      <c r="K129" s="18" t="n"/>
      <c r="L129" s="18" t="n"/>
      <c r="M129" s="36" t="n"/>
      <c r="N129" s="87" t="n"/>
      <c r="O129" s="190" t="n"/>
      <c r="P129" s="189" t="n"/>
      <c r="Q129" s="202" t="n"/>
      <c r="R129" s="87" t="n"/>
    </row>
    <row r="130" ht="18" customHeight="1" s="140">
      <c r="A130" s="103" t="inlineStr">
        <is>
          <t>고급기술자</t>
        </is>
      </c>
      <c r="B130" s="18" t="n"/>
      <c r="C130" s="48">
        <f>'국토품_작업량'!J22</f>
        <v/>
      </c>
      <c r="D130" s="104" t="inlineStr">
        <is>
          <t>인</t>
        </is>
      </c>
      <c r="E130" s="201" t="n"/>
      <c r="F130" s="201" t="n"/>
      <c r="G130" s="95">
        <f>$P$7</f>
        <v/>
      </c>
      <c r="H130" s="95">
        <f>ROUNDDOWN(G130*C130,0)</f>
        <v/>
      </c>
      <c r="I130" s="18" t="n"/>
      <c r="J130" s="18" t="n"/>
      <c r="K130" s="18" t="n"/>
      <c r="L130" s="18" t="n"/>
      <c r="M130" s="36" t="n"/>
      <c r="N130" s="87" t="n"/>
      <c r="O130" s="190" t="n"/>
      <c r="P130" s="189" t="n"/>
      <c r="Q130" s="202" t="n"/>
      <c r="R130" s="87" t="n"/>
    </row>
    <row r="131" ht="18" customHeight="1" s="140">
      <c r="A131" s="103" t="inlineStr">
        <is>
          <t>중급기술자</t>
        </is>
      </c>
      <c r="B131" s="18" t="n"/>
      <c r="C131" s="48">
        <f>'국토품_작업량'!K22</f>
        <v/>
      </c>
      <c r="D131" s="104" t="inlineStr">
        <is>
          <t>인</t>
        </is>
      </c>
      <c r="E131" s="201" t="n"/>
      <c r="F131" s="201" t="n"/>
      <c r="G131" s="95">
        <f>$P$8</f>
        <v/>
      </c>
      <c r="H131" s="95">
        <f>ROUNDDOWN(G131*C131,0)</f>
        <v/>
      </c>
      <c r="I131" s="18" t="n"/>
      <c r="J131" s="18" t="n"/>
      <c r="K131" s="18" t="n"/>
      <c r="L131" s="18" t="n"/>
      <c r="M131" s="36" t="n"/>
      <c r="N131" s="87" t="n"/>
      <c r="O131" s="200" t="n"/>
      <c r="P131" s="203" t="n"/>
      <c r="Q131" s="202" t="n"/>
      <c r="R131" s="87" t="n"/>
    </row>
    <row r="132" ht="18" customHeight="1" s="140">
      <c r="A132" s="103" t="inlineStr">
        <is>
          <t>초급기술자</t>
        </is>
      </c>
      <c r="B132" s="18" t="n"/>
      <c r="C132" s="48">
        <f>'국토품_작업량'!L22</f>
        <v/>
      </c>
      <c r="D132" s="104" t="inlineStr">
        <is>
          <t>인</t>
        </is>
      </c>
      <c r="E132" s="201" t="n"/>
      <c r="F132" s="201" t="n"/>
      <c r="G132" s="95">
        <f>$P$9</f>
        <v/>
      </c>
      <c r="H132" s="95">
        <f>ROUNDDOWN(G132*C132,0)</f>
        <v/>
      </c>
      <c r="I132" s="18" t="n"/>
      <c r="J132" s="18" t="n"/>
      <c r="K132" s="18" t="n"/>
      <c r="L132" s="18" t="n"/>
      <c r="M132" s="36" t="n"/>
      <c r="N132" s="87" t="n"/>
      <c r="O132" s="200" t="n"/>
      <c r="P132" s="203" t="n"/>
      <c r="Q132" s="202" t="n"/>
      <c r="R132" s="87" t="n"/>
    </row>
    <row r="133" ht="18" customHeight="1" s="140">
      <c r="A133" s="47">
        <f>'국토품_작업량'!A23</f>
        <v/>
      </c>
      <c r="B133" s="18" t="n"/>
      <c r="C133" s="48" t="n"/>
      <c r="D133" s="18" t="n"/>
      <c r="E133" s="18" t="n"/>
      <c r="F133" s="18" t="n"/>
      <c r="G133" s="18" t="n"/>
      <c r="H133" s="95">
        <f>SUM(H134:H138)</f>
        <v/>
      </c>
      <c r="I133" s="18" t="n"/>
      <c r="J133" s="18" t="n"/>
      <c r="K133" s="18" t="n"/>
      <c r="L133" s="18" t="n"/>
      <c r="M133" s="36" t="n"/>
      <c r="N133" s="87" t="n"/>
      <c r="O133" s="190" t="n"/>
      <c r="P133" s="189" t="n"/>
      <c r="Q133" s="200" t="n"/>
      <c r="R133" s="87" t="n"/>
    </row>
    <row r="134" ht="18" customHeight="1" s="140">
      <c r="A134" s="103" t="inlineStr">
        <is>
          <t>기  술  사</t>
        </is>
      </c>
      <c r="B134" s="18" t="n"/>
      <c r="C134" s="48">
        <f>'국토품_작업량'!H23</f>
        <v/>
      </c>
      <c r="D134" s="104" t="inlineStr">
        <is>
          <t>인</t>
        </is>
      </c>
      <c r="E134" s="18" t="n"/>
      <c r="F134" s="18" t="n"/>
      <c r="G134" s="95">
        <f>$P$5</f>
        <v/>
      </c>
      <c r="H134" s="95">
        <f>ROUNDDOWN(G134*C134,0)</f>
        <v/>
      </c>
      <c r="I134" s="18" t="n"/>
      <c r="J134" s="18" t="n"/>
      <c r="K134" s="18" t="n"/>
      <c r="L134" s="18" t="n"/>
      <c r="M134" s="36" t="n"/>
      <c r="N134" s="87" t="n"/>
      <c r="O134" s="190" t="n"/>
      <c r="P134" s="189" t="n"/>
      <c r="Q134" s="200" t="n"/>
      <c r="R134" s="87" t="n"/>
    </row>
    <row r="135" ht="18" customHeight="1" s="140">
      <c r="A135" s="103" t="inlineStr">
        <is>
          <t>특급기술자</t>
        </is>
      </c>
      <c r="B135" s="18" t="n"/>
      <c r="C135" s="48">
        <f>'국토품_작업량'!I23</f>
        <v/>
      </c>
      <c r="D135" s="104" t="inlineStr">
        <is>
          <t>인</t>
        </is>
      </c>
      <c r="E135" s="201" t="n"/>
      <c r="F135" s="201" t="n"/>
      <c r="G135" s="95">
        <f>$P$6</f>
        <v/>
      </c>
      <c r="H135" s="95">
        <f>ROUNDDOWN(G135*C135,0)</f>
        <v/>
      </c>
      <c r="I135" s="18" t="n"/>
      <c r="J135" s="18" t="n"/>
      <c r="K135" s="18" t="n"/>
      <c r="L135" s="18" t="n"/>
      <c r="M135" s="36" t="n"/>
      <c r="N135" s="87" t="n"/>
      <c r="O135" s="190" t="n"/>
      <c r="P135" s="189" t="n"/>
      <c r="Q135" s="202" t="n"/>
      <c r="R135" s="87" t="n"/>
    </row>
    <row r="136" ht="18" customHeight="1" s="140">
      <c r="A136" s="103" t="inlineStr">
        <is>
          <t>고급기술자</t>
        </is>
      </c>
      <c r="B136" s="18" t="n"/>
      <c r="C136" s="48">
        <f>'국토품_작업량'!J23</f>
        <v/>
      </c>
      <c r="D136" s="104" t="inlineStr">
        <is>
          <t>인</t>
        </is>
      </c>
      <c r="E136" s="201" t="n"/>
      <c r="F136" s="201" t="n"/>
      <c r="G136" s="95">
        <f>$P$7</f>
        <v/>
      </c>
      <c r="H136" s="95">
        <f>ROUNDDOWN(G136*C136,0)</f>
        <v/>
      </c>
      <c r="I136" s="18" t="n"/>
      <c r="J136" s="18" t="n"/>
      <c r="K136" s="18" t="n"/>
      <c r="L136" s="18" t="n"/>
      <c r="M136" s="36" t="n"/>
      <c r="N136" s="87" t="n"/>
      <c r="O136" s="190" t="n"/>
      <c r="P136" s="189" t="n"/>
      <c r="Q136" s="202" t="n"/>
      <c r="R136" s="87" t="n"/>
    </row>
    <row r="137" ht="18" customHeight="1" s="140">
      <c r="A137" s="103" t="inlineStr">
        <is>
          <t>중급기술자</t>
        </is>
      </c>
      <c r="B137" s="18" t="n"/>
      <c r="C137" s="48">
        <f>'국토품_작업량'!K23</f>
        <v/>
      </c>
      <c r="D137" s="104" t="inlineStr">
        <is>
          <t>인</t>
        </is>
      </c>
      <c r="E137" s="201" t="n"/>
      <c r="F137" s="201" t="n"/>
      <c r="G137" s="95">
        <f>$P$8</f>
        <v/>
      </c>
      <c r="H137" s="95">
        <f>ROUNDDOWN(G137*C137,0)</f>
        <v/>
      </c>
      <c r="I137" s="18" t="n"/>
      <c r="J137" s="18" t="n"/>
      <c r="K137" s="18" t="n"/>
      <c r="L137" s="18" t="n"/>
      <c r="M137" s="36" t="n"/>
      <c r="N137" s="87" t="n"/>
      <c r="O137" s="200" t="n"/>
      <c r="P137" s="203" t="n"/>
      <c r="Q137" s="202" t="n"/>
      <c r="R137" s="87" t="n"/>
    </row>
    <row r="138" ht="18" customHeight="1" s="140">
      <c r="A138" s="103" t="inlineStr">
        <is>
          <t>초급기술자</t>
        </is>
      </c>
      <c r="B138" s="18" t="n"/>
      <c r="C138" s="48">
        <f>'국토품_작업량'!L23</f>
        <v/>
      </c>
      <c r="D138" s="104" t="inlineStr">
        <is>
          <t>인</t>
        </is>
      </c>
      <c r="E138" s="201" t="n"/>
      <c r="F138" s="201" t="n"/>
      <c r="G138" s="95">
        <f>$P$9</f>
        <v/>
      </c>
      <c r="H138" s="95">
        <f>ROUNDDOWN(G138*C138,0)</f>
        <v/>
      </c>
      <c r="I138" s="18" t="n"/>
      <c r="J138" s="18" t="n"/>
      <c r="K138" s="18" t="n"/>
      <c r="L138" s="18" t="n"/>
      <c r="M138" s="36" t="n"/>
      <c r="N138" s="87" t="n"/>
      <c r="O138" s="200" t="n"/>
      <c r="P138" s="203" t="n"/>
      <c r="Q138" s="202" t="n"/>
      <c r="R138" s="87" t="n"/>
    </row>
    <row r="139" ht="18" customHeight="1" s="140">
      <c r="A139" s="47">
        <f>'국토품_작업량'!A24</f>
        <v/>
      </c>
      <c r="B139" s="18" t="n"/>
      <c r="C139" s="48" t="n"/>
      <c r="D139" s="18" t="n"/>
      <c r="E139" s="18" t="n"/>
      <c r="F139" s="18" t="n"/>
      <c r="G139" s="18" t="n"/>
      <c r="H139" s="95">
        <f>SUM(H140:H144)</f>
        <v/>
      </c>
      <c r="I139" s="18" t="n"/>
      <c r="J139" s="18" t="n"/>
      <c r="K139" s="18" t="n"/>
      <c r="L139" s="18" t="n"/>
      <c r="M139" s="36" t="n"/>
      <c r="N139" s="87" t="n"/>
      <c r="O139" s="190" t="n"/>
      <c r="P139" s="189" t="n"/>
      <c r="Q139" s="200" t="n"/>
      <c r="R139" s="87" t="n"/>
    </row>
    <row r="140" ht="18" customHeight="1" s="140">
      <c r="A140" s="103" t="inlineStr">
        <is>
          <t>기  술  사</t>
        </is>
      </c>
      <c r="B140" s="18" t="n"/>
      <c r="C140" s="48">
        <f>'국토품_작업량'!H24</f>
        <v/>
      </c>
      <c r="D140" s="104" t="inlineStr">
        <is>
          <t>인</t>
        </is>
      </c>
      <c r="E140" s="18" t="n"/>
      <c r="F140" s="18" t="n"/>
      <c r="G140" s="95">
        <f>$P$5</f>
        <v/>
      </c>
      <c r="H140" s="95">
        <f>ROUNDDOWN(G140*C140,0)</f>
        <v/>
      </c>
      <c r="I140" s="18" t="n"/>
      <c r="J140" s="18" t="n"/>
      <c r="K140" s="18" t="n"/>
      <c r="L140" s="18" t="n"/>
      <c r="M140" s="36" t="n"/>
      <c r="N140" s="87" t="n"/>
      <c r="O140" s="190" t="n"/>
      <c r="P140" s="189" t="n"/>
      <c r="Q140" s="200" t="n"/>
      <c r="R140" s="87" t="n"/>
    </row>
    <row r="141" ht="18" customHeight="1" s="140">
      <c r="A141" s="103" t="inlineStr">
        <is>
          <t>특급기술자</t>
        </is>
      </c>
      <c r="B141" s="18" t="n"/>
      <c r="C141" s="48">
        <f>'국토품_작업량'!I24</f>
        <v/>
      </c>
      <c r="D141" s="104" t="inlineStr">
        <is>
          <t>인</t>
        </is>
      </c>
      <c r="E141" s="201" t="n"/>
      <c r="F141" s="201" t="n"/>
      <c r="G141" s="95">
        <f>$P$6</f>
        <v/>
      </c>
      <c r="H141" s="95">
        <f>ROUNDDOWN(G141*C141,0)</f>
        <v/>
      </c>
      <c r="I141" s="18" t="n"/>
      <c r="J141" s="18" t="n"/>
      <c r="K141" s="18" t="n"/>
      <c r="L141" s="18" t="n"/>
      <c r="M141" s="36" t="n"/>
      <c r="N141" s="87" t="n"/>
      <c r="O141" s="190" t="n"/>
      <c r="P141" s="189" t="n"/>
      <c r="Q141" s="202" t="n"/>
      <c r="R141" s="87" t="n"/>
    </row>
    <row r="142" ht="18" customHeight="1" s="140">
      <c r="A142" s="103" t="inlineStr">
        <is>
          <t>고급기술자</t>
        </is>
      </c>
      <c r="B142" s="18" t="n"/>
      <c r="C142" s="48">
        <f>'국토품_작업량'!J24</f>
        <v/>
      </c>
      <c r="D142" s="104" t="inlineStr">
        <is>
          <t>인</t>
        </is>
      </c>
      <c r="E142" s="201" t="n"/>
      <c r="F142" s="201" t="n"/>
      <c r="G142" s="95">
        <f>$P$7</f>
        <v/>
      </c>
      <c r="H142" s="95">
        <f>ROUNDDOWN(G142*C142,0)</f>
        <v/>
      </c>
      <c r="I142" s="18" t="n"/>
      <c r="J142" s="18" t="n"/>
      <c r="K142" s="18" t="n"/>
      <c r="L142" s="18" t="n"/>
      <c r="M142" s="36" t="n"/>
      <c r="N142" s="87" t="n"/>
      <c r="O142" s="190" t="n"/>
      <c r="P142" s="189" t="n"/>
      <c r="Q142" s="202" t="n"/>
      <c r="R142" s="87" t="n"/>
    </row>
    <row r="143" ht="18" customHeight="1" s="140">
      <c r="A143" s="103" t="inlineStr">
        <is>
          <t>중급기술자</t>
        </is>
      </c>
      <c r="B143" s="18" t="n"/>
      <c r="C143" s="48">
        <f>'국토품_작업량'!K24</f>
        <v/>
      </c>
      <c r="D143" s="104" t="inlineStr">
        <is>
          <t>인</t>
        </is>
      </c>
      <c r="E143" s="201" t="n"/>
      <c r="F143" s="201" t="n"/>
      <c r="G143" s="95">
        <f>$P$8</f>
        <v/>
      </c>
      <c r="H143" s="95">
        <f>ROUNDDOWN(G143*C143,0)</f>
        <v/>
      </c>
      <c r="I143" s="18" t="n"/>
      <c r="J143" s="18" t="n"/>
      <c r="K143" s="18" t="n"/>
      <c r="L143" s="18" t="n"/>
      <c r="M143" s="36" t="n"/>
      <c r="N143" s="87" t="n"/>
      <c r="O143" s="200" t="n"/>
      <c r="P143" s="203" t="n"/>
      <c r="Q143" s="202" t="n"/>
      <c r="R143" s="87" t="n"/>
    </row>
    <row r="144" ht="18" customHeight="1" s="140">
      <c r="A144" s="103" t="inlineStr">
        <is>
          <t>초급기술자</t>
        </is>
      </c>
      <c r="B144" s="18" t="n"/>
      <c r="C144" s="48">
        <f>'국토품_작업량'!L24</f>
        <v/>
      </c>
      <c r="D144" s="104" t="inlineStr">
        <is>
          <t>인</t>
        </is>
      </c>
      <c r="E144" s="201" t="n"/>
      <c r="F144" s="201" t="n"/>
      <c r="G144" s="95">
        <f>$P$9</f>
        <v/>
      </c>
      <c r="H144" s="95">
        <f>ROUNDDOWN(G144*C144,0)</f>
        <v/>
      </c>
      <c r="I144" s="18" t="n"/>
      <c r="J144" s="18" t="n"/>
      <c r="K144" s="18" t="n"/>
      <c r="L144" s="18" t="n"/>
      <c r="M144" s="36" t="n"/>
      <c r="N144" s="87" t="n"/>
      <c r="O144" s="200" t="n"/>
      <c r="P144" s="203" t="n"/>
      <c r="Q144" s="202" t="n"/>
      <c r="R144" s="87" t="n"/>
    </row>
    <row r="145" ht="18" customHeight="1" s="140">
      <c r="A145" s="244" t="n"/>
      <c r="B145" s="245" t="n"/>
      <c r="C145" s="94" t="n"/>
      <c r="D145" s="40" t="n"/>
      <c r="E145" s="108" t="n"/>
      <c r="F145" s="245" t="n"/>
      <c r="G145" s="107" t="n"/>
      <c r="H145" s="102" t="n"/>
      <c r="I145" s="107" t="n"/>
      <c r="J145" s="107" t="n"/>
      <c r="K145" s="107" t="n"/>
      <c r="L145" s="107" t="n"/>
      <c r="M145" s="41" t="n"/>
      <c r="N145" s="87" t="n"/>
      <c r="O145" s="189" t="n"/>
      <c r="P145" s="189" t="n"/>
      <c r="Q145" s="190" t="n"/>
      <c r="R145" s="87" t="n"/>
    </row>
    <row r="146" ht="18" customHeight="1" s="140">
      <c r="A146" s="250">
        <f>'국토품_작업량'!A25</f>
        <v/>
      </c>
      <c r="B146" s="251" t="n"/>
      <c r="C146" s="252" t="n"/>
      <c r="D146" s="251" t="n"/>
      <c r="E146" s="251" t="n"/>
      <c r="F146" s="251" t="n"/>
      <c r="G146" s="251" t="n"/>
      <c r="H146" s="253">
        <f>H147+H153+H159+H165+H171+H177</f>
        <v/>
      </c>
      <c r="I146" s="251" t="n"/>
      <c r="J146" s="251" t="n"/>
      <c r="K146" s="251" t="n"/>
      <c r="L146" s="251" t="n"/>
      <c r="M146" s="65" t="n"/>
      <c r="N146" s="87" t="n"/>
      <c r="O146" s="190" t="n"/>
      <c r="P146" s="189" t="n"/>
      <c r="Q146" s="200" t="n"/>
      <c r="R146" s="87" t="n"/>
    </row>
    <row r="147" ht="18" customHeight="1" s="140">
      <c r="A147" s="47">
        <f>'국토품_작업량'!A26</f>
        <v/>
      </c>
      <c r="B147" s="18" t="n"/>
      <c r="C147" s="48" t="n"/>
      <c r="D147" s="18" t="n"/>
      <c r="E147" s="18" t="n"/>
      <c r="F147" s="18" t="n"/>
      <c r="G147" s="18" t="n"/>
      <c r="H147" s="95">
        <f>SUM(H148:H152)</f>
        <v/>
      </c>
      <c r="I147" s="18" t="n"/>
      <c r="J147" s="18" t="n"/>
      <c r="K147" s="18" t="n"/>
      <c r="L147" s="18" t="n"/>
      <c r="M147" s="36" t="n"/>
      <c r="N147" s="87" t="n"/>
      <c r="O147" s="190" t="n"/>
      <c r="P147" s="189" t="n"/>
      <c r="Q147" s="200" t="n"/>
      <c r="R147" s="87" t="n"/>
    </row>
    <row r="148" ht="18" customHeight="1" s="140">
      <c r="A148" s="103" t="inlineStr">
        <is>
          <t>기  술  사</t>
        </is>
      </c>
      <c r="B148" s="18" t="n"/>
      <c r="C148" s="48">
        <f>'국토품_작업량'!H26</f>
        <v/>
      </c>
      <c r="D148" s="104" t="inlineStr">
        <is>
          <t>인</t>
        </is>
      </c>
      <c r="E148" s="18" t="n"/>
      <c r="F148" s="18" t="n"/>
      <c r="G148" s="95">
        <f>$P$5</f>
        <v/>
      </c>
      <c r="H148" s="95">
        <f>ROUNDDOWN(G148*C148,0)</f>
        <v/>
      </c>
      <c r="I148" s="18" t="n"/>
      <c r="J148" s="18" t="n"/>
      <c r="K148" s="18" t="n"/>
      <c r="L148" s="18" t="n"/>
      <c r="M148" s="36" t="n"/>
      <c r="N148" s="87" t="n"/>
      <c r="O148" s="190" t="n"/>
      <c r="P148" s="189" t="n"/>
      <c r="Q148" s="200" t="n"/>
      <c r="R148" s="87" t="n"/>
    </row>
    <row r="149" ht="18" customHeight="1" s="140">
      <c r="A149" s="103" t="inlineStr">
        <is>
          <t>특급기술자</t>
        </is>
      </c>
      <c r="B149" s="18" t="n"/>
      <c r="C149" s="48">
        <f>'국토품_작업량'!I26</f>
        <v/>
      </c>
      <c r="D149" s="104" t="inlineStr">
        <is>
          <t>인</t>
        </is>
      </c>
      <c r="E149" s="201" t="n"/>
      <c r="F149" s="201" t="n"/>
      <c r="G149" s="95">
        <f>$P$6</f>
        <v/>
      </c>
      <c r="H149" s="95">
        <f>ROUNDDOWN(G149*C149,0)</f>
        <v/>
      </c>
      <c r="I149" s="18" t="n"/>
      <c r="J149" s="18" t="n"/>
      <c r="K149" s="18" t="n"/>
      <c r="L149" s="18" t="n"/>
      <c r="M149" s="36" t="n"/>
      <c r="N149" s="87" t="n"/>
      <c r="O149" s="190" t="n"/>
      <c r="P149" s="189" t="n"/>
      <c r="Q149" s="202" t="n"/>
      <c r="R149" s="87" t="n"/>
    </row>
    <row r="150" ht="18" customHeight="1" s="140">
      <c r="A150" s="103" t="inlineStr">
        <is>
          <t>고급기술자</t>
        </is>
      </c>
      <c r="B150" s="18" t="n"/>
      <c r="C150" s="48">
        <f>'국토품_작업량'!J26</f>
        <v/>
      </c>
      <c r="D150" s="104" t="inlineStr">
        <is>
          <t>인</t>
        </is>
      </c>
      <c r="E150" s="201" t="n"/>
      <c r="F150" s="201" t="n"/>
      <c r="G150" s="95">
        <f>$P$7</f>
        <v/>
      </c>
      <c r="H150" s="95">
        <f>ROUNDDOWN(G150*C150,0)</f>
        <v/>
      </c>
      <c r="I150" s="18" t="n"/>
      <c r="J150" s="18" t="n"/>
      <c r="K150" s="18" t="n"/>
      <c r="L150" s="18" t="n"/>
      <c r="M150" s="36" t="n"/>
      <c r="N150" s="87" t="n"/>
      <c r="O150" s="190" t="n"/>
      <c r="P150" s="189" t="n"/>
      <c r="Q150" s="202" t="n"/>
      <c r="R150" s="87" t="n"/>
    </row>
    <row r="151" ht="18" customHeight="1" s="140">
      <c r="A151" s="103" t="inlineStr">
        <is>
          <t>중급기술자</t>
        </is>
      </c>
      <c r="B151" s="18" t="n"/>
      <c r="C151" s="48">
        <f>'국토품_작업량'!K26</f>
        <v/>
      </c>
      <c r="D151" s="104" t="inlineStr">
        <is>
          <t>인</t>
        </is>
      </c>
      <c r="E151" s="201" t="n"/>
      <c r="F151" s="201" t="n"/>
      <c r="G151" s="95">
        <f>$P$8</f>
        <v/>
      </c>
      <c r="H151" s="95">
        <f>ROUNDDOWN(G151*C151,0)</f>
        <v/>
      </c>
      <c r="I151" s="18" t="n"/>
      <c r="J151" s="18" t="n"/>
      <c r="K151" s="18" t="n"/>
      <c r="L151" s="18" t="n"/>
      <c r="M151" s="36" t="n"/>
      <c r="N151" s="87" t="n"/>
      <c r="O151" s="200" t="n"/>
      <c r="P151" s="203" t="n"/>
      <c r="Q151" s="202" t="n"/>
      <c r="R151" s="87" t="n"/>
    </row>
    <row r="152" ht="18" customHeight="1" s="140">
      <c r="A152" s="103" t="inlineStr">
        <is>
          <t>초급기술자</t>
        </is>
      </c>
      <c r="B152" s="18" t="n"/>
      <c r="C152" s="48">
        <f>'국토품_작업량'!L26</f>
        <v/>
      </c>
      <c r="D152" s="104" t="inlineStr">
        <is>
          <t>인</t>
        </is>
      </c>
      <c r="E152" s="201" t="n"/>
      <c r="F152" s="201" t="n"/>
      <c r="G152" s="95">
        <f>$P$9</f>
        <v/>
      </c>
      <c r="H152" s="95">
        <f>ROUNDDOWN(G152*C152,0)</f>
        <v/>
      </c>
      <c r="I152" s="18" t="n"/>
      <c r="J152" s="18" t="n"/>
      <c r="K152" s="18" t="n"/>
      <c r="L152" s="18" t="n"/>
      <c r="M152" s="36" t="n"/>
      <c r="N152" s="87" t="n"/>
      <c r="O152" s="200" t="n"/>
      <c r="P152" s="203" t="n"/>
      <c r="Q152" s="202" t="n"/>
      <c r="R152" s="87" t="n"/>
    </row>
    <row r="153" ht="18" customHeight="1" s="140">
      <c r="A153" s="47">
        <f>'국토품_작업량'!A27</f>
        <v/>
      </c>
      <c r="B153" s="18" t="n"/>
      <c r="C153" s="48" t="n"/>
      <c r="D153" s="18" t="n"/>
      <c r="E153" s="18" t="n"/>
      <c r="F153" s="18" t="n"/>
      <c r="G153" s="18" t="n"/>
      <c r="H153" s="95">
        <f>SUM(H154:H158)</f>
        <v/>
      </c>
      <c r="I153" s="18" t="n"/>
      <c r="J153" s="18" t="n"/>
      <c r="K153" s="18" t="n"/>
      <c r="L153" s="18" t="n"/>
      <c r="M153" s="36" t="n"/>
      <c r="N153" s="87" t="n"/>
      <c r="O153" s="190" t="n"/>
      <c r="P153" s="189" t="n"/>
      <c r="Q153" s="200" t="n"/>
      <c r="R153" s="87" t="n"/>
    </row>
    <row r="154" ht="18" customHeight="1" s="140">
      <c r="A154" s="103" t="inlineStr">
        <is>
          <t>기  술  사</t>
        </is>
      </c>
      <c r="B154" s="18" t="n"/>
      <c r="C154" s="48">
        <f>'국토품_작업량'!H27</f>
        <v/>
      </c>
      <c r="D154" s="104" t="inlineStr">
        <is>
          <t>인</t>
        </is>
      </c>
      <c r="E154" s="18" t="n"/>
      <c r="F154" s="18" t="n"/>
      <c r="G154" s="95">
        <f>$P$5</f>
        <v/>
      </c>
      <c r="H154" s="95">
        <f>ROUNDDOWN(G154*C154,0)</f>
        <v/>
      </c>
      <c r="I154" s="18" t="n"/>
      <c r="J154" s="18" t="n"/>
      <c r="K154" s="18" t="n"/>
      <c r="L154" s="18" t="n"/>
      <c r="M154" s="36" t="n"/>
      <c r="N154" s="87" t="n"/>
      <c r="O154" s="190" t="n"/>
      <c r="P154" s="189" t="n"/>
      <c r="Q154" s="200" t="n"/>
      <c r="R154" s="87" t="n"/>
    </row>
    <row r="155" ht="18" customHeight="1" s="140">
      <c r="A155" s="103" t="inlineStr">
        <is>
          <t>특급기술자</t>
        </is>
      </c>
      <c r="B155" s="18" t="n"/>
      <c r="C155" s="48">
        <f>'국토품_작업량'!I27</f>
        <v/>
      </c>
      <c r="D155" s="104" t="inlineStr">
        <is>
          <t>인</t>
        </is>
      </c>
      <c r="E155" s="201" t="n"/>
      <c r="F155" s="201" t="n"/>
      <c r="G155" s="95">
        <f>$P$6</f>
        <v/>
      </c>
      <c r="H155" s="95">
        <f>ROUNDDOWN(G155*C155,0)</f>
        <v/>
      </c>
      <c r="I155" s="18" t="n"/>
      <c r="J155" s="18" t="n"/>
      <c r="K155" s="18" t="n"/>
      <c r="L155" s="18" t="n"/>
      <c r="M155" s="36" t="n"/>
      <c r="N155" s="87" t="n"/>
      <c r="O155" s="190" t="n"/>
      <c r="P155" s="189" t="n"/>
      <c r="Q155" s="202" t="n"/>
      <c r="R155" s="87" t="n"/>
    </row>
    <row r="156" ht="18" customHeight="1" s="140">
      <c r="A156" s="103" t="inlineStr">
        <is>
          <t>고급기술자</t>
        </is>
      </c>
      <c r="B156" s="18" t="n"/>
      <c r="C156" s="48">
        <f>'국토품_작업량'!J27</f>
        <v/>
      </c>
      <c r="D156" s="104" t="inlineStr">
        <is>
          <t>인</t>
        </is>
      </c>
      <c r="E156" s="201" t="n"/>
      <c r="F156" s="201" t="n"/>
      <c r="G156" s="95">
        <f>$P$7</f>
        <v/>
      </c>
      <c r="H156" s="95">
        <f>ROUNDDOWN(G156*C156,0)</f>
        <v/>
      </c>
      <c r="I156" s="18" t="n"/>
      <c r="J156" s="18" t="n"/>
      <c r="K156" s="18" t="n"/>
      <c r="L156" s="18" t="n"/>
      <c r="M156" s="36" t="n"/>
      <c r="N156" s="87" t="n"/>
      <c r="O156" s="190" t="n"/>
      <c r="P156" s="189" t="n"/>
      <c r="Q156" s="202" t="n"/>
      <c r="R156" s="87" t="n"/>
    </row>
    <row r="157" ht="18" customHeight="1" s="140">
      <c r="A157" s="103" t="inlineStr">
        <is>
          <t>중급기술자</t>
        </is>
      </c>
      <c r="B157" s="18" t="n"/>
      <c r="C157" s="48">
        <f>'국토품_작업량'!K27</f>
        <v/>
      </c>
      <c r="D157" s="104" t="inlineStr">
        <is>
          <t>인</t>
        </is>
      </c>
      <c r="E157" s="201" t="n"/>
      <c r="F157" s="201" t="n"/>
      <c r="G157" s="95">
        <f>$P$8</f>
        <v/>
      </c>
      <c r="H157" s="95">
        <f>ROUNDDOWN(G157*C157,0)</f>
        <v/>
      </c>
      <c r="I157" s="18" t="n"/>
      <c r="J157" s="18" t="n"/>
      <c r="K157" s="18" t="n"/>
      <c r="L157" s="18" t="n"/>
      <c r="M157" s="36" t="n"/>
      <c r="N157" s="87" t="n"/>
      <c r="O157" s="200" t="n"/>
      <c r="P157" s="203" t="n"/>
      <c r="Q157" s="202" t="n"/>
      <c r="R157" s="87" t="n"/>
    </row>
    <row r="158" ht="18" customHeight="1" s="140">
      <c r="A158" s="103" t="inlineStr">
        <is>
          <t>초급기술자</t>
        </is>
      </c>
      <c r="B158" s="18" t="n"/>
      <c r="C158" s="48">
        <f>'국토품_작업량'!L27</f>
        <v/>
      </c>
      <c r="D158" s="104" t="inlineStr">
        <is>
          <t>인</t>
        </is>
      </c>
      <c r="E158" s="201" t="n"/>
      <c r="F158" s="201" t="n"/>
      <c r="G158" s="95">
        <f>$P$9</f>
        <v/>
      </c>
      <c r="H158" s="95">
        <f>ROUNDDOWN(G158*C158,0)</f>
        <v/>
      </c>
      <c r="I158" s="18" t="n"/>
      <c r="J158" s="18" t="n"/>
      <c r="K158" s="18" t="n"/>
      <c r="L158" s="18" t="n"/>
      <c r="M158" s="36" t="n"/>
      <c r="N158" s="87" t="n"/>
      <c r="O158" s="200" t="n"/>
      <c r="P158" s="203" t="n"/>
      <c r="Q158" s="202" t="n"/>
      <c r="R158" s="87" t="n"/>
    </row>
    <row r="159" ht="18" customHeight="1" s="140">
      <c r="A159" s="47">
        <f>'국토품_작업량'!A28</f>
        <v/>
      </c>
      <c r="B159" s="18" t="n"/>
      <c r="C159" s="48" t="n"/>
      <c r="D159" s="18" t="n"/>
      <c r="E159" s="18" t="n"/>
      <c r="F159" s="18" t="n"/>
      <c r="G159" s="18" t="n"/>
      <c r="H159" s="95">
        <f>SUM(H160:H164)</f>
        <v/>
      </c>
      <c r="I159" s="18" t="n"/>
      <c r="J159" s="18" t="n"/>
      <c r="K159" s="18" t="n"/>
      <c r="L159" s="18" t="n"/>
      <c r="M159" s="36" t="n"/>
      <c r="N159" s="87" t="n"/>
      <c r="O159" s="190" t="n"/>
      <c r="P159" s="189" t="n"/>
      <c r="Q159" s="200" t="n"/>
      <c r="R159" s="87" t="n"/>
    </row>
    <row r="160" ht="18" customHeight="1" s="140">
      <c r="A160" s="103" t="inlineStr">
        <is>
          <t>기  술  사</t>
        </is>
      </c>
      <c r="B160" s="18" t="n"/>
      <c r="C160" s="48">
        <f>'국토품_작업량'!H28</f>
        <v/>
      </c>
      <c r="D160" s="104" t="inlineStr">
        <is>
          <t>인</t>
        </is>
      </c>
      <c r="E160" s="18" t="n"/>
      <c r="F160" s="18" t="n"/>
      <c r="G160" s="95">
        <f>$P$5</f>
        <v/>
      </c>
      <c r="H160" s="95">
        <f>ROUNDDOWN(G160*C160,0)</f>
        <v/>
      </c>
      <c r="I160" s="18" t="n"/>
      <c r="J160" s="18" t="n"/>
      <c r="K160" s="18" t="n"/>
      <c r="L160" s="18" t="n"/>
      <c r="M160" s="36" t="n"/>
      <c r="N160" s="87" t="n"/>
      <c r="O160" s="190" t="n"/>
      <c r="P160" s="189" t="n"/>
      <c r="Q160" s="200" t="n"/>
      <c r="R160" s="87" t="n"/>
    </row>
    <row r="161" ht="18" customHeight="1" s="140">
      <c r="A161" s="103" t="inlineStr">
        <is>
          <t>특급기술자</t>
        </is>
      </c>
      <c r="B161" s="18" t="n"/>
      <c r="C161" s="48">
        <f>'국토품_작업량'!I28</f>
        <v/>
      </c>
      <c r="D161" s="104" t="inlineStr">
        <is>
          <t>인</t>
        </is>
      </c>
      <c r="E161" s="201" t="n"/>
      <c r="F161" s="201" t="n"/>
      <c r="G161" s="95">
        <f>$P$6</f>
        <v/>
      </c>
      <c r="H161" s="95">
        <f>ROUNDDOWN(G161*C161,0)</f>
        <v/>
      </c>
      <c r="I161" s="18" t="n"/>
      <c r="J161" s="18" t="n"/>
      <c r="K161" s="18" t="n"/>
      <c r="L161" s="18" t="n"/>
      <c r="M161" s="36" t="n"/>
      <c r="N161" s="87" t="n"/>
      <c r="O161" s="190" t="n"/>
      <c r="P161" s="189" t="n"/>
      <c r="Q161" s="202" t="n"/>
      <c r="R161" s="87" t="n"/>
    </row>
    <row r="162" ht="18" customHeight="1" s="140">
      <c r="A162" s="103" t="inlineStr">
        <is>
          <t>고급기술자</t>
        </is>
      </c>
      <c r="B162" s="18" t="n"/>
      <c r="C162" s="48">
        <f>'국토품_작업량'!J28</f>
        <v/>
      </c>
      <c r="D162" s="104" t="inlineStr">
        <is>
          <t>인</t>
        </is>
      </c>
      <c r="E162" s="201" t="n"/>
      <c r="F162" s="201" t="n"/>
      <c r="G162" s="95">
        <f>$P$7</f>
        <v/>
      </c>
      <c r="H162" s="95">
        <f>ROUNDDOWN(G162*C162,0)</f>
        <v/>
      </c>
      <c r="I162" s="18" t="n"/>
      <c r="J162" s="18" t="n"/>
      <c r="K162" s="18" t="n"/>
      <c r="L162" s="18" t="n"/>
      <c r="M162" s="36" t="n"/>
      <c r="N162" s="87" t="n"/>
      <c r="O162" s="190" t="n"/>
      <c r="P162" s="189" t="n"/>
      <c r="Q162" s="202" t="n"/>
      <c r="R162" s="87" t="n"/>
    </row>
    <row r="163" ht="18" customHeight="1" s="140">
      <c r="A163" s="103" t="inlineStr">
        <is>
          <t>중급기술자</t>
        </is>
      </c>
      <c r="B163" s="18" t="n"/>
      <c r="C163" s="48">
        <f>'국토품_작업량'!K28</f>
        <v/>
      </c>
      <c r="D163" s="104" t="inlineStr">
        <is>
          <t>인</t>
        </is>
      </c>
      <c r="E163" s="201" t="n"/>
      <c r="F163" s="201" t="n"/>
      <c r="G163" s="95">
        <f>$P$8</f>
        <v/>
      </c>
      <c r="H163" s="95">
        <f>ROUNDDOWN(G163*C163,0)</f>
        <v/>
      </c>
      <c r="I163" s="18" t="n"/>
      <c r="J163" s="18" t="n"/>
      <c r="K163" s="18" t="n"/>
      <c r="L163" s="18" t="n"/>
      <c r="M163" s="36" t="n"/>
      <c r="N163" s="87" t="n"/>
      <c r="O163" s="200" t="n"/>
      <c r="P163" s="203" t="n"/>
      <c r="Q163" s="202" t="n"/>
      <c r="R163" s="87" t="n"/>
    </row>
    <row r="164" ht="18" customHeight="1" s="140">
      <c r="A164" s="103" t="inlineStr">
        <is>
          <t>초급기술자</t>
        </is>
      </c>
      <c r="B164" s="18" t="n"/>
      <c r="C164" s="48">
        <f>'국토품_작업량'!L28</f>
        <v/>
      </c>
      <c r="D164" s="104" t="inlineStr">
        <is>
          <t>인</t>
        </is>
      </c>
      <c r="E164" s="201" t="n"/>
      <c r="F164" s="201" t="n"/>
      <c r="G164" s="95">
        <f>$P$9</f>
        <v/>
      </c>
      <c r="H164" s="95">
        <f>ROUNDDOWN(G164*C164,0)</f>
        <v/>
      </c>
      <c r="I164" s="18" t="n"/>
      <c r="J164" s="18" t="n"/>
      <c r="K164" s="18" t="n"/>
      <c r="L164" s="18" t="n"/>
      <c r="M164" s="36" t="n"/>
      <c r="N164" s="87" t="n"/>
      <c r="O164" s="200" t="n"/>
      <c r="P164" s="203" t="n"/>
      <c r="Q164" s="202" t="n"/>
      <c r="R164" s="87" t="n"/>
    </row>
    <row r="165" ht="18" customHeight="1" s="140">
      <c r="A165" s="47">
        <f>'국토품_작업량'!A29</f>
        <v/>
      </c>
      <c r="B165" s="18" t="n"/>
      <c r="C165" s="48" t="n"/>
      <c r="D165" s="18" t="n"/>
      <c r="E165" s="18" t="n"/>
      <c r="F165" s="18" t="n"/>
      <c r="G165" s="18" t="n"/>
      <c r="H165" s="95">
        <f>SUM(H166:H170)</f>
        <v/>
      </c>
      <c r="I165" s="18" t="n"/>
      <c r="J165" s="18" t="n"/>
      <c r="K165" s="18" t="n"/>
      <c r="L165" s="18" t="n"/>
      <c r="M165" s="36" t="n"/>
      <c r="N165" s="87" t="n"/>
      <c r="O165" s="190" t="n"/>
      <c r="P165" s="189" t="n"/>
      <c r="Q165" s="200" t="n"/>
      <c r="R165" s="87" t="n"/>
    </row>
    <row r="166" ht="18" customHeight="1" s="140">
      <c r="A166" s="103" t="inlineStr">
        <is>
          <t>기  술  사</t>
        </is>
      </c>
      <c r="B166" s="18" t="n"/>
      <c r="C166" s="48">
        <f>'국토품_작업량'!H29</f>
        <v/>
      </c>
      <c r="D166" s="104" t="inlineStr">
        <is>
          <t>인</t>
        </is>
      </c>
      <c r="E166" s="18" t="n"/>
      <c r="F166" s="18" t="n"/>
      <c r="G166" s="95">
        <f>$P$5</f>
        <v/>
      </c>
      <c r="H166" s="95">
        <f>ROUNDDOWN(G166*C166,0)</f>
        <v/>
      </c>
      <c r="I166" s="18" t="n"/>
      <c r="J166" s="18" t="n"/>
      <c r="K166" s="18" t="n"/>
      <c r="L166" s="18" t="n"/>
      <c r="M166" s="36" t="n"/>
      <c r="N166" s="87" t="n"/>
      <c r="O166" s="190" t="n"/>
      <c r="P166" s="189" t="n"/>
      <c r="Q166" s="200" t="n"/>
      <c r="R166" s="87" t="n"/>
    </row>
    <row r="167" ht="18" customHeight="1" s="140">
      <c r="A167" s="103" t="inlineStr">
        <is>
          <t>특급기술자</t>
        </is>
      </c>
      <c r="B167" s="18" t="n"/>
      <c r="C167" s="48">
        <f>'국토품_작업량'!I29</f>
        <v/>
      </c>
      <c r="D167" s="104" t="inlineStr">
        <is>
          <t>인</t>
        </is>
      </c>
      <c r="E167" s="201" t="n"/>
      <c r="F167" s="201" t="n"/>
      <c r="G167" s="95">
        <f>$P$6</f>
        <v/>
      </c>
      <c r="H167" s="95">
        <f>ROUNDDOWN(G167*C167,0)</f>
        <v/>
      </c>
      <c r="I167" s="18" t="n"/>
      <c r="J167" s="18" t="n"/>
      <c r="K167" s="18" t="n"/>
      <c r="L167" s="18" t="n"/>
      <c r="M167" s="36" t="n"/>
      <c r="N167" s="87" t="n"/>
      <c r="O167" s="190" t="n"/>
      <c r="P167" s="189" t="n"/>
      <c r="Q167" s="202" t="n"/>
      <c r="R167" s="87" t="n"/>
    </row>
    <row r="168" ht="18" customHeight="1" s="140">
      <c r="A168" s="103" t="inlineStr">
        <is>
          <t>고급기술자</t>
        </is>
      </c>
      <c r="B168" s="18" t="n"/>
      <c r="C168" s="48">
        <f>'국토품_작업량'!J29</f>
        <v/>
      </c>
      <c r="D168" s="104" t="inlineStr">
        <is>
          <t>인</t>
        </is>
      </c>
      <c r="E168" s="201" t="n"/>
      <c r="F168" s="201" t="n"/>
      <c r="G168" s="95">
        <f>$P$7</f>
        <v/>
      </c>
      <c r="H168" s="95">
        <f>ROUNDDOWN(G168*C168,0)</f>
        <v/>
      </c>
      <c r="I168" s="18" t="n"/>
      <c r="J168" s="18" t="n"/>
      <c r="K168" s="18" t="n"/>
      <c r="L168" s="18" t="n"/>
      <c r="M168" s="36" t="n"/>
      <c r="N168" s="87" t="n"/>
      <c r="O168" s="190" t="n"/>
      <c r="P168" s="189" t="n"/>
      <c r="Q168" s="202" t="n"/>
      <c r="R168" s="87" t="n"/>
    </row>
    <row r="169" ht="18" customHeight="1" s="140">
      <c r="A169" s="103" t="inlineStr">
        <is>
          <t>중급기술자</t>
        </is>
      </c>
      <c r="B169" s="18" t="n"/>
      <c r="C169" s="48">
        <f>'국토품_작업량'!K29</f>
        <v/>
      </c>
      <c r="D169" s="104" t="inlineStr">
        <is>
          <t>인</t>
        </is>
      </c>
      <c r="E169" s="201" t="n"/>
      <c r="F169" s="201" t="n"/>
      <c r="G169" s="95">
        <f>$P$8</f>
        <v/>
      </c>
      <c r="H169" s="95">
        <f>ROUNDDOWN(G169*C169,0)</f>
        <v/>
      </c>
      <c r="I169" s="18" t="n"/>
      <c r="J169" s="18" t="n"/>
      <c r="K169" s="18" t="n"/>
      <c r="L169" s="18" t="n"/>
      <c r="M169" s="36" t="n"/>
      <c r="N169" s="87" t="n"/>
      <c r="O169" s="200" t="n"/>
      <c r="P169" s="203" t="n"/>
      <c r="Q169" s="202" t="n"/>
      <c r="R169" s="87" t="n"/>
    </row>
    <row r="170" ht="18" customHeight="1" s="140">
      <c r="A170" s="103" t="inlineStr">
        <is>
          <t>초급기술자</t>
        </is>
      </c>
      <c r="B170" s="18" t="n"/>
      <c r="C170" s="48">
        <f>'국토품_작업량'!L29</f>
        <v/>
      </c>
      <c r="D170" s="104" t="inlineStr">
        <is>
          <t>인</t>
        </is>
      </c>
      <c r="E170" s="201" t="n"/>
      <c r="F170" s="201" t="n"/>
      <c r="G170" s="95">
        <f>$P$9</f>
        <v/>
      </c>
      <c r="H170" s="95">
        <f>ROUNDDOWN(G170*C170,0)</f>
        <v/>
      </c>
      <c r="I170" s="18" t="n"/>
      <c r="J170" s="18" t="n"/>
      <c r="K170" s="18" t="n"/>
      <c r="L170" s="18" t="n"/>
      <c r="M170" s="36" t="n"/>
      <c r="N170" s="87" t="n"/>
      <c r="O170" s="200" t="n"/>
      <c r="P170" s="203" t="n"/>
      <c r="Q170" s="202" t="n"/>
      <c r="R170" s="87" t="n"/>
    </row>
    <row r="171" ht="18" customHeight="1" s="140">
      <c r="A171" s="47">
        <f>'국토품_작업량'!A30</f>
        <v/>
      </c>
      <c r="B171" s="18" t="n"/>
      <c r="C171" s="48" t="n"/>
      <c r="D171" s="18" t="n"/>
      <c r="E171" s="18" t="n"/>
      <c r="F171" s="18" t="n"/>
      <c r="G171" s="18" t="n"/>
      <c r="H171" s="95">
        <f>SUM(H172:H176)</f>
        <v/>
      </c>
      <c r="I171" s="18" t="n"/>
      <c r="J171" s="18" t="n"/>
      <c r="K171" s="18" t="n"/>
      <c r="L171" s="18" t="n"/>
      <c r="M171" s="36" t="n"/>
      <c r="N171" s="87" t="n"/>
      <c r="O171" s="190" t="n"/>
      <c r="P171" s="189" t="n"/>
      <c r="Q171" s="200" t="n"/>
      <c r="R171" s="87" t="n"/>
    </row>
    <row r="172" ht="18" customHeight="1" s="140">
      <c r="A172" s="103" t="inlineStr">
        <is>
          <t>기  술  사</t>
        </is>
      </c>
      <c r="B172" s="18" t="n"/>
      <c r="C172" s="48">
        <f>'국토품_작업량'!H30</f>
        <v/>
      </c>
      <c r="D172" s="104" t="inlineStr">
        <is>
          <t>인</t>
        </is>
      </c>
      <c r="E172" s="18" t="n"/>
      <c r="F172" s="18" t="n"/>
      <c r="G172" s="95">
        <f>$P$5</f>
        <v/>
      </c>
      <c r="H172" s="95">
        <f>ROUNDDOWN(G172*C172,0)</f>
        <v/>
      </c>
      <c r="I172" s="18" t="n"/>
      <c r="J172" s="18" t="n"/>
      <c r="K172" s="18" t="n"/>
      <c r="L172" s="18" t="n"/>
      <c r="M172" s="36" t="n"/>
      <c r="N172" s="87" t="n"/>
      <c r="O172" s="190" t="n"/>
      <c r="P172" s="189" t="n"/>
      <c r="Q172" s="200" t="n"/>
      <c r="R172" s="87" t="n"/>
    </row>
    <row r="173" ht="18" customHeight="1" s="140">
      <c r="A173" s="103" t="inlineStr">
        <is>
          <t>특급기술자</t>
        </is>
      </c>
      <c r="B173" s="18" t="n"/>
      <c r="C173" s="48">
        <f>'국토품_작업량'!I30</f>
        <v/>
      </c>
      <c r="D173" s="104" t="inlineStr">
        <is>
          <t>인</t>
        </is>
      </c>
      <c r="E173" s="201" t="n"/>
      <c r="F173" s="201" t="n"/>
      <c r="G173" s="95">
        <f>$P$6</f>
        <v/>
      </c>
      <c r="H173" s="95">
        <f>ROUNDDOWN(G173*C173,0)</f>
        <v/>
      </c>
      <c r="I173" s="18" t="n"/>
      <c r="J173" s="18" t="n"/>
      <c r="K173" s="18" t="n"/>
      <c r="L173" s="18" t="n"/>
      <c r="M173" s="36" t="n"/>
      <c r="N173" s="87" t="n"/>
      <c r="O173" s="190" t="n"/>
      <c r="P173" s="189" t="n"/>
      <c r="Q173" s="202" t="n"/>
      <c r="R173" s="87" t="n"/>
    </row>
    <row r="174" ht="18" customHeight="1" s="140">
      <c r="A174" s="103" t="inlineStr">
        <is>
          <t>고급기술자</t>
        </is>
      </c>
      <c r="B174" s="18" t="n"/>
      <c r="C174" s="48">
        <f>'국토품_작업량'!J30</f>
        <v/>
      </c>
      <c r="D174" s="104" t="inlineStr">
        <is>
          <t>인</t>
        </is>
      </c>
      <c r="E174" s="201" t="n"/>
      <c r="F174" s="201" t="n"/>
      <c r="G174" s="95">
        <f>$P$7</f>
        <v/>
      </c>
      <c r="H174" s="95">
        <f>ROUNDDOWN(G174*C174,0)</f>
        <v/>
      </c>
      <c r="I174" s="18" t="n"/>
      <c r="J174" s="18" t="n"/>
      <c r="K174" s="18" t="n"/>
      <c r="L174" s="18" t="n"/>
      <c r="M174" s="36" t="n"/>
      <c r="N174" s="87" t="n"/>
      <c r="O174" s="190" t="n"/>
      <c r="P174" s="189" t="n"/>
      <c r="Q174" s="202" t="n"/>
      <c r="R174" s="87" t="n"/>
    </row>
    <row r="175" ht="18" customHeight="1" s="140">
      <c r="A175" s="103" t="inlineStr">
        <is>
          <t>중급기술자</t>
        </is>
      </c>
      <c r="B175" s="18" t="n"/>
      <c r="C175" s="48">
        <f>'국토품_작업량'!K30</f>
        <v/>
      </c>
      <c r="D175" s="104" t="inlineStr">
        <is>
          <t>인</t>
        </is>
      </c>
      <c r="E175" s="201" t="n"/>
      <c r="F175" s="201" t="n"/>
      <c r="G175" s="95">
        <f>$P$8</f>
        <v/>
      </c>
      <c r="H175" s="95">
        <f>ROUNDDOWN(G175*C175,0)</f>
        <v/>
      </c>
      <c r="I175" s="18" t="n"/>
      <c r="J175" s="18" t="n"/>
      <c r="K175" s="18" t="n"/>
      <c r="L175" s="18" t="n"/>
      <c r="M175" s="36" t="n"/>
      <c r="N175" s="87" t="n"/>
      <c r="O175" s="200" t="n"/>
      <c r="P175" s="203" t="n"/>
      <c r="Q175" s="202" t="n"/>
      <c r="R175" s="87" t="n"/>
    </row>
    <row r="176" ht="18" customHeight="1" s="140">
      <c r="A176" s="103" t="inlineStr">
        <is>
          <t>초급기술자</t>
        </is>
      </c>
      <c r="B176" s="18" t="n"/>
      <c r="C176" s="48">
        <f>'국토품_작업량'!L30</f>
        <v/>
      </c>
      <c r="D176" s="104" t="inlineStr">
        <is>
          <t>인</t>
        </is>
      </c>
      <c r="E176" s="201" t="n"/>
      <c r="F176" s="201" t="n"/>
      <c r="G176" s="95">
        <f>$P$9</f>
        <v/>
      </c>
      <c r="H176" s="95">
        <f>ROUNDDOWN(G176*C176,0)</f>
        <v/>
      </c>
      <c r="I176" s="18" t="n"/>
      <c r="J176" s="18" t="n"/>
      <c r="K176" s="18" t="n"/>
      <c r="L176" s="18" t="n"/>
      <c r="M176" s="36" t="n"/>
      <c r="N176" s="87" t="n"/>
      <c r="O176" s="200" t="n"/>
      <c r="P176" s="203" t="n"/>
      <c r="Q176" s="202" t="n"/>
      <c r="R176" s="87" t="n"/>
    </row>
    <row r="177" ht="18" customHeight="1" s="140">
      <c r="A177" s="47">
        <f>'국토품_작업량'!A31</f>
        <v/>
      </c>
      <c r="B177" s="18" t="n"/>
      <c r="C177" s="48" t="n"/>
      <c r="D177" s="18" t="n"/>
      <c r="E177" s="18" t="n"/>
      <c r="F177" s="18" t="n"/>
      <c r="G177" s="18" t="n"/>
      <c r="H177" s="95">
        <f>SUM(H178:H182)</f>
        <v/>
      </c>
      <c r="I177" s="18" t="n"/>
      <c r="J177" s="18" t="n"/>
      <c r="K177" s="18" t="n"/>
      <c r="L177" s="18" t="n"/>
      <c r="M177" s="36" t="n"/>
      <c r="N177" s="87" t="n"/>
      <c r="O177" s="190" t="n"/>
      <c r="P177" s="189" t="n"/>
      <c r="Q177" s="200" t="n"/>
      <c r="R177" s="87" t="n"/>
    </row>
    <row r="178" ht="18" customHeight="1" s="140">
      <c r="A178" s="103" t="inlineStr">
        <is>
          <t>기  술  사</t>
        </is>
      </c>
      <c r="B178" s="18" t="n"/>
      <c r="C178" s="48">
        <f>'국토품_작업량'!H31</f>
        <v/>
      </c>
      <c r="D178" s="104" t="inlineStr">
        <is>
          <t>인</t>
        </is>
      </c>
      <c r="E178" s="18" t="n"/>
      <c r="F178" s="18" t="n"/>
      <c r="G178" s="95">
        <f>$P$5</f>
        <v/>
      </c>
      <c r="H178" s="95">
        <f>ROUNDDOWN(G178*C178,0)</f>
        <v/>
      </c>
      <c r="I178" s="18" t="n"/>
      <c r="J178" s="18" t="n"/>
      <c r="K178" s="18" t="n"/>
      <c r="L178" s="18" t="n"/>
      <c r="M178" s="36" t="n"/>
      <c r="N178" s="87" t="n"/>
      <c r="O178" s="190" t="n"/>
      <c r="P178" s="189" t="n"/>
      <c r="Q178" s="200" t="n"/>
      <c r="R178" s="87" t="n"/>
    </row>
    <row r="179" ht="18" customHeight="1" s="140">
      <c r="A179" s="103" t="inlineStr">
        <is>
          <t>특급기술자</t>
        </is>
      </c>
      <c r="B179" s="18" t="n"/>
      <c r="C179" s="48">
        <f>'국토품_작업량'!I31</f>
        <v/>
      </c>
      <c r="D179" s="104" t="inlineStr">
        <is>
          <t>인</t>
        </is>
      </c>
      <c r="E179" s="201" t="n"/>
      <c r="F179" s="201" t="n"/>
      <c r="G179" s="95">
        <f>$P$6</f>
        <v/>
      </c>
      <c r="H179" s="95">
        <f>ROUNDDOWN(G179*C179,0)</f>
        <v/>
      </c>
      <c r="I179" s="18" t="n"/>
      <c r="J179" s="18" t="n"/>
      <c r="K179" s="18" t="n"/>
      <c r="L179" s="18" t="n"/>
      <c r="M179" s="36" t="n"/>
      <c r="N179" s="87" t="n"/>
      <c r="O179" s="190" t="n"/>
      <c r="P179" s="189" t="n"/>
      <c r="Q179" s="202" t="n"/>
      <c r="R179" s="87" t="n"/>
    </row>
    <row r="180" ht="18" customHeight="1" s="140">
      <c r="A180" s="103" t="inlineStr">
        <is>
          <t>고급기술자</t>
        </is>
      </c>
      <c r="B180" s="18" t="n"/>
      <c r="C180" s="48">
        <f>'국토품_작업량'!J31</f>
        <v/>
      </c>
      <c r="D180" s="104" t="inlineStr">
        <is>
          <t>인</t>
        </is>
      </c>
      <c r="E180" s="201" t="n"/>
      <c r="F180" s="201" t="n"/>
      <c r="G180" s="95">
        <f>$P$7</f>
        <v/>
      </c>
      <c r="H180" s="95">
        <f>ROUNDDOWN(G180*C180,0)</f>
        <v/>
      </c>
      <c r="I180" s="18" t="n"/>
      <c r="J180" s="18" t="n"/>
      <c r="K180" s="18" t="n"/>
      <c r="L180" s="18" t="n"/>
      <c r="M180" s="36" t="n"/>
      <c r="N180" s="87" t="n"/>
      <c r="O180" s="190" t="n"/>
      <c r="P180" s="189" t="n"/>
      <c r="Q180" s="202" t="n"/>
      <c r="R180" s="87" t="n"/>
    </row>
    <row r="181" ht="18" customHeight="1" s="140">
      <c r="A181" s="103" t="inlineStr">
        <is>
          <t>중급기술자</t>
        </is>
      </c>
      <c r="B181" s="18" t="n"/>
      <c r="C181" s="48">
        <f>'국토품_작업량'!K31</f>
        <v/>
      </c>
      <c r="D181" s="104" t="inlineStr">
        <is>
          <t>인</t>
        </is>
      </c>
      <c r="E181" s="201" t="n"/>
      <c r="F181" s="201" t="n"/>
      <c r="G181" s="95">
        <f>$P$8</f>
        <v/>
      </c>
      <c r="H181" s="95">
        <f>ROUNDDOWN(G181*C181,0)</f>
        <v/>
      </c>
      <c r="I181" s="18" t="n"/>
      <c r="J181" s="18" t="n"/>
      <c r="K181" s="18" t="n"/>
      <c r="L181" s="18" t="n"/>
      <c r="M181" s="36" t="n"/>
      <c r="N181" s="87" t="n"/>
      <c r="O181" s="200" t="n"/>
      <c r="P181" s="203" t="n"/>
      <c r="Q181" s="202" t="n"/>
      <c r="R181" s="87" t="n"/>
    </row>
    <row r="182" ht="18" customHeight="1" s="140">
      <c r="A182" s="103" t="inlineStr">
        <is>
          <t>초급기술자</t>
        </is>
      </c>
      <c r="B182" s="18" t="n"/>
      <c r="C182" s="48">
        <f>'국토품_작업량'!L31</f>
        <v/>
      </c>
      <c r="D182" s="104" t="inlineStr">
        <is>
          <t>인</t>
        </is>
      </c>
      <c r="E182" s="201" t="n"/>
      <c r="F182" s="201" t="n"/>
      <c r="G182" s="95">
        <f>$P$9</f>
        <v/>
      </c>
      <c r="H182" s="95">
        <f>ROUNDDOWN(G182*C182,0)</f>
        <v/>
      </c>
      <c r="I182" s="18" t="n"/>
      <c r="J182" s="18" t="n"/>
      <c r="K182" s="18" t="n"/>
      <c r="L182" s="18" t="n"/>
      <c r="M182" s="36" t="n"/>
      <c r="N182" s="87" t="n"/>
      <c r="O182" s="200" t="n"/>
      <c r="P182" s="203" t="n"/>
      <c r="Q182" s="202" t="n"/>
      <c r="R182" s="87" t="n"/>
    </row>
    <row r="183" ht="18" customHeight="1" s="140">
      <c r="A183" s="244" t="n"/>
      <c r="B183" s="245" t="n"/>
      <c r="C183" s="94" t="n"/>
      <c r="D183" s="40" t="n"/>
      <c r="E183" s="108" t="n"/>
      <c r="F183" s="245" t="n"/>
      <c r="G183" s="107" t="n"/>
      <c r="H183" s="102" t="n"/>
      <c r="I183" s="107" t="n"/>
      <c r="J183" s="107" t="n"/>
      <c r="K183" s="107" t="n"/>
      <c r="L183" s="107" t="n"/>
      <c r="M183" s="41" t="n"/>
      <c r="N183" s="87" t="n"/>
      <c r="O183" s="189" t="n"/>
      <c r="P183" s="189" t="n"/>
      <c r="Q183" s="190" t="n"/>
      <c r="R183" s="87" t="n"/>
    </row>
    <row r="184" ht="18" customHeight="1" s="140">
      <c r="A184" s="250">
        <f>'국토품_작업량'!A32</f>
        <v/>
      </c>
      <c r="B184" s="251" t="n"/>
      <c r="C184" s="252" t="n"/>
      <c r="D184" s="251" t="n"/>
      <c r="E184" s="251" t="n"/>
      <c r="F184" s="251" t="n"/>
      <c r="G184" s="251" t="n"/>
      <c r="H184" s="253">
        <f>H185+H191+H197+H203+H209</f>
        <v/>
      </c>
      <c r="I184" s="251" t="n"/>
      <c r="J184" s="251" t="n"/>
      <c r="K184" s="251" t="n"/>
      <c r="L184" s="251" t="n"/>
      <c r="M184" s="65" t="n"/>
      <c r="N184" s="87" t="n"/>
      <c r="O184" s="190" t="n"/>
      <c r="P184" s="189" t="n"/>
      <c r="Q184" s="200" t="n"/>
      <c r="R184" s="87" t="n"/>
    </row>
    <row r="185" ht="18" customHeight="1" s="140">
      <c r="A185" s="47">
        <f>'국토품_작업량'!A33</f>
        <v/>
      </c>
      <c r="B185" s="18" t="n"/>
      <c r="C185" s="48" t="n"/>
      <c r="D185" s="18" t="n"/>
      <c r="E185" s="18" t="n"/>
      <c r="F185" s="18" t="n"/>
      <c r="G185" s="18" t="n"/>
      <c r="H185" s="95">
        <f>SUM(H186:H190)</f>
        <v/>
      </c>
      <c r="I185" s="18" t="n"/>
      <c r="J185" s="18" t="n"/>
      <c r="K185" s="18" t="n"/>
      <c r="L185" s="18" t="n"/>
      <c r="M185" s="36" t="n"/>
      <c r="N185" s="87" t="n"/>
      <c r="O185" s="190" t="n"/>
      <c r="P185" s="189" t="n"/>
      <c r="Q185" s="200" t="n"/>
      <c r="R185" s="87" t="n"/>
    </row>
    <row r="186" ht="18" customHeight="1" s="140">
      <c r="A186" s="103" t="inlineStr">
        <is>
          <t>기  술  사</t>
        </is>
      </c>
      <c r="B186" s="18" t="n"/>
      <c r="C186" s="48">
        <f>'국토품_작업량'!H33</f>
        <v/>
      </c>
      <c r="D186" s="104" t="inlineStr">
        <is>
          <t>인</t>
        </is>
      </c>
      <c r="E186" s="18" t="n"/>
      <c r="F186" s="18" t="n"/>
      <c r="G186" s="95">
        <f>$P$5</f>
        <v/>
      </c>
      <c r="H186" s="95">
        <f>ROUNDDOWN(G186*C186,0)</f>
        <v/>
      </c>
      <c r="I186" s="18" t="n"/>
      <c r="J186" s="18" t="n"/>
      <c r="K186" s="18" t="n"/>
      <c r="L186" s="18" t="n"/>
      <c r="M186" s="36" t="n"/>
      <c r="N186" s="87" t="n"/>
      <c r="O186" s="190" t="n"/>
      <c r="P186" s="189" t="n"/>
      <c r="Q186" s="200" t="n"/>
      <c r="R186" s="87" t="n"/>
    </row>
    <row r="187" ht="18" customHeight="1" s="140">
      <c r="A187" s="103" t="inlineStr">
        <is>
          <t>특급기술자</t>
        </is>
      </c>
      <c r="B187" s="18" t="n"/>
      <c r="C187" s="48">
        <f>'국토품_작업량'!I33</f>
        <v/>
      </c>
      <c r="D187" s="104" t="inlineStr">
        <is>
          <t>인</t>
        </is>
      </c>
      <c r="E187" s="201" t="n"/>
      <c r="F187" s="201" t="n"/>
      <c r="G187" s="95">
        <f>$P$6</f>
        <v/>
      </c>
      <c r="H187" s="95">
        <f>ROUNDDOWN(G187*C187,0)</f>
        <v/>
      </c>
      <c r="I187" s="18" t="n"/>
      <c r="J187" s="18" t="n"/>
      <c r="K187" s="18" t="n"/>
      <c r="L187" s="18" t="n"/>
      <c r="M187" s="36" t="n"/>
      <c r="N187" s="87" t="n"/>
      <c r="O187" s="190" t="n"/>
      <c r="P187" s="189" t="n"/>
      <c r="Q187" s="202" t="n"/>
      <c r="R187" s="87" t="n"/>
    </row>
    <row r="188" ht="18" customHeight="1" s="140">
      <c r="A188" s="103" t="inlineStr">
        <is>
          <t>고급기술자</t>
        </is>
      </c>
      <c r="B188" s="18" t="n"/>
      <c r="C188" s="48">
        <f>'국토품_작업량'!J33</f>
        <v/>
      </c>
      <c r="D188" s="104" t="inlineStr">
        <is>
          <t>인</t>
        </is>
      </c>
      <c r="E188" s="201" t="n"/>
      <c r="F188" s="201" t="n"/>
      <c r="G188" s="95">
        <f>$P$7</f>
        <v/>
      </c>
      <c r="H188" s="95">
        <f>ROUNDDOWN(G188*C188,0)</f>
        <v/>
      </c>
      <c r="I188" s="18" t="n"/>
      <c r="J188" s="18" t="n"/>
      <c r="K188" s="18" t="n"/>
      <c r="L188" s="18" t="n"/>
      <c r="M188" s="36" t="n"/>
      <c r="N188" s="87" t="n"/>
      <c r="O188" s="190" t="n"/>
      <c r="P188" s="189" t="n"/>
      <c r="Q188" s="202" t="n"/>
      <c r="R188" s="87" t="n"/>
    </row>
    <row r="189" ht="18" customHeight="1" s="140">
      <c r="A189" s="103" t="inlineStr">
        <is>
          <t>중급기술자</t>
        </is>
      </c>
      <c r="B189" s="18" t="n"/>
      <c r="C189" s="48">
        <f>'국토품_작업량'!K33</f>
        <v/>
      </c>
      <c r="D189" s="104" t="inlineStr">
        <is>
          <t>인</t>
        </is>
      </c>
      <c r="E189" s="201" t="n"/>
      <c r="F189" s="201" t="n"/>
      <c r="G189" s="95">
        <f>$P$8</f>
        <v/>
      </c>
      <c r="H189" s="95">
        <f>ROUNDDOWN(G189*C189,0)</f>
        <v/>
      </c>
      <c r="I189" s="18" t="n"/>
      <c r="J189" s="18" t="n"/>
      <c r="K189" s="18" t="n"/>
      <c r="L189" s="18" t="n"/>
      <c r="M189" s="36" t="n"/>
      <c r="N189" s="87" t="n"/>
      <c r="O189" s="200" t="n"/>
      <c r="P189" s="203" t="n"/>
      <c r="Q189" s="202" t="n"/>
      <c r="R189" s="87" t="n"/>
    </row>
    <row r="190" ht="18" customHeight="1" s="140">
      <c r="A190" s="103" t="inlineStr">
        <is>
          <t>초급기술자</t>
        </is>
      </c>
      <c r="B190" s="18" t="n"/>
      <c r="C190" s="48">
        <f>'국토품_작업량'!L33</f>
        <v/>
      </c>
      <c r="D190" s="104" t="inlineStr">
        <is>
          <t>인</t>
        </is>
      </c>
      <c r="E190" s="201" t="n"/>
      <c r="F190" s="201" t="n"/>
      <c r="G190" s="95">
        <f>$P$9</f>
        <v/>
      </c>
      <c r="H190" s="95">
        <f>ROUNDDOWN(G190*C190,0)</f>
        <v/>
      </c>
      <c r="I190" s="18" t="n"/>
      <c r="J190" s="18" t="n"/>
      <c r="K190" s="18" t="n"/>
      <c r="L190" s="18" t="n"/>
      <c r="M190" s="36" t="n"/>
      <c r="N190" s="87" t="n"/>
      <c r="O190" s="200" t="n"/>
      <c r="P190" s="203" t="n"/>
      <c r="Q190" s="202" t="n"/>
      <c r="R190" s="87" t="n"/>
    </row>
    <row r="191" ht="18" customHeight="1" s="140">
      <c r="A191" s="47">
        <f>'국토품_작업량'!A34</f>
        <v/>
      </c>
      <c r="B191" s="18" t="n"/>
      <c r="C191" s="48" t="n"/>
      <c r="D191" s="18" t="n"/>
      <c r="E191" s="18" t="n"/>
      <c r="F191" s="18" t="n"/>
      <c r="G191" s="18" t="n"/>
      <c r="H191" s="95">
        <f>SUM(H192:H196)</f>
        <v/>
      </c>
      <c r="I191" s="18" t="n"/>
      <c r="J191" s="18" t="n"/>
      <c r="K191" s="18" t="n"/>
      <c r="L191" s="18" t="n"/>
      <c r="M191" s="36" t="n"/>
      <c r="N191" s="87" t="n"/>
      <c r="O191" s="190" t="n"/>
      <c r="P191" s="189" t="n"/>
      <c r="Q191" s="200" t="n"/>
      <c r="R191" s="87" t="n"/>
    </row>
    <row r="192" ht="18" customHeight="1" s="140">
      <c r="A192" s="103" t="inlineStr">
        <is>
          <t>기  술  사</t>
        </is>
      </c>
      <c r="B192" s="18" t="n"/>
      <c r="C192" s="48">
        <f>'국토품_작업량'!H34</f>
        <v/>
      </c>
      <c r="D192" s="104" t="inlineStr">
        <is>
          <t>인</t>
        </is>
      </c>
      <c r="E192" s="18" t="n"/>
      <c r="F192" s="18" t="n"/>
      <c r="G192" s="95">
        <f>$P$5</f>
        <v/>
      </c>
      <c r="H192" s="95">
        <f>ROUNDDOWN(G192*C192,0)</f>
        <v/>
      </c>
      <c r="I192" s="18" t="n"/>
      <c r="J192" s="18" t="n"/>
      <c r="K192" s="18" t="n"/>
      <c r="L192" s="18" t="n"/>
      <c r="M192" s="36" t="n"/>
      <c r="N192" s="87" t="n"/>
      <c r="O192" s="190" t="n"/>
      <c r="P192" s="189" t="n"/>
      <c r="Q192" s="200" t="n"/>
      <c r="R192" s="87" t="n"/>
    </row>
    <row r="193" ht="18" customHeight="1" s="140">
      <c r="A193" s="103" t="inlineStr">
        <is>
          <t>특급기술자</t>
        </is>
      </c>
      <c r="B193" s="18" t="n"/>
      <c r="C193" s="48">
        <f>'국토품_작업량'!I34</f>
        <v/>
      </c>
      <c r="D193" s="104" t="inlineStr">
        <is>
          <t>인</t>
        </is>
      </c>
      <c r="E193" s="201" t="n"/>
      <c r="F193" s="201" t="n"/>
      <c r="G193" s="95">
        <f>$P$6</f>
        <v/>
      </c>
      <c r="H193" s="95">
        <f>ROUNDDOWN(G193*C193,0)</f>
        <v/>
      </c>
      <c r="I193" s="18" t="n"/>
      <c r="J193" s="18" t="n"/>
      <c r="K193" s="18" t="n"/>
      <c r="L193" s="18" t="n"/>
      <c r="M193" s="36" t="n"/>
      <c r="N193" s="87" t="n"/>
      <c r="O193" s="190" t="n"/>
      <c r="P193" s="189" t="n"/>
      <c r="Q193" s="202" t="n"/>
      <c r="R193" s="87" t="n"/>
    </row>
    <row r="194" ht="18" customHeight="1" s="140">
      <c r="A194" s="103" t="inlineStr">
        <is>
          <t>고급기술자</t>
        </is>
      </c>
      <c r="B194" s="18" t="n"/>
      <c r="C194" s="48">
        <f>'국토품_작업량'!J34</f>
        <v/>
      </c>
      <c r="D194" s="104" t="inlineStr">
        <is>
          <t>인</t>
        </is>
      </c>
      <c r="E194" s="201" t="n"/>
      <c r="F194" s="201" t="n"/>
      <c r="G194" s="95">
        <f>$P$7</f>
        <v/>
      </c>
      <c r="H194" s="95">
        <f>ROUNDDOWN(G194*C194,0)</f>
        <v/>
      </c>
      <c r="I194" s="18" t="n"/>
      <c r="J194" s="18" t="n"/>
      <c r="K194" s="18" t="n"/>
      <c r="L194" s="18" t="n"/>
      <c r="M194" s="36" t="n"/>
      <c r="N194" s="87" t="n"/>
      <c r="O194" s="190" t="n"/>
      <c r="P194" s="189" t="n"/>
      <c r="Q194" s="202" t="n"/>
      <c r="R194" s="87" t="n"/>
    </row>
    <row r="195" ht="18" customHeight="1" s="140">
      <c r="A195" s="103" t="inlineStr">
        <is>
          <t>중급기술자</t>
        </is>
      </c>
      <c r="B195" s="18" t="n"/>
      <c r="C195" s="48">
        <f>'국토품_작업량'!K34</f>
        <v/>
      </c>
      <c r="D195" s="104" t="inlineStr">
        <is>
          <t>인</t>
        </is>
      </c>
      <c r="E195" s="201" t="n"/>
      <c r="F195" s="201" t="n"/>
      <c r="G195" s="95">
        <f>$P$8</f>
        <v/>
      </c>
      <c r="H195" s="95">
        <f>ROUNDDOWN(G195*C195,0)</f>
        <v/>
      </c>
      <c r="I195" s="18" t="n"/>
      <c r="J195" s="18" t="n"/>
      <c r="K195" s="18" t="n"/>
      <c r="L195" s="18" t="n"/>
      <c r="M195" s="36" t="n"/>
      <c r="N195" s="87" t="n"/>
      <c r="O195" s="200" t="n"/>
      <c r="P195" s="203" t="n"/>
      <c r="Q195" s="202" t="n"/>
      <c r="R195" s="87" t="n"/>
    </row>
    <row r="196" ht="18" customHeight="1" s="140">
      <c r="A196" s="103" t="inlineStr">
        <is>
          <t>초급기술자</t>
        </is>
      </c>
      <c r="B196" s="18" t="n"/>
      <c r="C196" s="48">
        <f>'국토품_작업량'!L34</f>
        <v/>
      </c>
      <c r="D196" s="104" t="inlineStr">
        <is>
          <t>인</t>
        </is>
      </c>
      <c r="E196" s="201" t="n"/>
      <c r="F196" s="201" t="n"/>
      <c r="G196" s="95">
        <f>$P$9</f>
        <v/>
      </c>
      <c r="H196" s="95">
        <f>ROUNDDOWN(G196*C196,0)</f>
        <v/>
      </c>
      <c r="I196" s="18" t="n"/>
      <c r="J196" s="18" t="n"/>
      <c r="K196" s="18" t="n"/>
      <c r="L196" s="18" t="n"/>
      <c r="M196" s="36" t="n"/>
      <c r="N196" s="87" t="n"/>
      <c r="O196" s="200" t="n"/>
      <c r="P196" s="203" t="n"/>
      <c r="Q196" s="202" t="n"/>
      <c r="R196" s="87" t="n"/>
    </row>
    <row r="197" ht="18" customHeight="1" s="140">
      <c r="A197" s="47">
        <f>'국토품_작업량'!A35</f>
        <v/>
      </c>
      <c r="B197" s="18" t="n"/>
      <c r="C197" s="48" t="n"/>
      <c r="D197" s="18" t="n"/>
      <c r="E197" s="18" t="n"/>
      <c r="F197" s="18" t="n"/>
      <c r="G197" s="18" t="n"/>
      <c r="H197" s="95">
        <f>SUM(H198:H202)</f>
        <v/>
      </c>
      <c r="I197" s="18" t="n"/>
      <c r="J197" s="18" t="n"/>
      <c r="K197" s="18" t="n"/>
      <c r="L197" s="18" t="n"/>
      <c r="M197" s="36" t="n"/>
      <c r="N197" s="87" t="n"/>
      <c r="O197" s="190" t="n"/>
      <c r="P197" s="189" t="n"/>
      <c r="Q197" s="200" t="n"/>
      <c r="R197" s="87" t="n"/>
    </row>
    <row r="198" ht="18" customHeight="1" s="140">
      <c r="A198" s="103" t="inlineStr">
        <is>
          <t>기  술  사</t>
        </is>
      </c>
      <c r="B198" s="18" t="n"/>
      <c r="C198" s="48">
        <f>'국토품_작업량'!H35</f>
        <v/>
      </c>
      <c r="D198" s="104" t="inlineStr">
        <is>
          <t>인</t>
        </is>
      </c>
      <c r="E198" s="18" t="n"/>
      <c r="F198" s="18" t="n"/>
      <c r="G198" s="95">
        <f>$P$5</f>
        <v/>
      </c>
      <c r="H198" s="95">
        <f>ROUNDDOWN(G198*C198,0)</f>
        <v/>
      </c>
      <c r="I198" s="18" t="n"/>
      <c r="J198" s="18" t="n"/>
      <c r="K198" s="18" t="n"/>
      <c r="L198" s="18" t="n"/>
      <c r="M198" s="36" t="n"/>
      <c r="N198" s="87" t="n"/>
      <c r="O198" s="190" t="n"/>
      <c r="P198" s="189" t="n"/>
      <c r="Q198" s="200" t="n"/>
      <c r="R198" s="87" t="n"/>
    </row>
    <row r="199" ht="18" customHeight="1" s="140">
      <c r="A199" s="103" t="inlineStr">
        <is>
          <t>특급기술자</t>
        </is>
      </c>
      <c r="B199" s="18" t="n"/>
      <c r="C199" s="48">
        <f>'국토품_작업량'!I35</f>
        <v/>
      </c>
      <c r="D199" s="104" t="inlineStr">
        <is>
          <t>인</t>
        </is>
      </c>
      <c r="E199" s="201" t="n"/>
      <c r="F199" s="201" t="n"/>
      <c r="G199" s="95">
        <f>$P$6</f>
        <v/>
      </c>
      <c r="H199" s="95">
        <f>ROUNDDOWN(G199*C199,0)</f>
        <v/>
      </c>
      <c r="I199" s="18" t="n"/>
      <c r="J199" s="18" t="n"/>
      <c r="K199" s="18" t="n"/>
      <c r="L199" s="18" t="n"/>
      <c r="M199" s="36" t="n"/>
      <c r="N199" s="87" t="n"/>
      <c r="O199" s="190" t="n"/>
      <c r="P199" s="189" t="n"/>
      <c r="Q199" s="202" t="n"/>
      <c r="R199" s="87" t="n"/>
    </row>
    <row r="200" ht="18" customHeight="1" s="140">
      <c r="A200" s="103" t="inlineStr">
        <is>
          <t>고급기술자</t>
        </is>
      </c>
      <c r="B200" s="18" t="n"/>
      <c r="C200" s="48">
        <f>'국토품_작업량'!J35</f>
        <v/>
      </c>
      <c r="D200" s="104" t="inlineStr">
        <is>
          <t>인</t>
        </is>
      </c>
      <c r="E200" s="201" t="n"/>
      <c r="F200" s="201" t="n"/>
      <c r="G200" s="95">
        <f>$P$7</f>
        <v/>
      </c>
      <c r="H200" s="95">
        <f>ROUNDDOWN(G200*C200,0)</f>
        <v/>
      </c>
      <c r="I200" s="18" t="n"/>
      <c r="J200" s="18" t="n"/>
      <c r="K200" s="18" t="n"/>
      <c r="L200" s="18" t="n"/>
      <c r="M200" s="36" t="n"/>
      <c r="N200" s="87" t="n"/>
      <c r="O200" s="190" t="n"/>
      <c r="P200" s="189" t="n"/>
      <c r="Q200" s="202" t="n"/>
      <c r="R200" s="87" t="n"/>
    </row>
    <row r="201" ht="18" customHeight="1" s="140">
      <c r="A201" s="103" t="inlineStr">
        <is>
          <t>중급기술자</t>
        </is>
      </c>
      <c r="B201" s="18" t="n"/>
      <c r="C201" s="48">
        <f>'국토품_작업량'!K35</f>
        <v/>
      </c>
      <c r="D201" s="104" t="inlineStr">
        <is>
          <t>인</t>
        </is>
      </c>
      <c r="E201" s="201" t="n"/>
      <c r="F201" s="201" t="n"/>
      <c r="G201" s="95">
        <f>$P$8</f>
        <v/>
      </c>
      <c r="H201" s="95">
        <f>ROUNDDOWN(G201*C201,0)</f>
        <v/>
      </c>
      <c r="I201" s="18" t="n"/>
      <c r="J201" s="18" t="n"/>
      <c r="K201" s="18" t="n"/>
      <c r="L201" s="18" t="n"/>
      <c r="M201" s="36" t="n"/>
      <c r="N201" s="87" t="n"/>
      <c r="O201" s="200" t="n"/>
      <c r="P201" s="203" t="n"/>
      <c r="Q201" s="202" t="n"/>
      <c r="R201" s="87" t="n"/>
    </row>
    <row r="202" ht="18" customHeight="1" s="140">
      <c r="A202" s="103" t="inlineStr">
        <is>
          <t>초급기술자</t>
        </is>
      </c>
      <c r="B202" s="18" t="n"/>
      <c r="C202" s="48">
        <f>'국토품_작업량'!L35</f>
        <v/>
      </c>
      <c r="D202" s="104" t="inlineStr">
        <is>
          <t>인</t>
        </is>
      </c>
      <c r="E202" s="201" t="n"/>
      <c r="F202" s="201" t="n"/>
      <c r="G202" s="95">
        <f>$P$9</f>
        <v/>
      </c>
      <c r="H202" s="95">
        <f>ROUNDDOWN(G202*C202,0)</f>
        <v/>
      </c>
      <c r="I202" s="18" t="n"/>
      <c r="J202" s="18" t="n"/>
      <c r="K202" s="18" t="n"/>
      <c r="L202" s="18" t="n"/>
      <c r="M202" s="36" t="n"/>
      <c r="N202" s="87" t="n"/>
      <c r="O202" s="200" t="n"/>
      <c r="P202" s="203" t="n"/>
      <c r="Q202" s="202" t="n"/>
      <c r="R202" s="87" t="n"/>
    </row>
    <row r="203" ht="18" customHeight="1" s="140">
      <c r="A203" s="47">
        <f>'국토품_작업량'!A36</f>
        <v/>
      </c>
      <c r="B203" s="18" t="n"/>
      <c r="C203" s="48" t="n"/>
      <c r="D203" s="18" t="n"/>
      <c r="E203" s="18" t="n"/>
      <c r="F203" s="18" t="n"/>
      <c r="G203" s="18" t="n"/>
      <c r="H203" s="95">
        <f>SUM(H204:H208)</f>
        <v/>
      </c>
      <c r="I203" s="18" t="n"/>
      <c r="J203" s="18" t="n"/>
      <c r="K203" s="18" t="n"/>
      <c r="L203" s="18" t="n"/>
      <c r="M203" s="36" t="n"/>
      <c r="N203" s="87" t="n"/>
      <c r="O203" s="190" t="n"/>
      <c r="P203" s="189" t="n"/>
      <c r="Q203" s="200" t="n"/>
      <c r="R203" s="87" t="n"/>
    </row>
    <row r="204" ht="18" customHeight="1" s="140">
      <c r="A204" s="103" t="inlineStr">
        <is>
          <t>기  술  사</t>
        </is>
      </c>
      <c r="B204" s="18" t="n"/>
      <c r="C204" s="48">
        <f>'국토품_작업량'!H36</f>
        <v/>
      </c>
      <c r="D204" s="104" t="inlineStr">
        <is>
          <t>인</t>
        </is>
      </c>
      <c r="E204" s="18" t="n"/>
      <c r="F204" s="18" t="n"/>
      <c r="G204" s="95">
        <f>$P$5</f>
        <v/>
      </c>
      <c r="H204" s="95">
        <f>ROUNDDOWN(G204*C204,0)</f>
        <v/>
      </c>
      <c r="I204" s="18" t="n"/>
      <c r="J204" s="18" t="n"/>
      <c r="K204" s="18" t="n"/>
      <c r="L204" s="18" t="n"/>
      <c r="M204" s="36" t="n"/>
      <c r="N204" s="87" t="n"/>
      <c r="O204" s="190" t="n"/>
      <c r="P204" s="189" t="n"/>
      <c r="Q204" s="200" t="n"/>
      <c r="R204" s="87" t="n"/>
    </row>
    <row r="205" ht="18" customHeight="1" s="140">
      <c r="A205" s="103" t="inlineStr">
        <is>
          <t>특급기술자</t>
        </is>
      </c>
      <c r="B205" s="18" t="n"/>
      <c r="C205" s="48">
        <f>'국토품_작업량'!I36</f>
        <v/>
      </c>
      <c r="D205" s="104" t="inlineStr">
        <is>
          <t>인</t>
        </is>
      </c>
      <c r="E205" s="201" t="n"/>
      <c r="F205" s="201" t="n"/>
      <c r="G205" s="95">
        <f>$P$6</f>
        <v/>
      </c>
      <c r="H205" s="95">
        <f>ROUNDDOWN(G205*C205,0)</f>
        <v/>
      </c>
      <c r="I205" s="18" t="n"/>
      <c r="J205" s="18" t="n"/>
      <c r="K205" s="18" t="n"/>
      <c r="L205" s="18" t="n"/>
      <c r="M205" s="36" t="n"/>
      <c r="N205" s="87" t="n"/>
      <c r="O205" s="190" t="n"/>
      <c r="P205" s="189" t="n"/>
      <c r="Q205" s="202" t="n"/>
      <c r="R205" s="87" t="n"/>
    </row>
    <row r="206" ht="18" customHeight="1" s="140">
      <c r="A206" s="103" t="inlineStr">
        <is>
          <t>고급기술자</t>
        </is>
      </c>
      <c r="B206" s="18" t="n"/>
      <c r="C206" s="48">
        <f>'국토품_작업량'!J36</f>
        <v/>
      </c>
      <c r="D206" s="104" t="inlineStr">
        <is>
          <t>인</t>
        </is>
      </c>
      <c r="E206" s="201" t="n"/>
      <c r="F206" s="201" t="n"/>
      <c r="G206" s="95">
        <f>$P$7</f>
        <v/>
      </c>
      <c r="H206" s="95">
        <f>ROUNDDOWN(G206*C206,0)</f>
        <v/>
      </c>
      <c r="I206" s="18" t="n"/>
      <c r="J206" s="18" t="n"/>
      <c r="K206" s="18" t="n"/>
      <c r="L206" s="18" t="n"/>
      <c r="M206" s="36" t="n"/>
      <c r="N206" s="87" t="n"/>
      <c r="O206" s="190" t="n"/>
      <c r="P206" s="189" t="n"/>
      <c r="Q206" s="202" t="n"/>
      <c r="R206" s="87" t="n"/>
    </row>
    <row r="207" ht="18" customHeight="1" s="140">
      <c r="A207" s="103" t="inlineStr">
        <is>
          <t>중급기술자</t>
        </is>
      </c>
      <c r="B207" s="18" t="n"/>
      <c r="C207" s="48">
        <f>'국토품_작업량'!K36</f>
        <v/>
      </c>
      <c r="D207" s="104" t="inlineStr">
        <is>
          <t>인</t>
        </is>
      </c>
      <c r="E207" s="201" t="n"/>
      <c r="F207" s="201" t="n"/>
      <c r="G207" s="95">
        <f>$P$8</f>
        <v/>
      </c>
      <c r="H207" s="95">
        <f>ROUNDDOWN(G207*C207,0)</f>
        <v/>
      </c>
      <c r="I207" s="18" t="n"/>
      <c r="J207" s="18" t="n"/>
      <c r="K207" s="18" t="n"/>
      <c r="L207" s="18" t="n"/>
      <c r="M207" s="36" t="n"/>
      <c r="N207" s="87" t="n"/>
      <c r="O207" s="200" t="n"/>
      <c r="P207" s="203" t="n"/>
      <c r="Q207" s="202" t="n"/>
      <c r="R207" s="87" t="n"/>
    </row>
    <row r="208" ht="18" customHeight="1" s="140">
      <c r="A208" s="103" t="inlineStr">
        <is>
          <t>초급기술자</t>
        </is>
      </c>
      <c r="B208" s="18" t="n"/>
      <c r="C208" s="48">
        <f>'국토품_작업량'!L36</f>
        <v/>
      </c>
      <c r="D208" s="104" t="inlineStr">
        <is>
          <t>인</t>
        </is>
      </c>
      <c r="E208" s="201" t="n"/>
      <c r="F208" s="201" t="n"/>
      <c r="G208" s="95">
        <f>$P$9</f>
        <v/>
      </c>
      <c r="H208" s="95">
        <f>ROUNDDOWN(G208*C208,0)</f>
        <v/>
      </c>
      <c r="I208" s="18" t="n"/>
      <c r="J208" s="18" t="n"/>
      <c r="K208" s="18" t="n"/>
      <c r="L208" s="18" t="n"/>
      <c r="M208" s="36" t="n"/>
      <c r="N208" s="87" t="n"/>
      <c r="O208" s="200" t="n"/>
      <c r="P208" s="203" t="n"/>
      <c r="Q208" s="202" t="n"/>
      <c r="R208" s="87" t="n"/>
    </row>
    <row r="209" ht="18" customHeight="1" s="140">
      <c r="A209" s="47">
        <f>'국토품_작업량'!A37</f>
        <v/>
      </c>
      <c r="B209" s="18" t="n"/>
      <c r="C209" s="48" t="n"/>
      <c r="D209" s="18" t="n"/>
      <c r="E209" s="18" t="n"/>
      <c r="F209" s="18" t="n"/>
      <c r="G209" s="18" t="n"/>
      <c r="H209" s="95">
        <f>SUM(H210:H214)</f>
        <v/>
      </c>
      <c r="I209" s="18" t="n"/>
      <c r="J209" s="18" t="n"/>
      <c r="K209" s="18" t="n"/>
      <c r="L209" s="18" t="n"/>
      <c r="M209" s="36" t="n"/>
      <c r="N209" s="87" t="n"/>
      <c r="O209" s="190" t="n"/>
      <c r="P209" s="189" t="n"/>
      <c r="Q209" s="200" t="n"/>
      <c r="R209" s="87" t="n"/>
    </row>
    <row r="210" ht="18" customHeight="1" s="140">
      <c r="A210" s="103" t="inlineStr">
        <is>
          <t>기  술  사</t>
        </is>
      </c>
      <c r="B210" s="18" t="n"/>
      <c r="C210" s="48">
        <f>'국토품_작업량'!H37</f>
        <v/>
      </c>
      <c r="D210" s="104" t="inlineStr">
        <is>
          <t>인</t>
        </is>
      </c>
      <c r="E210" s="18" t="n"/>
      <c r="F210" s="18" t="n"/>
      <c r="G210" s="95">
        <f>$P$5</f>
        <v/>
      </c>
      <c r="H210" s="95">
        <f>ROUNDDOWN(G210*C210,0)</f>
        <v/>
      </c>
      <c r="I210" s="18" t="n"/>
      <c r="J210" s="18" t="n"/>
      <c r="K210" s="18" t="n"/>
      <c r="L210" s="18" t="n"/>
      <c r="M210" s="36" t="n"/>
      <c r="N210" s="87" t="n"/>
      <c r="O210" s="190" t="n"/>
      <c r="P210" s="189" t="n"/>
      <c r="Q210" s="200" t="n"/>
      <c r="R210" s="87" t="n"/>
    </row>
    <row r="211" ht="18" customHeight="1" s="140">
      <c r="A211" s="103" t="inlineStr">
        <is>
          <t>특급기술자</t>
        </is>
      </c>
      <c r="B211" s="18" t="n"/>
      <c r="C211" s="48">
        <f>'국토품_작업량'!I37</f>
        <v/>
      </c>
      <c r="D211" s="104" t="inlineStr">
        <is>
          <t>인</t>
        </is>
      </c>
      <c r="E211" s="201" t="n"/>
      <c r="F211" s="201" t="n"/>
      <c r="G211" s="95">
        <f>$P$6</f>
        <v/>
      </c>
      <c r="H211" s="95">
        <f>ROUNDDOWN(G211*C211,0)</f>
        <v/>
      </c>
      <c r="I211" s="18" t="n"/>
      <c r="J211" s="18" t="n"/>
      <c r="K211" s="18" t="n"/>
      <c r="L211" s="18" t="n"/>
      <c r="M211" s="36" t="n"/>
      <c r="N211" s="87" t="n"/>
      <c r="O211" s="190" t="n"/>
      <c r="P211" s="189" t="n"/>
      <c r="Q211" s="202" t="n"/>
      <c r="R211" s="87" t="n"/>
    </row>
    <row r="212" ht="18" customHeight="1" s="140">
      <c r="A212" s="103" t="inlineStr">
        <is>
          <t>고급기술자</t>
        </is>
      </c>
      <c r="B212" s="18" t="n"/>
      <c r="C212" s="48">
        <f>'국토품_작업량'!J37</f>
        <v/>
      </c>
      <c r="D212" s="104" t="inlineStr">
        <is>
          <t>인</t>
        </is>
      </c>
      <c r="E212" s="201" t="n"/>
      <c r="F212" s="201" t="n"/>
      <c r="G212" s="95">
        <f>$P$7</f>
        <v/>
      </c>
      <c r="H212" s="95">
        <f>ROUNDDOWN(G212*C212,0)</f>
        <v/>
      </c>
      <c r="I212" s="18" t="n"/>
      <c r="J212" s="18" t="n"/>
      <c r="K212" s="18" t="n"/>
      <c r="L212" s="18" t="n"/>
      <c r="M212" s="36" t="n"/>
      <c r="N212" s="87" t="n"/>
      <c r="O212" s="190" t="n"/>
      <c r="P212" s="189" t="n"/>
      <c r="Q212" s="202" t="n"/>
      <c r="R212" s="87" t="n"/>
    </row>
    <row r="213" ht="18" customHeight="1" s="140">
      <c r="A213" s="103" t="inlineStr">
        <is>
          <t>중급기술자</t>
        </is>
      </c>
      <c r="B213" s="18" t="n"/>
      <c r="C213" s="48">
        <f>'국토품_작업량'!K37</f>
        <v/>
      </c>
      <c r="D213" s="104" t="inlineStr">
        <is>
          <t>인</t>
        </is>
      </c>
      <c r="E213" s="201" t="n"/>
      <c r="F213" s="201" t="n"/>
      <c r="G213" s="95">
        <f>$P$8</f>
        <v/>
      </c>
      <c r="H213" s="95">
        <f>ROUNDDOWN(G213*C213,0)</f>
        <v/>
      </c>
      <c r="I213" s="18" t="n"/>
      <c r="J213" s="18" t="n"/>
      <c r="K213" s="18" t="n"/>
      <c r="L213" s="18" t="n"/>
      <c r="M213" s="36" t="n"/>
      <c r="N213" s="87" t="n"/>
      <c r="O213" s="200" t="n"/>
      <c r="P213" s="203" t="n"/>
      <c r="Q213" s="202" t="n"/>
      <c r="R213" s="87" t="n"/>
    </row>
    <row r="214" ht="18" customHeight="1" s="140">
      <c r="A214" s="103" t="inlineStr">
        <is>
          <t>초급기술자</t>
        </is>
      </c>
      <c r="B214" s="18" t="n"/>
      <c r="C214" s="48">
        <f>'국토품_작업량'!L37</f>
        <v/>
      </c>
      <c r="D214" s="104" t="inlineStr">
        <is>
          <t>인</t>
        </is>
      </c>
      <c r="E214" s="201" t="n"/>
      <c r="F214" s="201" t="n"/>
      <c r="G214" s="95">
        <f>$P$9</f>
        <v/>
      </c>
      <c r="H214" s="95">
        <f>ROUNDDOWN(G214*C214,0)</f>
        <v/>
      </c>
      <c r="I214" s="18" t="n"/>
      <c r="J214" s="18" t="n"/>
      <c r="K214" s="18" t="n"/>
      <c r="L214" s="18" t="n"/>
      <c r="M214" s="36" t="n"/>
      <c r="N214" s="87" t="n"/>
      <c r="O214" s="200" t="n"/>
      <c r="P214" s="203" t="n"/>
      <c r="Q214" s="202" t="n"/>
      <c r="R214" s="87" t="n"/>
    </row>
    <row r="215" ht="18" customHeight="1" s="140">
      <c r="A215" s="244" t="n"/>
      <c r="B215" s="245" t="n"/>
      <c r="C215" s="94" t="n"/>
      <c r="D215" s="40" t="n"/>
      <c r="E215" s="108" t="n"/>
      <c r="F215" s="245" t="n"/>
      <c r="G215" s="107" t="n"/>
      <c r="H215" s="102" t="n"/>
      <c r="I215" s="107" t="n"/>
      <c r="J215" s="107" t="n"/>
      <c r="K215" s="107" t="n"/>
      <c r="L215" s="107" t="n"/>
      <c r="M215" s="41" t="n"/>
      <c r="N215" s="87" t="n"/>
      <c r="O215" s="189" t="n"/>
      <c r="P215" s="189" t="n"/>
      <c r="Q215" s="190" t="n"/>
      <c r="R215" s="87" t="n"/>
    </row>
    <row r="216" ht="18" customHeight="1" s="140">
      <c r="A216" s="250">
        <f>'국토품_작업량'!A38</f>
        <v/>
      </c>
      <c r="B216" s="251" t="n"/>
      <c r="C216" s="252" t="n"/>
      <c r="D216" s="251" t="n"/>
      <c r="E216" s="251" t="n"/>
      <c r="F216" s="251" t="n"/>
      <c r="G216" s="251" t="n"/>
      <c r="H216" s="253">
        <f>H217+H223</f>
        <v/>
      </c>
      <c r="I216" s="251" t="n"/>
      <c r="J216" s="251" t="n"/>
      <c r="K216" s="251" t="n"/>
      <c r="L216" s="251" t="n"/>
      <c r="M216" s="65" t="n"/>
      <c r="N216" s="87" t="n"/>
      <c r="O216" s="190" t="n"/>
      <c r="P216" s="189" t="n"/>
      <c r="Q216" s="200" t="n"/>
      <c r="R216" s="87" t="n"/>
    </row>
    <row r="217" ht="18" customHeight="1" s="140">
      <c r="A217" s="47">
        <f>'국토품_작업량'!A39</f>
        <v/>
      </c>
      <c r="B217" s="18" t="n"/>
      <c r="C217" s="48" t="n"/>
      <c r="D217" s="18" t="n"/>
      <c r="E217" s="18" t="n"/>
      <c r="F217" s="18" t="n"/>
      <c r="G217" s="18" t="n"/>
      <c r="H217" s="95">
        <f>SUM(H218:H222)</f>
        <v/>
      </c>
      <c r="I217" s="18" t="n"/>
      <c r="J217" s="18" t="n"/>
      <c r="K217" s="18" t="n"/>
      <c r="L217" s="18" t="n"/>
      <c r="M217" s="36" t="n"/>
      <c r="N217" s="87" t="n"/>
      <c r="O217" s="190" t="n"/>
      <c r="P217" s="189" t="n"/>
      <c r="Q217" s="200" t="n"/>
      <c r="R217" s="87" t="n"/>
    </row>
    <row r="218" ht="18" customHeight="1" s="140">
      <c r="A218" s="103" t="inlineStr">
        <is>
          <t>기  술  사</t>
        </is>
      </c>
      <c r="B218" s="18" t="n"/>
      <c r="C218" s="48">
        <f>'국토품_작업량'!H39</f>
        <v/>
      </c>
      <c r="D218" s="104" t="inlineStr">
        <is>
          <t>인</t>
        </is>
      </c>
      <c r="E218" s="18" t="n"/>
      <c r="F218" s="18" t="n"/>
      <c r="G218" s="95">
        <f>$P$5</f>
        <v/>
      </c>
      <c r="H218" s="95">
        <f>ROUNDDOWN(G218*C218,0)</f>
        <v/>
      </c>
      <c r="I218" s="18" t="n"/>
      <c r="J218" s="18" t="n"/>
      <c r="K218" s="18" t="n"/>
      <c r="L218" s="18" t="n"/>
      <c r="M218" s="36" t="n"/>
      <c r="N218" s="87" t="n"/>
      <c r="O218" s="190" t="n"/>
      <c r="P218" s="189" t="n"/>
      <c r="Q218" s="200" t="n"/>
      <c r="R218" s="87" t="n"/>
    </row>
    <row r="219" ht="18" customHeight="1" s="140">
      <c r="A219" s="103" t="inlineStr">
        <is>
          <t>특급기술자</t>
        </is>
      </c>
      <c r="B219" s="18" t="n"/>
      <c r="C219" s="48">
        <f>'국토품_작업량'!I39</f>
        <v/>
      </c>
      <c r="D219" s="104" t="inlineStr">
        <is>
          <t>인</t>
        </is>
      </c>
      <c r="E219" s="201" t="n"/>
      <c r="F219" s="201" t="n"/>
      <c r="G219" s="95">
        <f>$P$6</f>
        <v/>
      </c>
      <c r="H219" s="95">
        <f>ROUNDDOWN(G219*C219,0)</f>
        <v/>
      </c>
      <c r="I219" s="18" t="n"/>
      <c r="J219" s="18" t="n"/>
      <c r="K219" s="18" t="n"/>
      <c r="L219" s="18" t="n"/>
      <c r="M219" s="36" t="n"/>
      <c r="N219" s="87" t="n"/>
      <c r="O219" s="190" t="n"/>
      <c r="P219" s="189" t="n"/>
      <c r="Q219" s="202" t="n"/>
      <c r="R219" s="87" t="n"/>
    </row>
    <row r="220" ht="18" customHeight="1" s="140">
      <c r="A220" s="103" t="inlineStr">
        <is>
          <t>고급기술자</t>
        </is>
      </c>
      <c r="B220" s="18" t="n"/>
      <c r="C220" s="48">
        <f>'국토품_작업량'!J39</f>
        <v/>
      </c>
      <c r="D220" s="104" t="inlineStr">
        <is>
          <t>인</t>
        </is>
      </c>
      <c r="E220" s="201" t="n"/>
      <c r="F220" s="201" t="n"/>
      <c r="G220" s="95">
        <f>$P$7</f>
        <v/>
      </c>
      <c r="H220" s="95">
        <f>ROUNDDOWN(G220*C220,0)</f>
        <v/>
      </c>
      <c r="I220" s="18" t="n"/>
      <c r="J220" s="18" t="n"/>
      <c r="K220" s="18" t="n"/>
      <c r="L220" s="18" t="n"/>
      <c r="M220" s="36" t="n"/>
      <c r="N220" s="87" t="n"/>
      <c r="O220" s="190" t="n"/>
      <c r="P220" s="189" t="n"/>
      <c r="Q220" s="202" t="n"/>
      <c r="R220" s="87" t="n"/>
    </row>
    <row r="221" ht="18" customHeight="1" s="140">
      <c r="A221" s="103" t="inlineStr">
        <is>
          <t>중급기술자</t>
        </is>
      </c>
      <c r="B221" s="18" t="n"/>
      <c r="C221" s="48">
        <f>'국토품_작업량'!K39</f>
        <v/>
      </c>
      <c r="D221" s="104" t="inlineStr">
        <is>
          <t>인</t>
        </is>
      </c>
      <c r="E221" s="201" t="n"/>
      <c r="F221" s="201" t="n"/>
      <c r="G221" s="95">
        <f>$P$8</f>
        <v/>
      </c>
      <c r="H221" s="95">
        <f>ROUNDDOWN(G221*C221,0)</f>
        <v/>
      </c>
      <c r="I221" s="18" t="n"/>
      <c r="J221" s="18" t="n"/>
      <c r="K221" s="18" t="n"/>
      <c r="L221" s="18" t="n"/>
      <c r="M221" s="36" t="n"/>
      <c r="N221" s="87" t="n"/>
      <c r="O221" s="200" t="n"/>
      <c r="P221" s="203" t="n"/>
      <c r="Q221" s="202" t="n"/>
      <c r="R221" s="87" t="n"/>
    </row>
    <row r="222" ht="18" customHeight="1" s="140">
      <c r="A222" s="103" t="inlineStr">
        <is>
          <t>초급기술자</t>
        </is>
      </c>
      <c r="B222" s="18" t="n"/>
      <c r="C222" s="48">
        <f>'국토품_작업량'!L39</f>
        <v/>
      </c>
      <c r="D222" s="104" t="inlineStr">
        <is>
          <t>인</t>
        </is>
      </c>
      <c r="E222" s="201" t="n"/>
      <c r="F222" s="201" t="n"/>
      <c r="G222" s="95">
        <f>$P$9</f>
        <v/>
      </c>
      <c r="H222" s="95">
        <f>ROUNDDOWN(G222*C222,0)</f>
        <v/>
      </c>
      <c r="I222" s="18" t="n"/>
      <c r="J222" s="18" t="n"/>
      <c r="K222" s="18" t="n"/>
      <c r="L222" s="18" t="n"/>
      <c r="M222" s="36" t="n"/>
      <c r="N222" s="87" t="n"/>
      <c r="O222" s="200" t="n"/>
      <c r="P222" s="203" t="n"/>
      <c r="Q222" s="202" t="n"/>
      <c r="R222" s="87" t="n"/>
    </row>
    <row r="223" ht="18" customHeight="1" s="140">
      <c r="A223" s="47">
        <f>'국토품_작업량'!A40</f>
        <v/>
      </c>
      <c r="B223" s="18" t="n"/>
      <c r="C223" s="48" t="n"/>
      <c r="D223" s="18" t="n"/>
      <c r="E223" s="18" t="n"/>
      <c r="F223" s="18" t="n"/>
      <c r="G223" s="18" t="n"/>
      <c r="H223" s="95">
        <f>SUM(H224:H228)</f>
        <v/>
      </c>
      <c r="I223" s="18" t="n"/>
      <c r="J223" s="18" t="n"/>
      <c r="K223" s="18" t="n"/>
      <c r="L223" s="18" t="n"/>
      <c r="M223" s="36" t="n"/>
      <c r="N223" s="87" t="n"/>
      <c r="O223" s="190" t="n"/>
      <c r="P223" s="189" t="n"/>
      <c r="Q223" s="200" t="n"/>
      <c r="R223" s="87" t="n"/>
    </row>
    <row r="224" ht="18" customHeight="1" s="140">
      <c r="A224" s="103" t="inlineStr">
        <is>
          <t>기  술  사</t>
        </is>
      </c>
      <c r="B224" s="18" t="n"/>
      <c r="C224" s="48">
        <f>'국토품_작업량'!H40</f>
        <v/>
      </c>
      <c r="D224" s="104" t="inlineStr">
        <is>
          <t>인</t>
        </is>
      </c>
      <c r="E224" s="18" t="n"/>
      <c r="F224" s="18" t="n"/>
      <c r="G224" s="95">
        <f>$P$5</f>
        <v/>
      </c>
      <c r="H224" s="95">
        <f>ROUNDDOWN(G224*C224,0)</f>
        <v/>
      </c>
      <c r="I224" s="18" t="n"/>
      <c r="J224" s="18" t="n"/>
      <c r="K224" s="18" t="n"/>
      <c r="L224" s="18" t="n"/>
      <c r="M224" s="36" t="n"/>
      <c r="N224" s="87" t="n"/>
      <c r="O224" s="190" t="n"/>
      <c r="P224" s="189" t="n"/>
      <c r="Q224" s="200" t="n"/>
      <c r="R224" s="87" t="n"/>
    </row>
    <row r="225" ht="18" customHeight="1" s="140">
      <c r="A225" s="103" t="inlineStr">
        <is>
          <t>특급기술자</t>
        </is>
      </c>
      <c r="B225" s="18" t="n"/>
      <c r="C225" s="48">
        <f>'국토품_작업량'!I40</f>
        <v/>
      </c>
      <c r="D225" s="104" t="inlineStr">
        <is>
          <t>인</t>
        </is>
      </c>
      <c r="E225" s="201" t="n"/>
      <c r="F225" s="201" t="n"/>
      <c r="G225" s="95">
        <f>$P$6</f>
        <v/>
      </c>
      <c r="H225" s="95">
        <f>ROUNDDOWN(G225*C225,0)</f>
        <v/>
      </c>
      <c r="I225" s="18" t="n"/>
      <c r="J225" s="18" t="n"/>
      <c r="K225" s="18" t="n"/>
      <c r="L225" s="18" t="n"/>
      <c r="M225" s="36" t="n"/>
      <c r="N225" s="87" t="n"/>
      <c r="O225" s="190" t="n"/>
      <c r="P225" s="189" t="n"/>
      <c r="Q225" s="202" t="n"/>
      <c r="R225" s="87" t="n"/>
    </row>
    <row r="226" ht="18" customHeight="1" s="140">
      <c r="A226" s="103" t="inlineStr">
        <is>
          <t>고급기술자</t>
        </is>
      </c>
      <c r="B226" s="18" t="n"/>
      <c r="C226" s="48">
        <f>'국토품_작업량'!J40</f>
        <v/>
      </c>
      <c r="D226" s="104" t="inlineStr">
        <is>
          <t>인</t>
        </is>
      </c>
      <c r="E226" s="201" t="n"/>
      <c r="F226" s="201" t="n"/>
      <c r="G226" s="95">
        <f>$P$7</f>
        <v/>
      </c>
      <c r="H226" s="95">
        <f>ROUNDDOWN(G226*C226,0)</f>
        <v/>
      </c>
      <c r="I226" s="18" t="n"/>
      <c r="J226" s="18" t="n"/>
      <c r="K226" s="18" t="n"/>
      <c r="L226" s="18" t="n"/>
      <c r="M226" s="36" t="n"/>
      <c r="N226" s="87" t="n"/>
      <c r="O226" s="190" t="n"/>
      <c r="P226" s="189" t="n"/>
      <c r="Q226" s="202" t="n"/>
      <c r="R226" s="87" t="n"/>
    </row>
    <row r="227" ht="18" customHeight="1" s="140">
      <c r="A227" s="103" t="inlineStr">
        <is>
          <t>중급기술자</t>
        </is>
      </c>
      <c r="B227" s="18" t="n"/>
      <c r="C227" s="48">
        <f>'국토품_작업량'!K40</f>
        <v/>
      </c>
      <c r="D227" s="104" t="inlineStr">
        <is>
          <t>인</t>
        </is>
      </c>
      <c r="E227" s="201" t="n"/>
      <c r="F227" s="201" t="n"/>
      <c r="G227" s="95">
        <f>$P$8</f>
        <v/>
      </c>
      <c r="H227" s="95">
        <f>ROUNDDOWN(G227*C227,0)</f>
        <v/>
      </c>
      <c r="I227" s="18" t="n"/>
      <c r="J227" s="18" t="n"/>
      <c r="K227" s="18" t="n"/>
      <c r="L227" s="18" t="n"/>
      <c r="M227" s="36" t="n"/>
      <c r="N227" s="87" t="n"/>
      <c r="O227" s="200" t="n"/>
      <c r="P227" s="203" t="n"/>
      <c r="Q227" s="202" t="n"/>
      <c r="R227" s="87" t="n"/>
    </row>
    <row r="228" ht="18" customHeight="1" s="140">
      <c r="A228" s="103" t="inlineStr">
        <is>
          <t>초급기술자</t>
        </is>
      </c>
      <c r="B228" s="18" t="n"/>
      <c r="C228" s="48">
        <f>'국토품_작업량'!L40</f>
        <v/>
      </c>
      <c r="D228" s="104" t="inlineStr">
        <is>
          <t>인</t>
        </is>
      </c>
      <c r="E228" s="201" t="n"/>
      <c r="F228" s="201" t="n"/>
      <c r="G228" s="95">
        <f>$P$9</f>
        <v/>
      </c>
      <c r="H228" s="95">
        <f>ROUNDDOWN(G228*C228,0)</f>
        <v/>
      </c>
      <c r="I228" s="18" t="n"/>
      <c r="J228" s="18" t="n"/>
      <c r="K228" s="18" t="n"/>
      <c r="L228" s="18" t="n"/>
      <c r="M228" s="36" t="n"/>
      <c r="N228" s="87" t="n"/>
      <c r="O228" s="200" t="n"/>
      <c r="P228" s="203" t="n"/>
      <c r="Q228" s="202" t="n"/>
      <c r="R228" s="87" t="n"/>
    </row>
    <row r="229" ht="18" customHeight="1" s="140">
      <c r="A229" s="244" t="n"/>
      <c r="B229" s="245" t="n"/>
      <c r="C229" s="94" t="n"/>
      <c r="D229" s="40" t="n"/>
      <c r="E229" s="108" t="n"/>
      <c r="F229" s="245" t="n"/>
      <c r="G229" s="107" t="n"/>
      <c r="H229" s="102" t="n"/>
      <c r="I229" s="107" t="n"/>
      <c r="J229" s="107" t="n"/>
      <c r="K229" s="107" t="n"/>
      <c r="L229" s="107" t="n"/>
      <c r="M229" s="41" t="n"/>
      <c r="N229" s="87" t="n"/>
      <c r="O229" s="189" t="n"/>
      <c r="P229" s="189" t="n"/>
      <c r="Q229" s="190" t="n"/>
      <c r="R229" s="87" t="n"/>
    </row>
    <row r="230" ht="18" customHeight="1" s="140">
      <c r="A230" s="250">
        <f>'국토품_작업량'!A41</f>
        <v/>
      </c>
      <c r="B230" s="251" t="n"/>
      <c r="C230" s="252" t="n"/>
      <c r="D230" s="251" t="n"/>
      <c r="E230" s="251" t="n"/>
      <c r="F230" s="251" t="n"/>
      <c r="G230" s="251" t="n"/>
      <c r="H230" s="253">
        <f>H231+H237+H243+H249+H255+H261</f>
        <v/>
      </c>
      <c r="I230" s="251" t="n"/>
      <c r="J230" s="251" t="n"/>
      <c r="K230" s="251" t="n"/>
      <c r="L230" s="251" t="n"/>
      <c r="M230" s="65" t="n"/>
      <c r="N230" s="87" t="n"/>
      <c r="O230" s="190" t="n"/>
      <c r="P230" s="189" t="n"/>
      <c r="Q230" s="200" t="n"/>
      <c r="R230" s="87" t="n"/>
    </row>
    <row r="231" ht="18" customHeight="1" s="140">
      <c r="A231" s="47">
        <f>'국토품_작업량'!A42</f>
        <v/>
      </c>
      <c r="B231" s="18" t="n"/>
      <c r="C231" s="48" t="n"/>
      <c r="D231" s="18" t="n"/>
      <c r="E231" s="18" t="n"/>
      <c r="F231" s="18" t="n"/>
      <c r="G231" s="18" t="n"/>
      <c r="H231" s="95">
        <f>SUM(H232:H236)</f>
        <v/>
      </c>
      <c r="I231" s="18" t="n"/>
      <c r="J231" s="18" t="n"/>
      <c r="K231" s="18" t="n"/>
      <c r="L231" s="18" t="n"/>
      <c r="M231" s="36" t="n"/>
      <c r="N231" s="87" t="n"/>
      <c r="O231" s="190" t="n"/>
      <c r="P231" s="189" t="n"/>
      <c r="Q231" s="200" t="n"/>
      <c r="R231" s="87" t="n"/>
    </row>
    <row r="232" ht="18" customHeight="1" s="140">
      <c r="A232" s="103" t="inlineStr">
        <is>
          <t>기  술  사</t>
        </is>
      </c>
      <c r="B232" s="18" t="n"/>
      <c r="C232" s="48">
        <f>'국토품_작업량'!H42</f>
        <v/>
      </c>
      <c r="D232" s="104" t="inlineStr">
        <is>
          <t>인</t>
        </is>
      </c>
      <c r="E232" s="18" t="n"/>
      <c r="F232" s="18" t="n"/>
      <c r="G232" s="95">
        <f>$P$5</f>
        <v/>
      </c>
      <c r="H232" s="95">
        <f>ROUNDDOWN(G232*C232,0)</f>
        <v/>
      </c>
      <c r="I232" s="18" t="n"/>
      <c r="J232" s="18" t="n"/>
      <c r="K232" s="18" t="n"/>
      <c r="L232" s="18" t="n"/>
      <c r="M232" s="36" t="n"/>
      <c r="N232" s="87" t="n"/>
      <c r="O232" s="190" t="n"/>
      <c r="P232" s="189" t="n"/>
      <c r="Q232" s="200" t="n"/>
      <c r="R232" s="87" t="n"/>
    </row>
    <row r="233" ht="18" customHeight="1" s="140">
      <c r="A233" s="103" t="inlineStr">
        <is>
          <t>특급기술자</t>
        </is>
      </c>
      <c r="B233" s="18" t="n"/>
      <c r="C233" s="48">
        <f>'국토품_작업량'!I42</f>
        <v/>
      </c>
      <c r="D233" s="104" t="inlineStr">
        <is>
          <t>인</t>
        </is>
      </c>
      <c r="E233" s="201" t="n"/>
      <c r="F233" s="201" t="n"/>
      <c r="G233" s="95">
        <f>$P$6</f>
        <v/>
      </c>
      <c r="H233" s="95">
        <f>ROUNDDOWN(G233*C233,0)</f>
        <v/>
      </c>
      <c r="I233" s="18" t="n"/>
      <c r="J233" s="18" t="n"/>
      <c r="K233" s="18" t="n"/>
      <c r="L233" s="18" t="n"/>
      <c r="M233" s="36" t="n"/>
      <c r="N233" s="87" t="n"/>
      <c r="O233" s="190" t="n"/>
      <c r="P233" s="189" t="n"/>
      <c r="Q233" s="202" t="n"/>
      <c r="R233" s="87" t="n"/>
    </row>
    <row r="234" ht="18" customHeight="1" s="140">
      <c r="A234" s="103" t="inlineStr">
        <is>
          <t>고급기술자</t>
        </is>
      </c>
      <c r="B234" s="18" t="n"/>
      <c r="C234" s="48">
        <f>'국토품_작업량'!J42</f>
        <v/>
      </c>
      <c r="D234" s="104" t="inlineStr">
        <is>
          <t>인</t>
        </is>
      </c>
      <c r="E234" s="201" t="n"/>
      <c r="F234" s="201" t="n"/>
      <c r="G234" s="95">
        <f>$P$7</f>
        <v/>
      </c>
      <c r="H234" s="95">
        <f>ROUNDDOWN(G234*C234,0)</f>
        <v/>
      </c>
      <c r="I234" s="18" t="n"/>
      <c r="J234" s="18" t="n"/>
      <c r="K234" s="18" t="n"/>
      <c r="L234" s="18" t="n"/>
      <c r="M234" s="36" t="n"/>
      <c r="N234" s="87" t="n"/>
      <c r="O234" s="190" t="n"/>
      <c r="P234" s="189" t="n"/>
      <c r="Q234" s="202" t="n"/>
      <c r="R234" s="87" t="n"/>
    </row>
    <row r="235" ht="18" customHeight="1" s="140">
      <c r="A235" s="103" t="inlineStr">
        <is>
          <t>중급기술자</t>
        </is>
      </c>
      <c r="B235" s="18" t="n"/>
      <c r="C235" s="48">
        <f>'국토품_작업량'!K42</f>
        <v/>
      </c>
      <c r="D235" s="104" t="inlineStr">
        <is>
          <t>인</t>
        </is>
      </c>
      <c r="E235" s="201" t="n"/>
      <c r="F235" s="201" t="n"/>
      <c r="G235" s="95">
        <f>$P$8</f>
        <v/>
      </c>
      <c r="H235" s="95">
        <f>ROUNDDOWN(G235*C235,0)</f>
        <v/>
      </c>
      <c r="I235" s="18" t="n"/>
      <c r="J235" s="18" t="n"/>
      <c r="K235" s="18" t="n"/>
      <c r="L235" s="18" t="n"/>
      <c r="M235" s="36" t="n"/>
      <c r="N235" s="87" t="n"/>
      <c r="O235" s="200" t="n"/>
      <c r="P235" s="203" t="n"/>
      <c r="Q235" s="202" t="n"/>
      <c r="R235" s="87" t="n"/>
    </row>
    <row r="236" ht="18" customHeight="1" s="140">
      <c r="A236" s="103" t="inlineStr">
        <is>
          <t>초급기술자</t>
        </is>
      </c>
      <c r="B236" s="18" t="n"/>
      <c r="C236" s="48">
        <f>'국토품_작업량'!L42</f>
        <v/>
      </c>
      <c r="D236" s="104" t="inlineStr">
        <is>
          <t>인</t>
        </is>
      </c>
      <c r="E236" s="201" t="n"/>
      <c r="F236" s="201" t="n"/>
      <c r="G236" s="95">
        <f>$P$9</f>
        <v/>
      </c>
      <c r="H236" s="95">
        <f>ROUNDDOWN(G236*C236,0)</f>
        <v/>
      </c>
      <c r="I236" s="18" t="n"/>
      <c r="J236" s="18" t="n"/>
      <c r="K236" s="18" t="n"/>
      <c r="L236" s="18" t="n"/>
      <c r="M236" s="36" t="n"/>
      <c r="N236" s="87" t="n"/>
      <c r="O236" s="200" t="n"/>
      <c r="P236" s="203" t="n"/>
      <c r="Q236" s="202" t="n"/>
      <c r="R236" s="87" t="n"/>
    </row>
    <row r="237" ht="18" customHeight="1" s="140">
      <c r="A237" s="47">
        <f>'국토품_작업량'!A43</f>
        <v/>
      </c>
      <c r="B237" s="18" t="n"/>
      <c r="C237" s="48" t="n"/>
      <c r="D237" s="18" t="n"/>
      <c r="E237" s="18" t="n"/>
      <c r="F237" s="18" t="n"/>
      <c r="G237" s="18" t="n"/>
      <c r="H237" s="95">
        <f>SUM(H238:H242)</f>
        <v/>
      </c>
      <c r="I237" s="18" t="n"/>
      <c r="J237" s="18" t="n"/>
      <c r="K237" s="18" t="n"/>
      <c r="L237" s="18" t="n"/>
      <c r="M237" s="36" t="n"/>
      <c r="N237" s="87" t="n"/>
      <c r="O237" s="190" t="n"/>
      <c r="P237" s="189" t="n"/>
      <c r="Q237" s="200" t="n"/>
      <c r="R237" s="87" t="n"/>
    </row>
    <row r="238" ht="18" customHeight="1" s="140">
      <c r="A238" s="103" t="inlineStr">
        <is>
          <t>기  술  사</t>
        </is>
      </c>
      <c r="B238" s="18" t="n"/>
      <c r="C238" s="48">
        <f>'국토품_작업량'!H43</f>
        <v/>
      </c>
      <c r="D238" s="104" t="inlineStr">
        <is>
          <t>인</t>
        </is>
      </c>
      <c r="E238" s="18" t="n"/>
      <c r="F238" s="18" t="n"/>
      <c r="G238" s="95">
        <f>$P$5</f>
        <v/>
      </c>
      <c r="H238" s="95">
        <f>ROUNDDOWN(G238*C238,0)</f>
        <v/>
      </c>
      <c r="I238" s="18" t="n"/>
      <c r="J238" s="18" t="n"/>
      <c r="K238" s="18" t="n"/>
      <c r="L238" s="18" t="n"/>
      <c r="M238" s="36" t="n"/>
      <c r="N238" s="87" t="n"/>
      <c r="O238" s="190" t="n"/>
      <c r="P238" s="189" t="n"/>
      <c r="Q238" s="200" t="n"/>
      <c r="R238" s="87" t="n"/>
    </row>
    <row r="239" ht="18" customHeight="1" s="140">
      <c r="A239" s="103" t="inlineStr">
        <is>
          <t>특급기술자</t>
        </is>
      </c>
      <c r="B239" s="18" t="n"/>
      <c r="C239" s="48">
        <f>'국토품_작업량'!I43</f>
        <v/>
      </c>
      <c r="D239" s="104" t="inlineStr">
        <is>
          <t>인</t>
        </is>
      </c>
      <c r="E239" s="201" t="n"/>
      <c r="F239" s="201" t="n"/>
      <c r="G239" s="95">
        <f>$P$6</f>
        <v/>
      </c>
      <c r="H239" s="95">
        <f>ROUNDDOWN(G239*C239,0)</f>
        <v/>
      </c>
      <c r="I239" s="18" t="n"/>
      <c r="J239" s="18" t="n"/>
      <c r="K239" s="18" t="n"/>
      <c r="L239" s="18" t="n"/>
      <c r="M239" s="36" t="n"/>
      <c r="N239" s="87" t="n"/>
      <c r="O239" s="190" t="n"/>
      <c r="P239" s="189" t="n"/>
      <c r="Q239" s="202" t="n"/>
      <c r="R239" s="87" t="n"/>
    </row>
    <row r="240" ht="18" customHeight="1" s="140">
      <c r="A240" s="103" t="inlineStr">
        <is>
          <t>고급기술자</t>
        </is>
      </c>
      <c r="B240" s="18" t="n"/>
      <c r="C240" s="48">
        <f>'국토품_작업량'!J43</f>
        <v/>
      </c>
      <c r="D240" s="104" t="inlineStr">
        <is>
          <t>인</t>
        </is>
      </c>
      <c r="E240" s="201" t="n"/>
      <c r="F240" s="201" t="n"/>
      <c r="G240" s="95">
        <f>$P$7</f>
        <v/>
      </c>
      <c r="H240" s="95">
        <f>ROUNDDOWN(G240*C240,0)</f>
        <v/>
      </c>
      <c r="I240" s="18" t="n"/>
      <c r="J240" s="18" t="n"/>
      <c r="K240" s="18" t="n"/>
      <c r="L240" s="18" t="n"/>
      <c r="M240" s="36" t="n"/>
      <c r="N240" s="87" t="n"/>
      <c r="O240" s="190" t="n"/>
      <c r="P240" s="189" t="n"/>
      <c r="Q240" s="202" t="n"/>
      <c r="R240" s="87" t="n"/>
    </row>
    <row r="241" ht="18" customHeight="1" s="140">
      <c r="A241" s="103" t="inlineStr">
        <is>
          <t>중급기술자</t>
        </is>
      </c>
      <c r="B241" s="18" t="n"/>
      <c r="C241" s="48">
        <f>'국토품_작업량'!K43</f>
        <v/>
      </c>
      <c r="D241" s="104" t="inlineStr">
        <is>
          <t>인</t>
        </is>
      </c>
      <c r="E241" s="201" t="n"/>
      <c r="F241" s="201" t="n"/>
      <c r="G241" s="95">
        <f>$P$8</f>
        <v/>
      </c>
      <c r="H241" s="95">
        <f>ROUNDDOWN(G241*C241,0)</f>
        <v/>
      </c>
      <c r="I241" s="18" t="n"/>
      <c r="J241" s="18" t="n"/>
      <c r="K241" s="18" t="n"/>
      <c r="L241" s="18" t="n"/>
      <c r="M241" s="36" t="n"/>
      <c r="N241" s="87" t="n"/>
      <c r="O241" s="200" t="n"/>
      <c r="P241" s="203" t="n"/>
      <c r="Q241" s="202" t="n"/>
      <c r="R241" s="87" t="n"/>
    </row>
    <row r="242" ht="18" customHeight="1" s="140">
      <c r="A242" s="103" t="inlineStr">
        <is>
          <t>초급기술자</t>
        </is>
      </c>
      <c r="B242" s="18" t="n"/>
      <c r="C242" s="48">
        <f>'국토품_작업량'!L43</f>
        <v/>
      </c>
      <c r="D242" s="104" t="inlineStr">
        <is>
          <t>인</t>
        </is>
      </c>
      <c r="E242" s="201" t="n"/>
      <c r="F242" s="201" t="n"/>
      <c r="G242" s="95">
        <f>$P$9</f>
        <v/>
      </c>
      <c r="H242" s="95">
        <f>ROUNDDOWN(G242*C242,0)</f>
        <v/>
      </c>
      <c r="I242" s="18" t="n"/>
      <c r="J242" s="18" t="n"/>
      <c r="K242" s="18" t="n"/>
      <c r="L242" s="18" t="n"/>
      <c r="M242" s="36" t="n"/>
      <c r="N242" s="87" t="n"/>
      <c r="O242" s="200" t="n"/>
      <c r="P242" s="203" t="n"/>
      <c r="Q242" s="202" t="n"/>
      <c r="R242" s="87" t="n"/>
    </row>
    <row r="243" ht="18" customHeight="1" s="140">
      <c r="A243" s="47">
        <f>'국토품_작업량'!A44</f>
        <v/>
      </c>
      <c r="B243" s="18" t="n"/>
      <c r="C243" s="48" t="n"/>
      <c r="D243" s="18" t="n"/>
      <c r="E243" s="18" t="n"/>
      <c r="F243" s="18" t="n"/>
      <c r="G243" s="18" t="n"/>
      <c r="H243" s="95">
        <f>SUM(H244:H248)</f>
        <v/>
      </c>
      <c r="I243" s="18" t="n"/>
      <c r="J243" s="18" t="n"/>
      <c r="K243" s="18" t="n"/>
      <c r="L243" s="18" t="n"/>
      <c r="M243" s="36" t="n"/>
      <c r="N243" s="87" t="n"/>
      <c r="O243" s="190" t="n"/>
      <c r="P243" s="189" t="n"/>
      <c r="Q243" s="200" t="n"/>
      <c r="R243" s="87" t="n"/>
    </row>
    <row r="244" ht="18" customHeight="1" s="140">
      <c r="A244" s="103" t="inlineStr">
        <is>
          <t>기  술  사</t>
        </is>
      </c>
      <c r="B244" s="18" t="n"/>
      <c r="C244" s="48">
        <f>'국토품_작업량'!H44</f>
        <v/>
      </c>
      <c r="D244" s="104" t="inlineStr">
        <is>
          <t>인</t>
        </is>
      </c>
      <c r="E244" s="18" t="n"/>
      <c r="F244" s="18" t="n"/>
      <c r="G244" s="95">
        <f>$P$5</f>
        <v/>
      </c>
      <c r="H244" s="95">
        <f>ROUNDDOWN(G244*C244,0)</f>
        <v/>
      </c>
      <c r="I244" s="18" t="n"/>
      <c r="J244" s="18" t="n"/>
      <c r="K244" s="18" t="n"/>
      <c r="L244" s="18" t="n"/>
      <c r="M244" s="36" t="n"/>
      <c r="N244" s="87" t="n"/>
      <c r="O244" s="190" t="n"/>
      <c r="P244" s="189" t="n"/>
      <c r="Q244" s="200" t="n"/>
      <c r="R244" s="87" t="n"/>
    </row>
    <row r="245" ht="18" customHeight="1" s="140">
      <c r="A245" s="103" t="inlineStr">
        <is>
          <t>특급기술자</t>
        </is>
      </c>
      <c r="B245" s="18" t="n"/>
      <c r="C245" s="48">
        <f>'국토품_작업량'!I44</f>
        <v/>
      </c>
      <c r="D245" s="104" t="inlineStr">
        <is>
          <t>인</t>
        </is>
      </c>
      <c r="E245" s="201" t="n"/>
      <c r="F245" s="201" t="n"/>
      <c r="G245" s="95">
        <f>$P$6</f>
        <v/>
      </c>
      <c r="H245" s="95">
        <f>ROUNDDOWN(G245*C245,0)</f>
        <v/>
      </c>
      <c r="I245" s="18" t="n"/>
      <c r="J245" s="18" t="n"/>
      <c r="K245" s="18" t="n"/>
      <c r="L245" s="18" t="n"/>
      <c r="M245" s="36" t="n"/>
      <c r="N245" s="87" t="n"/>
      <c r="O245" s="190" t="n"/>
      <c r="P245" s="189" t="n"/>
      <c r="Q245" s="202" t="n"/>
      <c r="R245" s="87" t="n"/>
    </row>
    <row r="246" ht="18" customHeight="1" s="140">
      <c r="A246" s="103" t="inlineStr">
        <is>
          <t>고급기술자</t>
        </is>
      </c>
      <c r="B246" s="18" t="n"/>
      <c r="C246" s="48">
        <f>'국토품_작업량'!J44</f>
        <v/>
      </c>
      <c r="D246" s="104" t="inlineStr">
        <is>
          <t>인</t>
        </is>
      </c>
      <c r="E246" s="201" t="n"/>
      <c r="F246" s="201" t="n"/>
      <c r="G246" s="95">
        <f>$P$7</f>
        <v/>
      </c>
      <c r="H246" s="95">
        <f>ROUNDDOWN(G246*C246,0)</f>
        <v/>
      </c>
      <c r="I246" s="18" t="n"/>
      <c r="J246" s="18" t="n"/>
      <c r="K246" s="18" t="n"/>
      <c r="L246" s="18" t="n"/>
      <c r="M246" s="36" t="n"/>
      <c r="N246" s="87" t="n"/>
      <c r="O246" s="190" t="n"/>
      <c r="P246" s="189" t="n"/>
      <c r="Q246" s="202" t="n"/>
      <c r="R246" s="87" t="n"/>
    </row>
    <row r="247" ht="18" customHeight="1" s="140">
      <c r="A247" s="103" t="inlineStr">
        <is>
          <t>중급기술자</t>
        </is>
      </c>
      <c r="B247" s="18" t="n"/>
      <c r="C247" s="48">
        <f>'국토품_작업량'!K44</f>
        <v/>
      </c>
      <c r="D247" s="104" t="inlineStr">
        <is>
          <t>인</t>
        </is>
      </c>
      <c r="E247" s="201" t="n"/>
      <c r="F247" s="201" t="n"/>
      <c r="G247" s="95">
        <f>$P$8</f>
        <v/>
      </c>
      <c r="H247" s="95">
        <f>ROUNDDOWN(G247*C247,0)</f>
        <v/>
      </c>
      <c r="I247" s="18" t="n"/>
      <c r="J247" s="18" t="n"/>
      <c r="K247" s="18" t="n"/>
      <c r="L247" s="18" t="n"/>
      <c r="M247" s="36" t="n"/>
      <c r="N247" s="87" t="n"/>
      <c r="O247" s="200" t="n"/>
      <c r="P247" s="203" t="n"/>
      <c r="Q247" s="202" t="n"/>
      <c r="R247" s="87" t="n"/>
    </row>
    <row r="248" ht="18" customHeight="1" s="140">
      <c r="A248" s="103" t="inlineStr">
        <is>
          <t>초급기술자</t>
        </is>
      </c>
      <c r="B248" s="18" t="n"/>
      <c r="C248" s="48">
        <f>'국토품_작업량'!L44</f>
        <v/>
      </c>
      <c r="D248" s="104" t="inlineStr">
        <is>
          <t>인</t>
        </is>
      </c>
      <c r="E248" s="201" t="n"/>
      <c r="F248" s="201" t="n"/>
      <c r="G248" s="95">
        <f>$P$9</f>
        <v/>
      </c>
      <c r="H248" s="95">
        <f>ROUNDDOWN(G248*C248,0)</f>
        <v/>
      </c>
      <c r="I248" s="18" t="n"/>
      <c r="J248" s="18" t="n"/>
      <c r="K248" s="18" t="n"/>
      <c r="L248" s="18" t="n"/>
      <c r="M248" s="36" t="n"/>
      <c r="N248" s="87" t="n"/>
      <c r="O248" s="200" t="n"/>
      <c r="P248" s="203" t="n"/>
      <c r="Q248" s="202" t="n"/>
      <c r="R248" s="87" t="n"/>
    </row>
    <row r="249" ht="18" customHeight="1" s="140">
      <c r="A249" s="47">
        <f>'국토품_작업량'!A45</f>
        <v/>
      </c>
      <c r="B249" s="18" t="n"/>
      <c r="C249" s="48" t="n"/>
      <c r="D249" s="18" t="n"/>
      <c r="E249" s="18" t="n"/>
      <c r="F249" s="18" t="n"/>
      <c r="G249" s="18" t="n"/>
      <c r="H249" s="95">
        <f>SUM(H250:H254)</f>
        <v/>
      </c>
      <c r="I249" s="18" t="n"/>
      <c r="J249" s="18" t="n"/>
      <c r="K249" s="18" t="n"/>
      <c r="L249" s="18" t="n"/>
      <c r="M249" s="36" t="n"/>
      <c r="N249" s="87" t="n"/>
      <c r="O249" s="190" t="n"/>
      <c r="P249" s="189" t="n"/>
      <c r="Q249" s="200" t="n"/>
      <c r="R249" s="87" t="n"/>
    </row>
    <row r="250" ht="18" customHeight="1" s="140">
      <c r="A250" s="103" t="inlineStr">
        <is>
          <t>기  술  사</t>
        </is>
      </c>
      <c r="B250" s="18" t="n"/>
      <c r="C250" s="48">
        <f>'국토품_작업량'!H45</f>
        <v/>
      </c>
      <c r="D250" s="104" t="inlineStr">
        <is>
          <t>인</t>
        </is>
      </c>
      <c r="E250" s="18" t="n"/>
      <c r="F250" s="18" t="n"/>
      <c r="G250" s="95">
        <f>$P$5</f>
        <v/>
      </c>
      <c r="H250" s="95">
        <f>ROUNDDOWN(G250*C250,0)</f>
        <v/>
      </c>
      <c r="I250" s="18" t="n"/>
      <c r="J250" s="18" t="n"/>
      <c r="K250" s="18" t="n"/>
      <c r="L250" s="18" t="n"/>
      <c r="M250" s="36" t="n"/>
      <c r="N250" s="87" t="n"/>
      <c r="O250" s="190" t="n"/>
      <c r="P250" s="189" t="n"/>
      <c r="Q250" s="200" t="n"/>
      <c r="R250" s="87" t="n"/>
    </row>
    <row r="251" ht="18" customHeight="1" s="140">
      <c r="A251" s="103" t="inlineStr">
        <is>
          <t>특급기술자</t>
        </is>
      </c>
      <c r="B251" s="18" t="n"/>
      <c r="C251" s="48">
        <f>'국토품_작업량'!I45</f>
        <v/>
      </c>
      <c r="D251" s="104" t="inlineStr">
        <is>
          <t>인</t>
        </is>
      </c>
      <c r="E251" s="201" t="n"/>
      <c r="F251" s="201" t="n"/>
      <c r="G251" s="95">
        <f>$P$6</f>
        <v/>
      </c>
      <c r="H251" s="95">
        <f>ROUNDDOWN(G251*C251,0)</f>
        <v/>
      </c>
      <c r="I251" s="18" t="n"/>
      <c r="J251" s="18" t="n"/>
      <c r="K251" s="18" t="n"/>
      <c r="L251" s="18" t="n"/>
      <c r="M251" s="36" t="n"/>
      <c r="N251" s="87" t="n"/>
      <c r="O251" s="190" t="n"/>
      <c r="P251" s="189" t="n"/>
      <c r="Q251" s="202" t="n"/>
      <c r="R251" s="87" t="n"/>
    </row>
    <row r="252" ht="18" customHeight="1" s="140">
      <c r="A252" s="103" t="inlineStr">
        <is>
          <t>고급기술자</t>
        </is>
      </c>
      <c r="B252" s="18" t="n"/>
      <c r="C252" s="48">
        <f>'국토품_작업량'!J45</f>
        <v/>
      </c>
      <c r="D252" s="104" t="inlineStr">
        <is>
          <t>인</t>
        </is>
      </c>
      <c r="E252" s="201" t="n"/>
      <c r="F252" s="201" t="n"/>
      <c r="G252" s="95">
        <f>$P$7</f>
        <v/>
      </c>
      <c r="H252" s="95">
        <f>ROUNDDOWN(G252*C252,0)</f>
        <v/>
      </c>
      <c r="I252" s="18" t="n"/>
      <c r="J252" s="18" t="n"/>
      <c r="K252" s="18" t="n"/>
      <c r="L252" s="18" t="n"/>
      <c r="M252" s="36" t="n"/>
      <c r="N252" s="87" t="n"/>
      <c r="O252" s="190" t="n"/>
      <c r="P252" s="189" t="n"/>
      <c r="Q252" s="202" t="n"/>
      <c r="R252" s="87" t="n"/>
    </row>
    <row r="253" ht="18" customHeight="1" s="140">
      <c r="A253" s="103" t="inlineStr">
        <is>
          <t>중급기술자</t>
        </is>
      </c>
      <c r="B253" s="18" t="n"/>
      <c r="C253" s="48">
        <f>'국토품_작업량'!K45</f>
        <v/>
      </c>
      <c r="D253" s="104" t="inlineStr">
        <is>
          <t>인</t>
        </is>
      </c>
      <c r="E253" s="201" t="n"/>
      <c r="F253" s="201" t="n"/>
      <c r="G253" s="95">
        <f>$P$8</f>
        <v/>
      </c>
      <c r="H253" s="95">
        <f>ROUNDDOWN(G253*C253,0)</f>
        <v/>
      </c>
      <c r="I253" s="18" t="n"/>
      <c r="J253" s="18" t="n"/>
      <c r="K253" s="18" t="n"/>
      <c r="L253" s="18" t="n"/>
      <c r="M253" s="36" t="n"/>
      <c r="N253" s="87" t="n"/>
      <c r="O253" s="200" t="n"/>
      <c r="P253" s="203" t="n"/>
      <c r="Q253" s="202" t="n"/>
      <c r="R253" s="87" t="n"/>
    </row>
    <row r="254" ht="18" customHeight="1" s="140">
      <c r="A254" s="103" t="inlineStr">
        <is>
          <t>초급기술자</t>
        </is>
      </c>
      <c r="B254" s="18" t="n"/>
      <c r="C254" s="48">
        <f>'국토품_작업량'!L45</f>
        <v/>
      </c>
      <c r="D254" s="104" t="inlineStr">
        <is>
          <t>인</t>
        </is>
      </c>
      <c r="E254" s="201" t="n"/>
      <c r="F254" s="201" t="n"/>
      <c r="G254" s="95">
        <f>$P$9</f>
        <v/>
      </c>
      <c r="H254" s="95">
        <f>ROUNDDOWN(G254*C254,0)</f>
        <v/>
      </c>
      <c r="I254" s="18" t="n"/>
      <c r="J254" s="18" t="n"/>
      <c r="K254" s="18" t="n"/>
      <c r="L254" s="18" t="n"/>
      <c r="M254" s="36" t="n"/>
      <c r="N254" s="87" t="n"/>
      <c r="O254" s="200" t="n"/>
      <c r="P254" s="203" t="n"/>
      <c r="Q254" s="202" t="n"/>
      <c r="R254" s="87" t="n"/>
    </row>
    <row r="255" ht="18" customHeight="1" s="140">
      <c r="A255" s="47">
        <f>'국토품_작업량'!A46</f>
        <v/>
      </c>
      <c r="B255" s="18" t="n"/>
      <c r="C255" s="48" t="n"/>
      <c r="D255" s="18" t="n"/>
      <c r="E255" s="18" t="n"/>
      <c r="F255" s="18" t="n"/>
      <c r="G255" s="18" t="n"/>
      <c r="H255" s="95">
        <f>SUM(H256:H260)</f>
        <v/>
      </c>
      <c r="I255" s="18" t="n"/>
      <c r="J255" s="18" t="n"/>
      <c r="K255" s="18" t="n"/>
      <c r="L255" s="18" t="n"/>
      <c r="M255" s="36" t="n"/>
      <c r="N255" s="87" t="n"/>
      <c r="O255" s="190" t="n"/>
      <c r="P255" s="189" t="n"/>
      <c r="Q255" s="200" t="n"/>
      <c r="R255" s="87" t="n"/>
    </row>
    <row r="256" ht="18" customHeight="1" s="140">
      <c r="A256" s="103" t="inlineStr">
        <is>
          <t>기  술  사</t>
        </is>
      </c>
      <c r="B256" s="18" t="n"/>
      <c r="C256" s="48">
        <f>'국토품_작업량'!H46</f>
        <v/>
      </c>
      <c r="D256" s="104" t="inlineStr">
        <is>
          <t>인</t>
        </is>
      </c>
      <c r="E256" s="18" t="n"/>
      <c r="F256" s="18" t="n"/>
      <c r="G256" s="95">
        <f>$P$5</f>
        <v/>
      </c>
      <c r="H256" s="95">
        <f>ROUNDDOWN(G256*C256,0)</f>
        <v/>
      </c>
      <c r="I256" s="18" t="n"/>
      <c r="J256" s="18" t="n"/>
      <c r="K256" s="18" t="n"/>
      <c r="L256" s="18" t="n"/>
      <c r="M256" s="36" t="n"/>
      <c r="N256" s="87" t="n"/>
      <c r="O256" s="190" t="n"/>
      <c r="P256" s="189" t="n"/>
      <c r="Q256" s="200" t="n"/>
      <c r="R256" s="87" t="n"/>
    </row>
    <row r="257" ht="18" customHeight="1" s="140">
      <c r="A257" s="103" t="inlineStr">
        <is>
          <t>특급기술자</t>
        </is>
      </c>
      <c r="B257" s="18" t="n"/>
      <c r="C257" s="48">
        <f>'국토품_작업량'!I46</f>
        <v/>
      </c>
      <c r="D257" s="104" t="inlineStr">
        <is>
          <t>인</t>
        </is>
      </c>
      <c r="E257" s="201" t="n"/>
      <c r="F257" s="201" t="n"/>
      <c r="G257" s="95">
        <f>$P$6</f>
        <v/>
      </c>
      <c r="H257" s="95">
        <f>ROUNDDOWN(G257*C257,0)</f>
        <v/>
      </c>
      <c r="I257" s="18" t="n"/>
      <c r="J257" s="18" t="n"/>
      <c r="K257" s="18" t="n"/>
      <c r="L257" s="18" t="n"/>
      <c r="M257" s="36" t="n"/>
      <c r="N257" s="87" t="n"/>
      <c r="O257" s="190" t="n"/>
      <c r="P257" s="189" t="n"/>
      <c r="Q257" s="202" t="n"/>
      <c r="R257" s="87" t="n"/>
    </row>
    <row r="258" ht="18" customHeight="1" s="140">
      <c r="A258" s="103" t="inlineStr">
        <is>
          <t>고급기술자</t>
        </is>
      </c>
      <c r="B258" s="18" t="n"/>
      <c r="C258" s="48">
        <f>'국토품_작업량'!J46</f>
        <v/>
      </c>
      <c r="D258" s="104" t="inlineStr">
        <is>
          <t>인</t>
        </is>
      </c>
      <c r="E258" s="201" t="n"/>
      <c r="F258" s="201" t="n"/>
      <c r="G258" s="95">
        <f>$P$7</f>
        <v/>
      </c>
      <c r="H258" s="95">
        <f>ROUNDDOWN(G258*C258,0)</f>
        <v/>
      </c>
      <c r="I258" s="18" t="n"/>
      <c r="J258" s="18" t="n"/>
      <c r="K258" s="18" t="n"/>
      <c r="L258" s="18" t="n"/>
      <c r="M258" s="36" t="n"/>
      <c r="N258" s="87" t="n"/>
      <c r="O258" s="190" t="n"/>
      <c r="P258" s="189" t="n"/>
      <c r="Q258" s="202" t="n"/>
      <c r="R258" s="87" t="n"/>
    </row>
    <row r="259" ht="18" customHeight="1" s="140">
      <c r="A259" s="103" t="inlineStr">
        <is>
          <t>중급기술자</t>
        </is>
      </c>
      <c r="B259" s="18" t="n"/>
      <c r="C259" s="48">
        <f>'국토품_작업량'!K46</f>
        <v/>
      </c>
      <c r="D259" s="104" t="inlineStr">
        <is>
          <t>인</t>
        </is>
      </c>
      <c r="E259" s="201" t="n"/>
      <c r="F259" s="201" t="n"/>
      <c r="G259" s="95">
        <f>$P$8</f>
        <v/>
      </c>
      <c r="H259" s="95">
        <f>ROUNDDOWN(G259*C259,0)</f>
        <v/>
      </c>
      <c r="I259" s="18" t="n"/>
      <c r="J259" s="18" t="n"/>
      <c r="K259" s="18" t="n"/>
      <c r="L259" s="18" t="n"/>
      <c r="M259" s="36" t="n"/>
      <c r="N259" s="87" t="n"/>
      <c r="O259" s="200" t="n"/>
      <c r="P259" s="203" t="n"/>
      <c r="Q259" s="202" t="n"/>
      <c r="R259" s="87" t="n"/>
    </row>
    <row r="260" ht="18" customHeight="1" s="140">
      <c r="A260" s="103" t="inlineStr">
        <is>
          <t>초급기술자</t>
        </is>
      </c>
      <c r="B260" s="18" t="n"/>
      <c r="C260" s="48">
        <f>'국토품_작업량'!L46</f>
        <v/>
      </c>
      <c r="D260" s="104" t="inlineStr">
        <is>
          <t>인</t>
        </is>
      </c>
      <c r="E260" s="201" t="n"/>
      <c r="F260" s="201" t="n"/>
      <c r="G260" s="95">
        <f>$P$9</f>
        <v/>
      </c>
      <c r="H260" s="95">
        <f>ROUNDDOWN(G260*C260,0)</f>
        <v/>
      </c>
      <c r="I260" s="18" t="n"/>
      <c r="J260" s="18" t="n"/>
      <c r="K260" s="18" t="n"/>
      <c r="L260" s="18" t="n"/>
      <c r="M260" s="36" t="n"/>
      <c r="N260" s="87" t="n"/>
      <c r="O260" s="200" t="n"/>
      <c r="P260" s="203" t="n"/>
      <c r="Q260" s="202" t="n"/>
      <c r="R260" s="87" t="n"/>
    </row>
    <row r="261" ht="18" customHeight="1" s="140">
      <c r="A261" s="47">
        <f>'국토품_작업량'!A47</f>
        <v/>
      </c>
      <c r="B261" s="18" t="n"/>
      <c r="C261" s="48" t="n"/>
      <c r="D261" s="18" t="n"/>
      <c r="E261" s="18" t="n"/>
      <c r="F261" s="18" t="n"/>
      <c r="G261" s="18" t="n"/>
      <c r="H261" s="95">
        <f>SUM(H262:H266)</f>
        <v/>
      </c>
      <c r="I261" s="18" t="n"/>
      <c r="J261" s="18" t="n"/>
      <c r="K261" s="18" t="n"/>
      <c r="L261" s="18" t="n"/>
      <c r="M261" s="36" t="n"/>
      <c r="N261" s="87" t="n"/>
      <c r="O261" s="190" t="n"/>
      <c r="P261" s="189" t="n"/>
      <c r="Q261" s="200" t="n"/>
      <c r="R261" s="87" t="n"/>
    </row>
    <row r="262" ht="18" customHeight="1" s="140">
      <c r="A262" s="103" t="inlineStr">
        <is>
          <t>기  술  사</t>
        </is>
      </c>
      <c r="B262" s="18" t="n"/>
      <c r="C262" s="48">
        <f>'국토품_작업량'!H47</f>
        <v/>
      </c>
      <c r="D262" s="104" t="inlineStr">
        <is>
          <t>인</t>
        </is>
      </c>
      <c r="E262" s="18" t="n"/>
      <c r="F262" s="18" t="n"/>
      <c r="G262" s="95">
        <f>$P$5</f>
        <v/>
      </c>
      <c r="H262" s="95">
        <f>ROUNDDOWN(G262*C262,0)</f>
        <v/>
      </c>
      <c r="I262" s="18" t="n"/>
      <c r="J262" s="18" t="n"/>
      <c r="K262" s="18" t="n"/>
      <c r="L262" s="18" t="n"/>
      <c r="M262" s="36" t="n"/>
      <c r="N262" s="87" t="n"/>
      <c r="O262" s="190" t="n"/>
      <c r="P262" s="189" t="n"/>
      <c r="Q262" s="200" t="n"/>
      <c r="R262" s="87" t="n"/>
    </row>
    <row r="263" ht="18" customHeight="1" s="140">
      <c r="A263" s="103" t="inlineStr">
        <is>
          <t>특급기술자</t>
        </is>
      </c>
      <c r="B263" s="18" t="n"/>
      <c r="C263" s="48">
        <f>'국토품_작업량'!I47</f>
        <v/>
      </c>
      <c r="D263" s="104" t="inlineStr">
        <is>
          <t>인</t>
        </is>
      </c>
      <c r="E263" s="201" t="n"/>
      <c r="F263" s="201" t="n"/>
      <c r="G263" s="95">
        <f>$P$6</f>
        <v/>
      </c>
      <c r="H263" s="95">
        <f>ROUNDDOWN(G263*C263,0)</f>
        <v/>
      </c>
      <c r="I263" s="18" t="n"/>
      <c r="J263" s="18" t="n"/>
      <c r="K263" s="18" t="n"/>
      <c r="L263" s="18" t="n"/>
      <c r="M263" s="36" t="n"/>
      <c r="N263" s="87" t="n"/>
      <c r="O263" s="190" t="n"/>
      <c r="P263" s="189" t="n"/>
      <c r="Q263" s="202" t="n"/>
      <c r="R263" s="87" t="n"/>
    </row>
    <row r="264" ht="18" customHeight="1" s="140">
      <c r="A264" s="103" t="inlineStr">
        <is>
          <t>고급기술자</t>
        </is>
      </c>
      <c r="B264" s="18" t="n"/>
      <c r="C264" s="48">
        <f>'국토품_작업량'!J47</f>
        <v/>
      </c>
      <c r="D264" s="104" t="inlineStr">
        <is>
          <t>인</t>
        </is>
      </c>
      <c r="E264" s="201" t="n"/>
      <c r="F264" s="201" t="n"/>
      <c r="G264" s="95">
        <f>$P$7</f>
        <v/>
      </c>
      <c r="H264" s="95">
        <f>ROUNDDOWN(G264*C264,0)</f>
        <v/>
      </c>
      <c r="I264" s="18" t="n"/>
      <c r="J264" s="18" t="n"/>
      <c r="K264" s="18" t="n"/>
      <c r="L264" s="18" t="n"/>
      <c r="M264" s="36" t="n"/>
      <c r="N264" s="87" t="n"/>
      <c r="O264" s="190" t="n"/>
      <c r="P264" s="189" t="n"/>
      <c r="Q264" s="202" t="n"/>
      <c r="R264" s="87" t="n"/>
    </row>
    <row r="265" ht="18" customHeight="1" s="140">
      <c r="A265" s="103" t="inlineStr">
        <is>
          <t>중급기술자</t>
        </is>
      </c>
      <c r="B265" s="18" t="n"/>
      <c r="C265" s="48">
        <f>'국토품_작업량'!K47</f>
        <v/>
      </c>
      <c r="D265" s="104" t="inlineStr">
        <is>
          <t>인</t>
        </is>
      </c>
      <c r="E265" s="201" t="n"/>
      <c r="F265" s="201" t="n"/>
      <c r="G265" s="95">
        <f>$P$8</f>
        <v/>
      </c>
      <c r="H265" s="95">
        <f>ROUNDDOWN(G265*C265,0)</f>
        <v/>
      </c>
      <c r="I265" s="18" t="n"/>
      <c r="J265" s="18" t="n"/>
      <c r="K265" s="18" t="n"/>
      <c r="L265" s="18" t="n"/>
      <c r="M265" s="36" t="n"/>
      <c r="N265" s="87" t="n"/>
      <c r="O265" s="200" t="n"/>
      <c r="P265" s="203" t="n"/>
      <c r="Q265" s="202" t="n"/>
      <c r="R265" s="87" t="n"/>
    </row>
    <row r="266" ht="18" customHeight="1" s="140">
      <c r="A266" s="103" t="inlineStr">
        <is>
          <t>초급기술자</t>
        </is>
      </c>
      <c r="B266" s="18" t="n"/>
      <c r="C266" s="48">
        <f>'국토품_작업량'!L47</f>
        <v/>
      </c>
      <c r="D266" s="104" t="inlineStr">
        <is>
          <t>인</t>
        </is>
      </c>
      <c r="E266" s="201" t="n"/>
      <c r="F266" s="201" t="n"/>
      <c r="G266" s="95">
        <f>$P$9</f>
        <v/>
      </c>
      <c r="H266" s="95">
        <f>ROUNDDOWN(G266*C266,0)</f>
        <v/>
      </c>
      <c r="I266" s="18" t="n"/>
      <c r="J266" s="18" t="n"/>
      <c r="K266" s="18" t="n"/>
      <c r="L266" s="18" t="n"/>
      <c r="M266" s="36" t="n"/>
      <c r="N266" s="87" t="n"/>
      <c r="O266" s="200" t="n"/>
      <c r="P266" s="203" t="n"/>
      <c r="Q266" s="202" t="n"/>
      <c r="R266" s="87" t="n"/>
    </row>
    <row r="267" ht="18" customHeight="1" s="140">
      <c r="A267" s="244" t="n"/>
      <c r="B267" s="245" t="n"/>
      <c r="C267" s="94" t="n"/>
      <c r="D267" s="40" t="n"/>
      <c r="E267" s="108" t="n"/>
      <c r="F267" s="245" t="n"/>
      <c r="G267" s="107" t="n"/>
      <c r="H267" s="102" t="n"/>
      <c r="I267" s="107" t="n"/>
      <c r="J267" s="107" t="n"/>
      <c r="K267" s="107" t="n"/>
      <c r="L267" s="107" t="n"/>
      <c r="M267" s="41" t="n"/>
      <c r="N267" s="87" t="n"/>
      <c r="O267" s="189" t="n"/>
      <c r="P267" s="189" t="n"/>
      <c r="Q267" s="190" t="n"/>
      <c r="R267" s="87" t="n"/>
    </row>
  </sheetData>
  <mergeCells count="17">
    <mergeCell ref="G2:H2"/>
    <mergeCell ref="A11:B11"/>
    <mergeCell ref="I2:J2"/>
    <mergeCell ref="M2:M3"/>
    <mergeCell ref="B2:B3"/>
    <mergeCell ref="D2:D3"/>
    <mergeCell ref="A6:B6"/>
    <mergeCell ref="A7:B7"/>
    <mergeCell ref="A2:A3"/>
    <mergeCell ref="C2:C3"/>
    <mergeCell ref="A12:B12"/>
    <mergeCell ref="E2:F2"/>
    <mergeCell ref="K2:L2"/>
    <mergeCell ref="A5:B5"/>
    <mergeCell ref="A4:B4"/>
    <mergeCell ref="A10:B10"/>
    <mergeCell ref="A13:B13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2"/>
  <sheetViews>
    <sheetView view="pageBreakPreview" zoomScale="100" zoomScaleNormal="100" workbookViewId="0">
      <selection activeCell="A1" sqref="A1"/>
    </sheetView>
  </sheetViews>
  <sheetFormatPr baseColWidth="8" defaultRowHeight="16.5"/>
  <cols>
    <col width="26.125" customWidth="1" style="140" min="1" max="1"/>
    <col width="6.63" customWidth="1" style="140" min="2" max="2"/>
    <col width="7.25" customWidth="1" style="140" min="3" max="15"/>
  </cols>
  <sheetData>
    <row r="1" ht="26.25" customHeight="1" s="140">
      <c r="A1" t="inlineStr">
        <is>
          <t>&lt;국토품 직접인력 소요작업량 산정&gt;</t>
        </is>
      </c>
    </row>
    <row r="2">
      <c r="A2" s="205" t="n">
        <v>10000</v>
      </c>
      <c r="B2" s="3" t="inlineStr">
        <is>
          <t>(</t>
        </is>
      </c>
      <c r="C2" s="206">
        <f>IF(A2&lt;1000,0.1,ROUND(A2/10000,2))</f>
        <v/>
      </c>
      <c r="D2" s="5" t="inlineStr">
        <is>
          <t>만M2)</t>
        </is>
      </c>
      <c r="E2" s="5" t="inlineStr">
        <is>
          <t>적용</t>
        </is>
      </c>
      <c r="F2" s="6" t="n"/>
      <c r="G2" s="7" t="n"/>
      <c r="H2" s="8" t="n"/>
      <c r="I2" s="7" t="n"/>
      <c r="J2" s="7" t="n"/>
      <c r="K2" s="7" t="n"/>
      <c r="L2" s="7" t="n"/>
      <c r="M2" s="7" t="n"/>
      <c r="N2" s="9" t="n"/>
      <c r="P2" s="0" t="n"/>
    </row>
    <row r="3">
      <c r="A3" s="11" t="inlineStr">
        <is>
          <t xml:space="preserve"> * 대상면적에 대한 작업량 계수 a=(A/1)^(0.6)</t>
        </is>
      </c>
      <c r="B3" s="11" t="n"/>
      <c r="C3" s="11" t="n"/>
      <c r="D3" s="11" t="n"/>
      <c r="E3" s="12" t="inlineStr">
        <is>
          <t xml:space="preserve"> a =</t>
        </is>
      </c>
      <c r="F3" s="207">
        <f>ROUND((ROUND((C2/1)^(0.6),3))*G3,3)</f>
        <v/>
      </c>
      <c r="G3" s="72" t="n">
        <v>1</v>
      </c>
      <c r="H3" s="14" t="n"/>
      <c r="I3" s="15" t="n"/>
      <c r="J3" s="15" t="n"/>
      <c r="K3" s="15" t="n"/>
      <c r="L3" s="15" t="n"/>
      <c r="M3" s="15" t="n"/>
      <c r="N3" s="16" t="n"/>
    </row>
    <row r="4" ht="24" customHeight="1" s="140">
      <c r="A4" s="255" t="inlineStr">
        <is>
          <t>구분</t>
        </is>
      </c>
      <c r="B4" s="256" t="inlineStr">
        <is>
          <t>보 정 전</t>
        </is>
      </c>
      <c r="C4" s="257" t="n"/>
      <c r="D4" s="257" t="n"/>
      <c r="E4" s="257" t="n"/>
      <c r="F4" s="257" t="n"/>
      <c r="G4" s="258" t="n"/>
      <c r="H4" s="259" t="inlineStr">
        <is>
          <t>보 정 후</t>
        </is>
      </c>
      <c r="I4" s="257" t="n"/>
      <c r="J4" s="257" t="n"/>
      <c r="K4" s="257" t="n"/>
      <c r="L4" s="257" t="n"/>
      <c r="M4" s="258" t="n"/>
      <c r="N4" s="260" t="inlineStr">
        <is>
          <t>비   고</t>
        </is>
      </c>
    </row>
    <row r="5" ht="24" customHeight="1" s="140">
      <c r="A5" s="261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262" t="inlineStr">
        <is>
          <t>보조원</t>
        </is>
      </c>
      <c r="H5" s="263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262" t="inlineStr">
        <is>
          <t>보조원</t>
        </is>
      </c>
      <c r="N5" s="264" t="inlineStr">
        <is>
          <t>보정계수</t>
        </is>
      </c>
    </row>
    <row r="6" ht="24" customHeight="1" s="140">
      <c r="A6" s="265">
        <f>'국토품_PDF'!A6</f>
        <v/>
      </c>
      <c r="B6" s="69" t="n"/>
      <c r="C6" s="19" t="n"/>
      <c r="D6" s="19" t="n"/>
      <c r="E6" s="19" t="n"/>
      <c r="F6" s="19" t="n"/>
      <c r="G6" s="266" t="n"/>
      <c r="H6" s="267" t="n"/>
      <c r="I6" s="19" t="n"/>
      <c r="J6" s="19" t="n"/>
      <c r="K6" s="19" t="n"/>
      <c r="L6" s="19" t="n"/>
      <c r="M6" s="266" t="n"/>
      <c r="N6" s="268" t="n"/>
      <c r="O6" s="141" t="n"/>
      <c r="P6" s="141" t="n"/>
    </row>
    <row r="7" ht="24" customHeight="1" s="140">
      <c r="A7" s="265">
        <f>'국토품_PDF'!A7</f>
        <v/>
      </c>
      <c r="B7" s="69" t="n"/>
      <c r="C7" s="19" t="n"/>
      <c r="D7" s="19" t="n"/>
      <c r="E7" s="19" t="n"/>
      <c r="F7" s="19" t="n"/>
      <c r="G7" s="266" t="n"/>
      <c r="H7" s="267" t="n"/>
      <c r="I7" s="19" t="n"/>
      <c r="J7" s="19" t="n"/>
      <c r="K7" s="19" t="n"/>
      <c r="L7" s="19" t="n"/>
      <c r="M7" s="266" t="n"/>
      <c r="N7" s="268" t="n"/>
      <c r="O7" s="141" t="n"/>
      <c r="P7" s="141" t="n"/>
    </row>
    <row r="8" ht="24" customHeight="1" s="140">
      <c r="A8" s="269" t="inlineStr">
        <is>
          <t>1. 조사 및 분석</t>
        </is>
      </c>
      <c r="B8" s="270" t="n"/>
      <c r="C8" s="271" t="n"/>
      <c r="D8" s="271" t="n"/>
      <c r="E8" s="271" t="n"/>
      <c r="F8" s="271" t="n"/>
      <c r="G8" s="272" t="n"/>
      <c r="H8" s="273" t="n"/>
      <c r="I8" s="271" t="n"/>
      <c r="J8" s="271" t="n"/>
      <c r="K8" s="271" t="n"/>
      <c r="L8" s="271" t="n"/>
      <c r="M8" s="272" t="n"/>
      <c r="N8" s="274" t="n"/>
    </row>
    <row r="9" ht="24" customHeight="1" s="140">
      <c r="A9" s="275" t="inlineStr">
        <is>
          <t>1.1 자연환경조사</t>
        </is>
      </c>
      <c r="B9" s="69" t="n">
        <v>6.9</v>
      </c>
      <c r="C9" s="19" t="n">
        <v>8.6</v>
      </c>
      <c r="D9" s="19" t="n">
        <v>14.5</v>
      </c>
      <c r="E9" s="19" t="n">
        <v>22.8</v>
      </c>
      <c r="F9" s="19" t="n">
        <v>42.4</v>
      </c>
      <c r="G9" s="266" t="n"/>
      <c r="H9" s="267">
        <f>ROUND(B9*N9,2)</f>
        <v/>
      </c>
      <c r="I9" s="19">
        <f>ROUND(C9*N9,2)</f>
        <v/>
      </c>
      <c r="J9" s="19">
        <f>ROUND(D9*N9,2)</f>
        <v/>
      </c>
      <c r="K9" s="19">
        <f>ROUND(E9*N9,2)</f>
        <v/>
      </c>
      <c r="L9" s="19">
        <f>ROUND(F9*N9,2)</f>
        <v/>
      </c>
      <c r="M9" s="266" t="n"/>
      <c r="N9" s="276">
        <f>$F$3</f>
        <v/>
      </c>
    </row>
    <row r="10" ht="24" customHeight="1" s="140">
      <c r="A10" s="275" t="inlineStr">
        <is>
          <t>1.2 인문환경조사</t>
        </is>
      </c>
      <c r="B10" s="69" t="n">
        <v>6.9</v>
      </c>
      <c r="C10" s="19" t="n">
        <v>8.6</v>
      </c>
      <c r="D10" s="19" t="n">
        <v>14.5</v>
      </c>
      <c r="E10" s="19" t="n">
        <v>22.8</v>
      </c>
      <c r="F10" s="19" t="n">
        <v>42.4</v>
      </c>
      <c r="G10" s="266" t="n"/>
      <c r="H10" s="267">
        <f>ROUND(B10*N10,2)</f>
        <v/>
      </c>
      <c r="I10" s="19">
        <f>ROUND(C10*N10,2)</f>
        <v/>
      </c>
      <c r="J10" s="19">
        <f>ROUND(D10*N10,2)</f>
        <v/>
      </c>
      <c r="K10" s="19">
        <f>ROUND(E10*N10,2)</f>
        <v/>
      </c>
      <c r="L10" s="19">
        <f>ROUND(F10*N10,2)</f>
        <v/>
      </c>
      <c r="M10" s="266" t="n"/>
      <c r="N10" s="276">
        <f>$F$3</f>
        <v/>
      </c>
    </row>
    <row r="11" ht="24" customHeight="1" s="140">
      <c r="A11" s="275" t="inlineStr">
        <is>
          <t>1.3 산업구조조사</t>
        </is>
      </c>
      <c r="B11" s="69" t="n">
        <v>6.9</v>
      </c>
      <c r="C11" s="19" t="n">
        <v>8.800000000000001</v>
      </c>
      <c r="D11" s="19" t="n">
        <v>14</v>
      </c>
      <c r="E11" s="19" t="n">
        <v>22.3</v>
      </c>
      <c r="F11" s="19" t="n">
        <v>40.3</v>
      </c>
      <c r="G11" s="266" t="n"/>
      <c r="H11" s="267">
        <f>ROUND(B11*N11,2)</f>
        <v/>
      </c>
      <c r="I11" s="19">
        <f>ROUND(C11*N11,2)</f>
        <v/>
      </c>
      <c r="J11" s="19">
        <f>ROUND(D11*N11,2)</f>
        <v/>
      </c>
      <c r="K11" s="19">
        <f>ROUND(E11*N11,2)</f>
        <v/>
      </c>
      <c r="L11" s="19">
        <f>ROUND(F11*N11,2)</f>
        <v/>
      </c>
      <c r="M11" s="266" t="n"/>
      <c r="N11" s="276">
        <f>$F$3</f>
        <v/>
      </c>
    </row>
    <row r="12" ht="24" customHeight="1" s="140">
      <c r="A12" s="275" t="inlineStr">
        <is>
          <t>1.4 기반시설조사</t>
        </is>
      </c>
      <c r="B12" s="69" t="n">
        <v>6.6</v>
      </c>
      <c r="C12" s="19" t="n">
        <v>8.300000000000001</v>
      </c>
      <c r="D12" s="19" t="n">
        <v>15</v>
      </c>
      <c r="E12" s="19" t="n">
        <v>22.7</v>
      </c>
      <c r="F12" s="19" t="n">
        <v>40.3</v>
      </c>
      <c r="G12" s="266" t="n"/>
      <c r="H12" s="267">
        <f>ROUND(B12*N12,2)</f>
        <v/>
      </c>
      <c r="I12" s="19">
        <f>ROUND(C12*N12,2)</f>
        <v/>
      </c>
      <c r="J12" s="19">
        <f>ROUND(D12*N12,2)</f>
        <v/>
      </c>
      <c r="K12" s="19">
        <f>ROUND(E12*N12,2)</f>
        <v/>
      </c>
      <c r="L12" s="19">
        <f>ROUND(F12*N12,2)</f>
        <v/>
      </c>
      <c r="M12" s="266" t="n"/>
      <c r="N12" s="276">
        <f>$F$3</f>
        <v/>
      </c>
    </row>
    <row r="13" ht="24" customHeight="1" s="140">
      <c r="A13" s="275" t="inlineStr">
        <is>
          <t>1.5 부존자원조사</t>
        </is>
      </c>
      <c r="B13" s="69" t="n">
        <v>6.7</v>
      </c>
      <c r="C13" s="19" t="n">
        <v>8.300000000000001</v>
      </c>
      <c r="D13" s="19" t="n">
        <v>15</v>
      </c>
      <c r="E13" s="19" t="n">
        <v>22.7</v>
      </c>
      <c r="F13" s="19" t="n">
        <v>40.3</v>
      </c>
      <c r="G13" s="266" t="n"/>
      <c r="H13" s="267">
        <f>ROUND(B13*N13,2)</f>
        <v/>
      </c>
      <c r="I13" s="19">
        <f>ROUND(C13*N13,2)</f>
        <v/>
      </c>
      <c r="J13" s="19">
        <f>ROUND(D13*N13,2)</f>
        <v/>
      </c>
      <c r="K13" s="19">
        <f>ROUND(E13*N13,2)</f>
        <v/>
      </c>
      <c r="L13" s="19">
        <f>ROUND(F13*N13,2)</f>
        <v/>
      </c>
      <c r="M13" s="266" t="n"/>
      <c r="N13" s="276">
        <f>$F$3</f>
        <v/>
      </c>
      <c r="O13" s="141" t="n"/>
      <c r="P13" s="141" t="n"/>
    </row>
    <row r="14" ht="24" customHeight="1" s="140">
      <c r="A14" s="275" t="inlineStr">
        <is>
          <t>1.6 유통구조조사</t>
        </is>
      </c>
      <c r="B14" s="69" t="n">
        <v>7.1</v>
      </c>
      <c r="C14" s="19" t="n">
        <v>9.1</v>
      </c>
      <c r="D14" s="19" t="n">
        <v>14</v>
      </c>
      <c r="E14" s="19" t="n">
        <v>22.3</v>
      </c>
      <c r="F14" s="19" t="n">
        <v>40.3</v>
      </c>
      <c r="G14" s="266" t="n"/>
      <c r="H14" s="267">
        <f>ROUND(B14*N14,2)</f>
        <v/>
      </c>
      <c r="I14" s="19">
        <f>ROUND(C14*N14,2)</f>
        <v/>
      </c>
      <c r="J14" s="19">
        <f>ROUND(D14*N14,2)</f>
        <v/>
      </c>
      <c r="K14" s="19">
        <f>ROUND(E14*N14,2)</f>
        <v/>
      </c>
      <c r="L14" s="19">
        <f>ROUND(F14*N14,2)</f>
        <v/>
      </c>
      <c r="M14" s="266" t="n"/>
      <c r="N14" s="276">
        <f>$F$3</f>
        <v/>
      </c>
      <c r="O14" s="141" t="n"/>
      <c r="P14" s="141" t="n"/>
    </row>
    <row r="15" ht="24" customHeight="1" s="140">
      <c r="A15" s="269" t="inlineStr">
        <is>
          <t>2. 개발여건분석</t>
        </is>
      </c>
      <c r="B15" s="270" t="n"/>
      <c r="C15" s="271" t="n"/>
      <c r="D15" s="271" t="n"/>
      <c r="E15" s="271" t="n"/>
      <c r="F15" s="271" t="n"/>
      <c r="G15" s="272" t="n"/>
      <c r="H15" s="273" t="n"/>
      <c r="I15" s="271" t="n"/>
      <c r="J15" s="271" t="n"/>
      <c r="K15" s="271" t="n"/>
      <c r="L15" s="271" t="n"/>
      <c r="M15" s="272" t="n"/>
      <c r="N15" s="274" t="n"/>
      <c r="O15" s="141" t="n"/>
      <c r="P15" s="141" t="n"/>
    </row>
    <row r="16" ht="24" customHeight="1" s="140">
      <c r="A16" s="275" t="inlineStr">
        <is>
          <t>2.1 일반여건전망</t>
        </is>
      </c>
      <c r="B16" s="69" t="n">
        <v>4.5</v>
      </c>
      <c r="C16" s="19" t="n">
        <v>6.1</v>
      </c>
      <c r="D16" s="19" t="n">
        <v>12.9</v>
      </c>
      <c r="E16" s="19" t="n">
        <v>15.2</v>
      </c>
      <c r="F16" s="19" t="n">
        <v>30.8</v>
      </c>
      <c r="G16" s="266" t="n"/>
      <c r="H16" s="267">
        <f>ROUND(B16*N16,2)</f>
        <v/>
      </c>
      <c r="I16" s="19">
        <f>ROUND(C16*N16,2)</f>
        <v/>
      </c>
      <c r="J16" s="19">
        <f>ROUND(D16*N16,2)</f>
        <v/>
      </c>
      <c r="K16" s="19">
        <f>ROUND(E16*N16,2)</f>
        <v/>
      </c>
      <c r="L16" s="19">
        <f>ROUND(F16*N16,2)</f>
        <v/>
      </c>
      <c r="M16" s="266" t="n"/>
      <c r="N16" s="276">
        <f>$F$3</f>
        <v/>
      </c>
      <c r="O16" s="141" t="n"/>
      <c r="P16" s="141" t="n"/>
    </row>
    <row r="17" ht="24" customHeight="1" s="140">
      <c r="A17" s="275" t="inlineStr">
        <is>
          <t>2.2 장기사회경제전망</t>
        </is>
      </c>
      <c r="B17" s="69" t="n">
        <v>4.7</v>
      </c>
      <c r="C17" s="19" t="n">
        <v>6.6</v>
      </c>
      <c r="D17" s="19" t="n">
        <v>12.2</v>
      </c>
      <c r="E17" s="19" t="n">
        <v>14.3</v>
      </c>
      <c r="F17" s="19" t="n">
        <v>30.8</v>
      </c>
      <c r="G17" s="266" t="n"/>
      <c r="H17" s="267">
        <f>ROUND(B17*N17,2)</f>
        <v/>
      </c>
      <c r="I17" s="19">
        <f>ROUND(C17*N17,2)</f>
        <v/>
      </c>
      <c r="J17" s="19">
        <f>ROUND(D17*N17,2)</f>
        <v/>
      </c>
      <c r="K17" s="19">
        <f>ROUND(E17*N17,2)</f>
        <v/>
      </c>
      <c r="L17" s="19">
        <f>ROUND(F17*N17,2)</f>
        <v/>
      </c>
      <c r="M17" s="266" t="n"/>
      <c r="N17" s="276">
        <f>$F$3</f>
        <v/>
      </c>
      <c r="O17" s="141" t="n"/>
      <c r="P17" s="141" t="n"/>
    </row>
    <row r="18" ht="24" customHeight="1" s="140">
      <c r="A18" s="275" t="inlineStr">
        <is>
          <t>2.3 상위계획과의 상관성</t>
        </is>
      </c>
      <c r="B18" s="69" t="n">
        <v>4.9</v>
      </c>
      <c r="C18" s="19" t="n">
        <v>6.5</v>
      </c>
      <c r="D18" s="19" t="n">
        <v>12.8</v>
      </c>
      <c r="E18" s="19" t="n">
        <v>15</v>
      </c>
      <c r="F18" s="19" t="n">
        <v>33.3</v>
      </c>
      <c r="G18" s="266" t="n"/>
      <c r="H18" s="267">
        <f>ROUND(B18*N18,2)</f>
        <v/>
      </c>
      <c r="I18" s="19">
        <f>ROUND(C18*N18,2)</f>
        <v/>
      </c>
      <c r="J18" s="19">
        <f>ROUND(D18*N18,2)</f>
        <v/>
      </c>
      <c r="K18" s="19">
        <f>ROUND(E18*N18,2)</f>
        <v/>
      </c>
      <c r="L18" s="19">
        <f>ROUND(F18*N18,2)</f>
        <v/>
      </c>
      <c r="M18" s="266" t="n"/>
      <c r="N18" s="276">
        <f>$F$3</f>
        <v/>
      </c>
      <c r="O18" s="141" t="n"/>
      <c r="P18" s="141" t="n"/>
    </row>
    <row r="19" ht="24" customHeight="1" s="140">
      <c r="A19" s="275" t="inlineStr">
        <is>
          <t>2.4 지역의 발전여건</t>
        </is>
      </c>
      <c r="B19" s="69" t="n">
        <v>4.5</v>
      </c>
      <c r="C19" s="19" t="n">
        <v>6.1</v>
      </c>
      <c r="D19" s="19" t="n">
        <v>12.9</v>
      </c>
      <c r="E19" s="19" t="n">
        <v>15.2</v>
      </c>
      <c r="F19" s="19" t="n">
        <v>30.8</v>
      </c>
      <c r="G19" s="266" t="n"/>
      <c r="H19" s="267">
        <f>ROUND(B19*N19,2)</f>
        <v/>
      </c>
      <c r="I19" s="19">
        <f>ROUND(C19*N19,2)</f>
        <v/>
      </c>
      <c r="J19" s="19">
        <f>ROUND(D19*N19,2)</f>
        <v/>
      </c>
      <c r="K19" s="19">
        <f>ROUND(E19*N19,2)</f>
        <v/>
      </c>
      <c r="L19" s="19">
        <f>ROUND(F19*N19,2)</f>
        <v/>
      </c>
      <c r="M19" s="266" t="n"/>
      <c r="N19" s="276">
        <f>$F$3</f>
        <v/>
      </c>
      <c r="O19" s="141" t="n"/>
      <c r="P19" s="141" t="n"/>
    </row>
    <row r="20" ht="24" customHeight="1" s="140">
      <c r="A20" s="269" t="inlineStr">
        <is>
          <t>3. 기본구상</t>
        </is>
      </c>
      <c r="B20" s="270" t="n"/>
      <c r="C20" s="271" t="n"/>
      <c r="D20" s="271" t="n"/>
      <c r="E20" s="271" t="n"/>
      <c r="F20" s="271" t="n"/>
      <c r="G20" s="272" t="n"/>
      <c r="H20" s="273" t="n"/>
      <c r="I20" s="271" t="n"/>
      <c r="J20" s="271" t="n"/>
      <c r="K20" s="271" t="n"/>
      <c r="L20" s="271" t="n"/>
      <c r="M20" s="272" t="n"/>
      <c r="N20" s="274" t="n"/>
      <c r="O20" s="141" t="n"/>
      <c r="P20" s="141" t="n"/>
    </row>
    <row r="21" ht="24" customHeight="1" s="140">
      <c r="A21" s="275" t="inlineStr">
        <is>
          <t>3.1 기본방향설정</t>
        </is>
      </c>
      <c r="B21" s="69" t="n">
        <v>5.1</v>
      </c>
      <c r="C21" s="19" t="n">
        <v>7</v>
      </c>
      <c r="D21" s="19" t="n">
        <v>14.1</v>
      </c>
      <c r="E21" s="19" t="n">
        <v>14.3</v>
      </c>
      <c r="F21" s="19" t="n">
        <v>22.3</v>
      </c>
      <c r="G21" s="266" t="n"/>
      <c r="H21" s="267">
        <f>ROUND(B21*N21,2)</f>
        <v/>
      </c>
      <c r="I21" s="19">
        <f>ROUND(C21*N21,2)</f>
        <v/>
      </c>
      <c r="J21" s="19">
        <f>ROUND(D21*N21,2)</f>
        <v/>
      </c>
      <c r="K21" s="19">
        <f>ROUND(E21*N21,2)</f>
        <v/>
      </c>
      <c r="L21" s="19">
        <f>ROUND(F21*N21,2)</f>
        <v/>
      </c>
      <c r="M21" s="266" t="n"/>
      <c r="N21" s="276">
        <f>$F$3</f>
        <v/>
      </c>
      <c r="O21" s="141" t="n"/>
      <c r="P21" s="141" t="n"/>
    </row>
    <row r="22" ht="24" customHeight="1" s="140">
      <c r="A22" s="275" t="inlineStr">
        <is>
          <t>3.2 종합개발목표설정</t>
        </is>
      </c>
      <c r="B22" s="69" t="n">
        <v>4.6</v>
      </c>
      <c r="C22" s="19" t="n">
        <v>6.3</v>
      </c>
      <c r="D22" s="19" t="n">
        <v>15.1</v>
      </c>
      <c r="E22" s="19" t="n">
        <v>16.1</v>
      </c>
      <c r="F22" s="19" t="n">
        <v>22.3</v>
      </c>
      <c r="G22" s="266" t="n"/>
      <c r="H22" s="267">
        <f>ROUND(B22*N22,2)</f>
        <v/>
      </c>
      <c r="I22" s="19">
        <f>ROUND(C22*N22,2)</f>
        <v/>
      </c>
      <c r="J22" s="19">
        <f>ROUND(D22*N22,2)</f>
        <v/>
      </c>
      <c r="K22" s="19">
        <f>ROUND(E22*N22,2)</f>
        <v/>
      </c>
      <c r="L22" s="19">
        <f>ROUND(F22*N22,2)</f>
        <v/>
      </c>
      <c r="M22" s="266" t="n"/>
      <c r="N22" s="276">
        <f>$F$3</f>
        <v/>
      </c>
      <c r="O22" s="141" t="n"/>
      <c r="P22" s="141" t="n"/>
    </row>
    <row r="23" ht="24" customHeight="1" s="140">
      <c r="A23" s="275" t="inlineStr">
        <is>
          <t>3.3 계획지표설정</t>
        </is>
      </c>
      <c r="B23" s="69" t="n">
        <v>4.9</v>
      </c>
      <c r="C23" s="19" t="n">
        <v>6.8</v>
      </c>
      <c r="D23" s="19" t="n">
        <v>14.1</v>
      </c>
      <c r="E23" s="19" t="n">
        <v>14.3</v>
      </c>
      <c r="F23" s="19" t="n">
        <v>22.3</v>
      </c>
      <c r="G23" s="266" t="n"/>
      <c r="H23" s="267">
        <f>ROUND(B23*N23,2)</f>
        <v/>
      </c>
      <c r="I23" s="19">
        <f>ROUND(C23*N23,2)</f>
        <v/>
      </c>
      <c r="J23" s="19">
        <f>ROUND(D23*N23,2)</f>
        <v/>
      </c>
      <c r="K23" s="19">
        <f>ROUND(E23*N23,2)</f>
        <v/>
      </c>
      <c r="L23" s="19">
        <f>ROUND(F23*N23,2)</f>
        <v/>
      </c>
      <c r="M23" s="266" t="n"/>
      <c r="N23" s="276">
        <f>$F$3</f>
        <v/>
      </c>
      <c r="O23" s="141" t="n"/>
      <c r="P23" s="141" t="n"/>
    </row>
    <row r="24" ht="24" customHeight="1" s="140">
      <c r="A24" s="275" t="inlineStr">
        <is>
          <t>3.4 지역생활권배분</t>
        </is>
      </c>
      <c r="B24" s="69" t="n">
        <v>5.7</v>
      </c>
      <c r="C24" s="19" t="n">
        <v>7.7</v>
      </c>
      <c r="D24" s="19" t="n">
        <v>14.7</v>
      </c>
      <c r="E24" s="19" t="n">
        <v>15</v>
      </c>
      <c r="F24" s="19" t="n">
        <v>26</v>
      </c>
      <c r="G24" s="266" t="n"/>
      <c r="H24" s="267">
        <f>ROUND(B24*N24,2)</f>
        <v/>
      </c>
      <c r="I24" s="19">
        <f>ROUND(C24*N24,2)</f>
        <v/>
      </c>
      <c r="J24" s="19">
        <f>ROUND(D24*N24,2)</f>
        <v/>
      </c>
      <c r="K24" s="19">
        <f>ROUND(E24*N24,2)</f>
        <v/>
      </c>
      <c r="L24" s="19">
        <f>ROUND(F24*N24,2)</f>
        <v/>
      </c>
      <c r="M24" s="266" t="n"/>
      <c r="N24" s="276">
        <f>$F$3</f>
        <v/>
      </c>
      <c r="O24" s="141" t="n"/>
      <c r="P24" s="141" t="n"/>
    </row>
    <row r="25" ht="24" customHeight="1" s="140">
      <c r="A25" s="269" t="inlineStr">
        <is>
          <t>4. 부문별 개발계획</t>
        </is>
      </c>
      <c r="B25" s="270" t="n"/>
      <c r="C25" s="271" t="n"/>
      <c r="D25" s="271" t="n"/>
      <c r="E25" s="271" t="n"/>
      <c r="F25" s="271" t="n"/>
      <c r="G25" s="272" t="n"/>
      <c r="H25" s="273" t="n"/>
      <c r="I25" s="271" t="n"/>
      <c r="J25" s="271" t="n"/>
      <c r="K25" s="271" t="n"/>
      <c r="L25" s="271" t="n"/>
      <c r="M25" s="272" t="n"/>
      <c r="N25" s="274" t="n"/>
      <c r="O25" s="141" t="n"/>
      <c r="P25" s="141" t="n"/>
    </row>
    <row r="26" ht="24" customHeight="1" s="140">
      <c r="A26" s="275" t="inlineStr">
        <is>
          <t>4.1 지역별 개발계획</t>
        </is>
      </c>
      <c r="B26" s="69" t="n">
        <v>10.1</v>
      </c>
      <c r="C26" s="19" t="n">
        <v>13.9</v>
      </c>
      <c r="D26" s="19" t="n">
        <v>27.3</v>
      </c>
      <c r="E26" s="19" t="n">
        <v>36.2</v>
      </c>
      <c r="F26" s="19" t="n">
        <v>45.6</v>
      </c>
      <c r="G26" s="266" t="n"/>
      <c r="H26" s="267">
        <f>ROUND(B26*N26,2)</f>
        <v/>
      </c>
      <c r="I26" s="19">
        <f>ROUND(C26*N26,2)</f>
        <v/>
      </c>
      <c r="J26" s="19">
        <f>ROUND(D26*N26,2)</f>
        <v/>
      </c>
      <c r="K26" s="19">
        <f>ROUND(E26*N26,2)</f>
        <v/>
      </c>
      <c r="L26" s="19">
        <f>ROUND(F26*N26,2)</f>
        <v/>
      </c>
      <c r="M26" s="266" t="n"/>
      <c r="N26" s="276">
        <f>$F$3</f>
        <v/>
      </c>
      <c r="O26" s="141" t="n"/>
      <c r="P26" s="141" t="n"/>
    </row>
    <row r="27" ht="24" customHeight="1" s="140">
      <c r="A27" s="275" t="inlineStr">
        <is>
          <t>4.2 지역경제 개발계획</t>
        </is>
      </c>
      <c r="B27" s="69" t="n">
        <v>9.4</v>
      </c>
      <c r="C27" s="19" t="n">
        <v>12.7</v>
      </c>
      <c r="D27" s="19" t="n">
        <v>28</v>
      </c>
      <c r="E27" s="19" t="n">
        <v>37.5</v>
      </c>
      <c r="F27" s="19" t="n">
        <v>45.6</v>
      </c>
      <c r="G27" s="266" t="n"/>
      <c r="H27" s="267">
        <f>ROUND(B27*N27,2)</f>
        <v/>
      </c>
      <c r="I27" s="19">
        <f>ROUND(C27*N27,2)</f>
        <v/>
      </c>
      <c r="J27" s="19">
        <f>ROUND(D27*N27,2)</f>
        <v/>
      </c>
      <c r="K27" s="19">
        <f>ROUND(E27*N27,2)</f>
        <v/>
      </c>
      <c r="L27" s="19">
        <f>ROUND(F27*N27,2)</f>
        <v/>
      </c>
      <c r="M27" s="266" t="n"/>
      <c r="N27" s="276">
        <f>$F$3</f>
        <v/>
      </c>
      <c r="O27" s="141" t="n"/>
      <c r="P27" s="141" t="n"/>
    </row>
    <row r="28" ht="24" customHeight="1" s="140">
      <c r="A28" s="275" t="inlineStr">
        <is>
          <t>4.3 교통ㆍ통신 개발계획</t>
        </is>
      </c>
      <c r="B28" s="69" t="n">
        <v>9.4</v>
      </c>
      <c r="C28" s="19" t="n">
        <v>12.7</v>
      </c>
      <c r="D28" s="19" t="n">
        <v>28</v>
      </c>
      <c r="E28" s="19" t="n">
        <v>37.5</v>
      </c>
      <c r="F28" s="19" t="n">
        <v>45.6</v>
      </c>
      <c r="G28" s="266" t="n"/>
      <c r="H28" s="267">
        <f>ROUND(B28*N28,2)</f>
        <v/>
      </c>
      <c r="I28" s="19">
        <f>ROUND(C28*N28,2)</f>
        <v/>
      </c>
      <c r="J28" s="19">
        <f>ROUND(D28*N28,2)</f>
        <v/>
      </c>
      <c r="K28" s="19">
        <f>ROUND(E28*N28,2)</f>
        <v/>
      </c>
      <c r="L28" s="19">
        <f>ROUND(F28*N28,2)</f>
        <v/>
      </c>
      <c r="M28" s="266" t="n"/>
      <c r="N28" s="276">
        <f>$F$3</f>
        <v/>
      </c>
      <c r="O28" s="141" t="n"/>
      <c r="P28" s="141" t="n"/>
    </row>
    <row r="29" ht="24" customHeight="1" s="140">
      <c r="A29" s="275" t="inlineStr">
        <is>
          <t>4.4 생활복지환경 계획</t>
        </is>
      </c>
      <c r="B29" s="69" t="n">
        <v>9.300000000000001</v>
      </c>
      <c r="C29" s="19" t="n">
        <v>12.6</v>
      </c>
      <c r="D29" s="19" t="n">
        <v>28</v>
      </c>
      <c r="E29" s="19" t="n">
        <v>37.5</v>
      </c>
      <c r="F29" s="19" t="n">
        <v>45.6</v>
      </c>
      <c r="G29" s="266" t="n"/>
      <c r="H29" s="267">
        <f>ROUND(B29*N29,2)</f>
        <v/>
      </c>
      <c r="I29" s="19">
        <f>ROUND(C29*N29,2)</f>
        <v/>
      </c>
      <c r="J29" s="19">
        <f>ROUND(D29*N29,2)</f>
        <v/>
      </c>
      <c r="K29" s="19">
        <f>ROUND(E29*N29,2)</f>
        <v/>
      </c>
      <c r="L29" s="19">
        <f>ROUND(F29*N29,2)</f>
        <v/>
      </c>
      <c r="M29" s="266" t="n"/>
      <c r="N29" s="276">
        <f>$F$3</f>
        <v/>
      </c>
      <c r="O29" s="141" t="n"/>
      <c r="P29" s="141" t="n"/>
    </row>
    <row r="30" ht="24" customHeight="1" s="140">
      <c r="A30" s="275" t="inlineStr">
        <is>
          <t>4.5 환경보전 계획</t>
        </is>
      </c>
      <c r="B30" s="69" t="n">
        <v>9.9</v>
      </c>
      <c r="C30" s="19" t="n">
        <v>13.4</v>
      </c>
      <c r="D30" s="19" t="n">
        <v>27.9</v>
      </c>
      <c r="E30" s="19" t="n">
        <v>36.8</v>
      </c>
      <c r="F30" s="19" t="n">
        <v>51.1</v>
      </c>
      <c r="G30" s="266" t="n"/>
      <c r="H30" s="267">
        <f>ROUND(B30*N30,2)</f>
        <v/>
      </c>
      <c r="I30" s="19">
        <f>ROUND(C30*N30,2)</f>
        <v/>
      </c>
      <c r="J30" s="19">
        <f>ROUND(D30*N30,2)</f>
        <v/>
      </c>
      <c r="K30" s="19">
        <f>ROUND(E30*N30,2)</f>
        <v/>
      </c>
      <c r="L30" s="19">
        <f>ROUND(F30*N30,2)</f>
        <v/>
      </c>
      <c r="M30" s="266" t="n"/>
      <c r="N30" s="276">
        <f>$F$3</f>
        <v/>
      </c>
      <c r="O30" s="141" t="n"/>
      <c r="P30" s="141" t="n"/>
    </row>
    <row r="31" ht="24" customHeight="1" s="140">
      <c r="A31" s="275" t="inlineStr">
        <is>
          <t>4.6 자원토지 개발계획</t>
        </is>
      </c>
      <c r="B31" s="69" t="n">
        <v>9.4</v>
      </c>
      <c r="C31" s="19" t="n">
        <v>12.7</v>
      </c>
      <c r="D31" s="19" t="n">
        <v>28</v>
      </c>
      <c r="E31" s="19" t="n">
        <v>37.5</v>
      </c>
      <c r="F31" s="19" t="n">
        <v>45.6</v>
      </c>
      <c r="G31" s="266" t="n"/>
      <c r="H31" s="267">
        <f>ROUND(B31*N31,2)</f>
        <v/>
      </c>
      <c r="I31" s="19">
        <f>ROUND(C31*N31,2)</f>
        <v/>
      </c>
      <c r="J31" s="19">
        <f>ROUND(D31*N31,2)</f>
        <v/>
      </c>
      <c r="K31" s="19">
        <f>ROUND(E31*N31,2)</f>
        <v/>
      </c>
      <c r="L31" s="19">
        <f>ROUND(F31*N31,2)</f>
        <v/>
      </c>
      <c r="M31" s="266" t="n"/>
      <c r="N31" s="276">
        <f>$F$3</f>
        <v/>
      </c>
      <c r="O31" s="141" t="n"/>
      <c r="P31" s="141" t="n"/>
    </row>
    <row r="32" ht="24" customHeight="1" s="140">
      <c r="A32" s="269" t="inlineStr">
        <is>
          <t>5. 계획추진방안</t>
        </is>
      </c>
      <c r="B32" s="270" t="n"/>
      <c r="C32" s="271" t="n"/>
      <c r="D32" s="271" t="n"/>
      <c r="E32" s="271" t="n"/>
      <c r="F32" s="271" t="n"/>
      <c r="G32" s="272" t="n"/>
      <c r="H32" s="273" t="n"/>
      <c r="I32" s="271" t="n"/>
      <c r="J32" s="271" t="n"/>
      <c r="K32" s="271" t="n"/>
      <c r="L32" s="271" t="n"/>
      <c r="M32" s="272" t="n"/>
      <c r="N32" s="274" t="n"/>
      <c r="O32" s="141" t="n"/>
      <c r="P32" s="141" t="n"/>
    </row>
    <row r="33" ht="24" customHeight="1" s="140">
      <c r="A33" s="275" t="inlineStr">
        <is>
          <t>5.1 지역개발 주요사업선정</t>
        </is>
      </c>
      <c r="B33" s="69" t="n">
        <v>2.2</v>
      </c>
      <c r="C33" s="19" t="n">
        <v>3.2</v>
      </c>
      <c r="D33" s="19" t="n">
        <v>6.7</v>
      </c>
      <c r="E33" s="19" t="n">
        <v>9.9</v>
      </c>
      <c r="F33" s="19" t="n">
        <v>15.9</v>
      </c>
      <c r="G33" s="266" t="n"/>
      <c r="H33" s="267">
        <f>ROUND(B33*N33,2)</f>
        <v/>
      </c>
      <c r="I33" s="19">
        <f>ROUND(C33*N33,2)</f>
        <v/>
      </c>
      <c r="J33" s="19">
        <f>ROUND(D33*N33,2)</f>
        <v/>
      </c>
      <c r="K33" s="19">
        <f>ROUND(E33*N33,2)</f>
        <v/>
      </c>
      <c r="L33" s="19">
        <f>ROUND(F33*N33,2)</f>
        <v/>
      </c>
      <c r="M33" s="266" t="n"/>
      <c r="N33" s="276">
        <f>$F$3</f>
        <v/>
      </c>
      <c r="O33" s="141" t="n"/>
      <c r="P33" s="141" t="n"/>
    </row>
    <row r="34" ht="24" customHeight="1" s="140">
      <c r="A34" s="275" t="inlineStr">
        <is>
          <t>5.2 단계별 추진계획</t>
        </is>
      </c>
      <c r="B34" s="69" t="n">
        <v>2.2</v>
      </c>
      <c r="C34" s="19" t="n">
        <v>3.2</v>
      </c>
      <c r="D34" s="19" t="n">
        <v>8.1</v>
      </c>
      <c r="E34" s="19" t="n">
        <v>10.8</v>
      </c>
      <c r="F34" s="19" t="n">
        <v>15.9</v>
      </c>
      <c r="G34" s="266" t="n"/>
      <c r="H34" s="267">
        <f>ROUND(B34*N34,2)</f>
        <v/>
      </c>
      <c r="I34" s="19">
        <f>ROUND(C34*N34,2)</f>
        <v/>
      </c>
      <c r="J34" s="19">
        <f>ROUND(D34*N34,2)</f>
        <v/>
      </c>
      <c r="K34" s="19">
        <f>ROUND(E34*N34,2)</f>
        <v/>
      </c>
      <c r="L34" s="19">
        <f>ROUND(F34*N34,2)</f>
        <v/>
      </c>
      <c r="M34" s="266" t="n"/>
      <c r="N34" s="276">
        <f>$F$3</f>
        <v/>
      </c>
      <c r="O34" s="141" t="n"/>
      <c r="P34" s="141" t="n"/>
    </row>
    <row r="35" ht="24" customHeight="1" s="140">
      <c r="A35" s="275" t="inlineStr">
        <is>
          <t>5.3 집행ㆍ관리계획</t>
        </is>
      </c>
      <c r="B35" s="69" t="n">
        <v>2.3</v>
      </c>
      <c r="C35" s="19" t="n">
        <v>3.2</v>
      </c>
      <c r="D35" s="19" t="n">
        <v>8.1</v>
      </c>
      <c r="E35" s="19" t="n">
        <v>11.3</v>
      </c>
      <c r="F35" s="19" t="n">
        <v>15.9</v>
      </c>
      <c r="G35" s="266" t="n"/>
      <c r="H35" s="267">
        <f>ROUND(B35*N35,2)</f>
        <v/>
      </c>
      <c r="I35" s="19">
        <f>ROUND(C35*N35,2)</f>
        <v/>
      </c>
      <c r="J35" s="19">
        <f>ROUND(D35*N35,2)</f>
        <v/>
      </c>
      <c r="K35" s="19">
        <f>ROUND(E35*N35,2)</f>
        <v/>
      </c>
      <c r="L35" s="19">
        <f>ROUND(F35*N35,2)</f>
        <v/>
      </c>
      <c r="M35" s="266" t="n"/>
      <c r="N35" s="276">
        <f>$F$3</f>
        <v/>
      </c>
      <c r="O35" s="141" t="n"/>
      <c r="P35" s="141" t="n"/>
    </row>
    <row r="36" ht="24" customHeight="1" s="140">
      <c r="A36" s="275" t="inlineStr">
        <is>
          <t>5.4 행ㆍ재정계획</t>
        </is>
      </c>
      <c r="B36" s="69" t="n">
        <v>3.2</v>
      </c>
      <c r="C36" s="19" t="n">
        <v>4.7</v>
      </c>
      <c r="D36" s="19" t="n">
        <v>6.7</v>
      </c>
      <c r="E36" s="19" t="n">
        <v>9.9</v>
      </c>
      <c r="F36" s="19" t="n">
        <v>15.9</v>
      </c>
      <c r="G36" s="266" t="n"/>
      <c r="H36" s="267">
        <f>ROUND(B36*N36,2)</f>
        <v/>
      </c>
      <c r="I36" s="19">
        <f>ROUND(C36*N36,2)</f>
        <v/>
      </c>
      <c r="J36" s="19">
        <f>ROUND(D36*N36,2)</f>
        <v/>
      </c>
      <c r="K36" s="19">
        <f>ROUND(E36*N36,2)</f>
        <v/>
      </c>
      <c r="L36" s="19">
        <f>ROUND(F36*N36,2)</f>
        <v/>
      </c>
      <c r="M36" s="266" t="n"/>
      <c r="N36" s="276">
        <f>$F$3</f>
        <v/>
      </c>
      <c r="O36" s="141" t="n"/>
      <c r="P36" s="141" t="n"/>
    </row>
    <row r="37" ht="24" customHeight="1" s="140">
      <c r="A37" s="275" t="inlineStr">
        <is>
          <t>5.5 정책건의</t>
        </is>
      </c>
      <c r="B37" s="69" t="n">
        <v>3.3</v>
      </c>
      <c r="C37" s="19" t="n">
        <v>4.8</v>
      </c>
      <c r="D37" s="19" t="n">
        <v>6.7</v>
      </c>
      <c r="E37" s="19" t="n">
        <v>9.9</v>
      </c>
      <c r="F37" s="19" t="n">
        <v>15.9</v>
      </c>
      <c r="G37" s="266" t="n"/>
      <c r="H37" s="267">
        <f>ROUND(B37*N37,2)</f>
        <v/>
      </c>
      <c r="I37" s="19">
        <f>ROUND(C37*N37,2)</f>
        <v/>
      </c>
      <c r="J37" s="19">
        <f>ROUND(D37*N37,2)</f>
        <v/>
      </c>
      <c r="K37" s="19">
        <f>ROUND(E37*N37,2)</f>
        <v/>
      </c>
      <c r="L37" s="19">
        <f>ROUND(F37*N37,2)</f>
        <v/>
      </c>
      <c r="M37" s="266" t="n"/>
      <c r="N37" s="276">
        <f>$F$3</f>
        <v/>
      </c>
      <c r="O37" s="141" t="n"/>
      <c r="P37" s="141" t="n"/>
    </row>
    <row r="38" ht="24" customHeight="1" s="140">
      <c r="A38" s="269" t="inlineStr">
        <is>
          <t>6. 성과품 작성</t>
        </is>
      </c>
      <c r="B38" s="270" t="n"/>
      <c r="C38" s="271" t="n"/>
      <c r="D38" s="271" t="n"/>
      <c r="E38" s="271" t="n"/>
      <c r="F38" s="271" t="n"/>
      <c r="G38" s="272" t="n"/>
      <c r="H38" s="273" t="n"/>
      <c r="I38" s="271" t="n"/>
      <c r="J38" s="271" t="n"/>
      <c r="K38" s="271" t="n"/>
      <c r="L38" s="271" t="n"/>
      <c r="M38" s="272" t="n"/>
      <c r="N38" s="274" t="n"/>
      <c r="O38" s="141" t="n"/>
      <c r="P38" s="141" t="n"/>
    </row>
    <row r="39" ht="24" customHeight="1" s="140">
      <c r="A39" s="275" t="inlineStr">
        <is>
          <t>6.1 보고서 작성 및 편집</t>
        </is>
      </c>
      <c r="B39" s="69" t="n">
        <v>9.699999999999999</v>
      </c>
      <c r="C39" s="19" t="n">
        <v>12.2</v>
      </c>
      <c r="D39" s="19" t="n">
        <v>17.1</v>
      </c>
      <c r="E39" s="19" t="n">
        <v>33.5</v>
      </c>
      <c r="F39" s="19" t="n">
        <v>52.5</v>
      </c>
      <c r="G39" s="266" t="n"/>
      <c r="H39" s="267">
        <f>ROUND(B39*N39,2)</f>
        <v/>
      </c>
      <c r="I39" s="19">
        <f>ROUND(C39*N39,2)</f>
        <v/>
      </c>
      <c r="J39" s="19">
        <f>ROUND(D39*N39,2)</f>
        <v/>
      </c>
      <c r="K39" s="19">
        <f>ROUND(E39*N39,2)</f>
        <v/>
      </c>
      <c r="L39" s="19">
        <f>ROUND(F39*N39,2)</f>
        <v/>
      </c>
      <c r="M39" s="266" t="n"/>
      <c r="N39" s="276">
        <f>$F$3</f>
        <v/>
      </c>
      <c r="O39" s="141" t="n"/>
      <c r="P39" s="141" t="n"/>
    </row>
    <row r="40" ht="24" customHeight="1" s="140">
      <c r="A40" s="275" t="inlineStr">
        <is>
          <t>6.2 관련 도서 작성</t>
        </is>
      </c>
      <c r="B40" s="69" t="n">
        <v>9.1</v>
      </c>
      <c r="C40" s="19" t="n">
        <v>11.1</v>
      </c>
      <c r="D40" s="19" t="n">
        <v>19.1</v>
      </c>
      <c r="E40" s="19" t="n">
        <v>34.3</v>
      </c>
      <c r="F40" s="19" t="n">
        <v>53.9</v>
      </c>
      <c r="G40" s="266" t="n"/>
      <c r="H40" s="267">
        <f>ROUND(B40*N40,2)</f>
        <v/>
      </c>
      <c r="I40" s="19">
        <f>ROUND(C40*N40,2)</f>
        <v/>
      </c>
      <c r="J40" s="19">
        <f>ROUND(D40*N40,2)</f>
        <v/>
      </c>
      <c r="K40" s="19">
        <f>ROUND(E40*N40,2)</f>
        <v/>
      </c>
      <c r="L40" s="19">
        <f>ROUND(F40*N40,2)</f>
        <v/>
      </c>
      <c r="M40" s="266" t="n"/>
      <c r="N40" s="276">
        <f>$F$3</f>
        <v/>
      </c>
      <c r="O40" s="141" t="n"/>
      <c r="P40" s="141" t="n"/>
    </row>
    <row r="41" ht="24" customHeight="1" s="140">
      <c r="A41" s="269" t="inlineStr">
        <is>
          <t>7. 기술협의</t>
        </is>
      </c>
      <c r="B41" s="270" t="n"/>
      <c r="C41" s="271" t="n"/>
      <c r="D41" s="271" t="n"/>
      <c r="E41" s="271" t="n"/>
      <c r="F41" s="271" t="n"/>
      <c r="G41" s="272" t="n"/>
      <c r="H41" s="273" t="n"/>
      <c r="I41" s="271" t="n"/>
      <c r="J41" s="271" t="n"/>
      <c r="K41" s="271" t="n"/>
      <c r="L41" s="271" t="n"/>
      <c r="M41" s="272" t="n"/>
      <c r="N41" s="274" t="n"/>
      <c r="O41" s="141" t="n"/>
      <c r="P41" s="141" t="n"/>
    </row>
    <row r="42" ht="24" customHeight="1" s="140">
      <c r="A42" s="275" t="inlineStr">
        <is>
          <t>7.1 주민의견청취ㆍ주민공람</t>
        </is>
      </c>
      <c r="B42" s="69" t="n">
        <v>3</v>
      </c>
      <c r="C42" s="19" t="n">
        <v>3</v>
      </c>
      <c r="D42" s="19" t="n">
        <v>3</v>
      </c>
      <c r="E42" s="19" t="n">
        <v>6</v>
      </c>
      <c r="F42" s="19" t="n">
        <v>6</v>
      </c>
      <c r="G42" s="266" t="n"/>
      <c r="H42" s="267">
        <f>ROUND(B42*N42,2)</f>
        <v/>
      </c>
      <c r="I42" s="19">
        <f>ROUND(C42*N42,2)</f>
        <v/>
      </c>
      <c r="J42" s="19">
        <f>ROUND(D42*N42,2)</f>
        <v/>
      </c>
      <c r="K42" s="19">
        <f>ROUND(E42*N42,2)</f>
        <v/>
      </c>
      <c r="L42" s="19">
        <f>ROUND(F42*N42,2)</f>
        <v/>
      </c>
      <c r="M42" s="266" t="n"/>
      <c r="N42" s="276" t="n">
        <v>1</v>
      </c>
      <c r="O42" s="141" t="n"/>
      <c r="P42" s="141" t="n"/>
    </row>
    <row r="43" ht="24" customHeight="1" s="140">
      <c r="A43" s="275" t="inlineStr">
        <is>
          <t>7.2 주민설명회ㆍ공청회</t>
        </is>
      </c>
      <c r="B43" s="69" t="n">
        <v>3</v>
      </c>
      <c r="C43" s="19" t="n">
        <v>3</v>
      </c>
      <c r="D43" s="19" t="n">
        <v>3</v>
      </c>
      <c r="E43" s="19" t="n">
        <v>6</v>
      </c>
      <c r="F43" s="19" t="n">
        <v>6</v>
      </c>
      <c r="G43" s="266" t="n"/>
      <c r="H43" s="267">
        <f>ROUND(B43*N43,2)</f>
        <v/>
      </c>
      <c r="I43" s="19">
        <f>ROUND(C43*N43,2)</f>
        <v/>
      </c>
      <c r="J43" s="19">
        <f>ROUND(D43*N43,2)</f>
        <v/>
      </c>
      <c r="K43" s="19">
        <f>ROUND(E43*N43,2)</f>
        <v/>
      </c>
      <c r="L43" s="19">
        <f>ROUND(F43*N43,2)</f>
        <v/>
      </c>
      <c r="M43" s="266" t="n"/>
      <c r="N43" s="276" t="n">
        <v>1</v>
      </c>
      <c r="O43" s="141" t="n"/>
      <c r="P43" s="141" t="n"/>
    </row>
    <row r="44" ht="24" customHeight="1" s="140">
      <c r="A44" s="275" t="inlineStr">
        <is>
          <t>7.3 관계기관협의</t>
        </is>
      </c>
      <c r="B44" s="69" t="n">
        <v>4</v>
      </c>
      <c r="C44" s="19" t="n">
        <v>4</v>
      </c>
      <c r="D44" s="19" t="n">
        <v>4</v>
      </c>
      <c r="E44" s="19" t="n">
        <v>8</v>
      </c>
      <c r="F44" s="19" t="n">
        <v>8</v>
      </c>
      <c r="G44" s="266" t="n"/>
      <c r="H44" s="267">
        <f>ROUND(B44*N44,2)</f>
        <v/>
      </c>
      <c r="I44" s="19">
        <f>ROUND(C44*N44,2)</f>
        <v/>
      </c>
      <c r="J44" s="19">
        <f>ROUND(D44*N44,2)</f>
        <v/>
      </c>
      <c r="K44" s="19">
        <f>ROUND(E44*N44,2)</f>
        <v/>
      </c>
      <c r="L44" s="19">
        <f>ROUND(F44*N44,2)</f>
        <v/>
      </c>
      <c r="M44" s="266" t="n"/>
      <c r="N44" s="276" t="n">
        <v>1</v>
      </c>
      <c r="O44" s="141" t="n"/>
      <c r="P44" s="141" t="n"/>
    </row>
    <row r="45" ht="24" customHeight="1" s="140">
      <c r="A45" s="275" t="inlineStr">
        <is>
          <t>7.4 협의의견 조정ㆍ반영</t>
        </is>
      </c>
      <c r="B45" s="69" t="n">
        <v>10</v>
      </c>
      <c r="C45" s="19" t="n">
        <v>10</v>
      </c>
      <c r="D45" s="19" t="n">
        <v>10</v>
      </c>
      <c r="E45" s="19" t="n">
        <v>13</v>
      </c>
      <c r="F45" s="19" t="n">
        <v>13</v>
      </c>
      <c r="G45" s="266" t="n"/>
      <c r="H45" s="267">
        <f>ROUND(B45*N45,2)</f>
        <v/>
      </c>
      <c r="I45" s="19">
        <f>ROUND(C45*N45,2)</f>
        <v/>
      </c>
      <c r="J45" s="19">
        <f>ROUND(D45*N45,2)</f>
        <v/>
      </c>
      <c r="K45" s="19">
        <f>ROUND(E45*N45,2)</f>
        <v/>
      </c>
      <c r="L45" s="19">
        <f>ROUND(F45*N45,2)</f>
        <v/>
      </c>
      <c r="M45" s="266" t="n"/>
      <c r="N45" s="276" t="n">
        <v>1</v>
      </c>
      <c r="O45" s="141" t="n"/>
      <c r="P45" s="141" t="n"/>
    </row>
    <row r="46" ht="24" customHeight="1" s="140">
      <c r="A46" s="275" t="inlineStr">
        <is>
          <t>7.5 의회의견 청취</t>
        </is>
      </c>
      <c r="B46" s="69" t="n">
        <v>2</v>
      </c>
      <c r="C46" s="19" t="n">
        <v>2</v>
      </c>
      <c r="D46" s="19" t="n">
        <v>2</v>
      </c>
      <c r="E46" s="19" t="n">
        <v>4</v>
      </c>
      <c r="F46" s="19" t="n">
        <v>4</v>
      </c>
      <c r="G46" s="266" t="n"/>
      <c r="H46" s="267">
        <f>ROUND(B46*N46,2)</f>
        <v/>
      </c>
      <c r="I46" s="19">
        <f>ROUND(C46*N46,2)</f>
        <v/>
      </c>
      <c r="J46" s="19">
        <f>ROUND(D46*N46,2)</f>
        <v/>
      </c>
      <c r="K46" s="19">
        <f>ROUND(E46*N46,2)</f>
        <v/>
      </c>
      <c r="L46" s="19">
        <f>ROUND(F46*N46,2)</f>
        <v/>
      </c>
      <c r="M46" s="266" t="n"/>
      <c r="N46" s="276" t="n">
        <v>1</v>
      </c>
      <c r="O46" s="141" t="n"/>
      <c r="P46" s="141" t="n"/>
    </row>
    <row r="47" ht="24" customHeight="1" s="140">
      <c r="A47" s="275" t="inlineStr">
        <is>
          <t>7.6 위원회 자문ㆍ심의지원</t>
        </is>
      </c>
      <c r="B47" s="69" t="n">
        <v>4</v>
      </c>
      <c r="C47" s="19" t="n">
        <v>4</v>
      </c>
      <c r="D47" s="19" t="n">
        <v>4</v>
      </c>
      <c r="E47" s="19" t="n">
        <v>8</v>
      </c>
      <c r="F47" s="19" t="n">
        <v>8</v>
      </c>
      <c r="G47" s="266" t="n"/>
      <c r="H47" s="267">
        <f>ROUND(B47*N47,2)</f>
        <v/>
      </c>
      <c r="I47" s="19">
        <f>ROUND(C47*N47,2)</f>
        <v/>
      </c>
      <c r="J47" s="19">
        <f>ROUND(D47*N47,2)</f>
        <v/>
      </c>
      <c r="K47" s="19">
        <f>ROUND(E47*N47,2)</f>
        <v/>
      </c>
      <c r="L47" s="19">
        <f>ROUND(F47*N47,2)</f>
        <v/>
      </c>
      <c r="M47" s="266" t="n"/>
      <c r="N47" s="276" t="n">
        <v>1</v>
      </c>
      <c r="O47" s="141" t="n"/>
      <c r="P47" s="141" t="n"/>
    </row>
    <row r="48" ht="24" customHeight="1" s="140">
      <c r="A48" s="71" t="inlineStr">
        <is>
          <t>소 계</t>
        </is>
      </c>
      <c r="B48" s="135">
        <f>SUM(B8:B47)</f>
        <v/>
      </c>
      <c r="C48" s="136">
        <f>SUM(C8:C47)</f>
        <v/>
      </c>
      <c r="D48" s="136">
        <f>SUM(D8:D47)</f>
        <v/>
      </c>
      <c r="E48" s="136">
        <f>SUM(E8:E47)</f>
        <v/>
      </c>
      <c r="F48" s="136">
        <f>SUM(F8:F47)</f>
        <v/>
      </c>
      <c r="G48" s="277" t="n"/>
      <c r="H48" s="278">
        <f>SUM(H8:H47)</f>
        <v/>
      </c>
      <c r="I48" s="20">
        <f>SUM(I8:I47)</f>
        <v/>
      </c>
      <c r="J48" s="20">
        <f>SUM(J8:J47)</f>
        <v/>
      </c>
      <c r="K48" s="20">
        <f>SUM(K8:K47)</f>
        <v/>
      </c>
      <c r="L48" s="20">
        <f>SUM(L8:L47)</f>
        <v/>
      </c>
      <c r="M48" s="277" t="n"/>
      <c r="N48" s="279" t="n"/>
    </row>
    <row r="49" ht="17.1" customHeight="1" s="140">
      <c r="A49" s="280">
        <f>'국토품_PDF'!A59</f>
        <v/>
      </c>
      <c r="B49" s="281" t="n"/>
      <c r="C49" s="281" t="n"/>
      <c r="D49" s="281" t="n"/>
      <c r="E49" s="281" t="n"/>
      <c r="F49" s="281" t="n"/>
      <c r="G49" s="281" t="n"/>
      <c r="H49" s="281" t="n"/>
      <c r="I49" s="282" t="n"/>
      <c r="J49" s="282" t="n"/>
      <c r="K49" s="283" t="n"/>
      <c r="L49" s="282" t="n"/>
      <c r="M49" s="282" t="n"/>
      <c r="N49" s="282" t="n"/>
      <c r="O49" s="284" t="n"/>
      <c r="P49" s="284" t="n"/>
    </row>
    <row r="50" ht="17.1" customHeight="1" s="140">
      <c r="A50" s="280">
        <f>'국토품_PDF'!A60</f>
        <v/>
      </c>
      <c r="B50" s="281" t="n"/>
      <c r="C50" s="281" t="n"/>
      <c r="D50" s="281" t="n"/>
      <c r="E50" s="281" t="n"/>
      <c r="F50" s="281" t="n"/>
      <c r="G50" s="281" t="n"/>
      <c r="H50" s="281" t="n"/>
      <c r="I50" s="282" t="n"/>
      <c r="J50" s="282" t="n"/>
      <c r="K50" s="283" t="n"/>
      <c r="L50" s="282" t="n"/>
      <c r="M50" s="282" t="n"/>
      <c r="N50" s="282" t="n"/>
      <c r="O50" s="284" t="n"/>
      <c r="P50" s="284" t="n"/>
    </row>
    <row r="51" ht="17.1" customHeight="1" s="140">
      <c r="A51" s="280">
        <f>'국토품_PDF'!A61</f>
        <v/>
      </c>
      <c r="B51" s="285" t="n"/>
      <c r="C51" s="285" t="n"/>
      <c r="D51" s="285" t="n"/>
      <c r="E51" s="285" t="n"/>
      <c r="F51" s="285" t="n"/>
      <c r="G51" s="285" t="n"/>
      <c r="H51" s="285" t="n"/>
      <c r="I51" s="285" t="n"/>
      <c r="J51" s="285" t="n"/>
      <c r="K51" s="285" t="n"/>
      <c r="L51" s="285" t="n"/>
      <c r="M51" s="285" t="n"/>
      <c r="N51" s="286" t="n"/>
      <c r="O51" s="284" t="n"/>
      <c r="P51" s="284" t="n"/>
    </row>
    <row r="52" ht="17.1" customHeight="1" s="140">
      <c r="A52" s="280">
        <f>'국토품_PDF'!A62</f>
        <v/>
      </c>
      <c r="B52" s="285" t="n"/>
      <c r="C52" s="285" t="n"/>
      <c r="D52" s="285" t="n"/>
      <c r="E52" s="285" t="n"/>
      <c r="F52" s="285" t="n"/>
      <c r="G52" s="285" t="n"/>
      <c r="H52" s="285" t="n"/>
      <c r="I52" s="285" t="n"/>
      <c r="J52" s="285" t="n"/>
      <c r="K52" s="285" t="n"/>
      <c r="L52" s="285" t="n"/>
      <c r="M52" s="285" t="n"/>
      <c r="N52" s="286" t="n"/>
      <c r="O52" s="284" t="n"/>
      <c r="P52" s="284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38" customWidth="1" style="140" min="2" max="2"/>
    <col width="45" customWidth="1" style="140" min="3" max="3"/>
    <col width="17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287" t="inlineStr">
        <is>
          <t>출처 PDF</t>
        </is>
      </c>
      <c r="B1" s="0" t="inlineStr">
        <is>
          <t>C:\Users\saman\Desktop\Ai 실습\국토품.pdf</t>
        </is>
      </c>
    </row>
    <row r="2">
      <c r="A2" s="287" t="inlineStr">
        <is>
          <t>쪽수</t>
        </is>
      </c>
      <c r="B2" s="0" t="n">
        <v>2</v>
      </c>
    </row>
    <row r="3">
      <c r="A3" s="287" t="inlineStr">
        <is>
          <t>추출일시</t>
        </is>
      </c>
      <c r="B3" s="0" t="inlineStr">
        <is>
          <t>2026-05-14 08:32:09</t>
        </is>
      </c>
    </row>
    <row r="4"/>
    <row r="5">
      <c r="A5" s="288" t="inlineStr">
        <is>
          <t>상단 머릿글</t>
        </is>
      </c>
    </row>
    <row r="6">
      <c r="A6" s="289" t="inlineStr">
        <is>
          <t>국토계획 제2장 국토 및 지역계획</t>
        </is>
      </c>
    </row>
    <row r="7">
      <c r="A7" s="289" t="inlineStr">
        <is>
          <t>라. 투입인원수 산정기준</t>
        </is>
      </c>
    </row>
    <row r="8"/>
    <row r="9">
      <c r="A9" s="288" t="inlineStr">
        <is>
          <t>표 1</t>
        </is>
      </c>
    </row>
    <row r="10">
      <c r="A10" s="289" t="inlineStr">
        <is>
          <t>기본업무</t>
        </is>
      </c>
      <c r="B10" s="289" t="inlineStr">
        <is>
          <t>단 위</t>
        </is>
      </c>
      <c r="C10" s="289" t="inlineStr">
        <is>
          <t>기준인원수(인ㆍ일/단위)</t>
        </is>
      </c>
      <c r="D10" s="289" t="inlineStr"/>
      <c r="E10" s="289" t="inlineStr"/>
      <c r="F10" s="289" t="inlineStr"/>
      <c r="G10" s="289" t="inlineStr"/>
      <c r="H10" s="289" t="inlineStr">
        <is>
          <t>환산
계수</t>
        </is>
      </c>
    </row>
    <row r="11">
      <c r="A11" s="289" t="inlineStr"/>
      <c r="B11" s="289" t="inlineStr"/>
      <c r="C11" s="289" t="inlineStr">
        <is>
          <t>기술사</t>
        </is>
      </c>
      <c r="D11" s="289" t="inlineStr">
        <is>
          <t>특 급
기술자</t>
        </is>
      </c>
      <c r="E11" s="289" t="inlineStr">
        <is>
          <t>고 급
기술자</t>
        </is>
      </c>
      <c r="F11" s="289" t="inlineStr">
        <is>
          <t>중 급
기술자</t>
        </is>
      </c>
      <c r="G11" s="289" t="inlineStr">
        <is>
          <t>초 급
기술자</t>
        </is>
      </c>
      <c r="H11" s="289" t="inlineStr"/>
    </row>
    <row r="12">
      <c r="A12" s="289" t="inlineStr">
        <is>
          <t>1. 조사 및 분석</t>
        </is>
      </c>
      <c r="B12" s="289" t="inlineStr"/>
      <c r="C12" s="289" t="inlineStr"/>
      <c r="D12" s="289" t="inlineStr"/>
      <c r="E12" s="289" t="inlineStr"/>
      <c r="F12" s="289" t="inlineStr"/>
      <c r="G12" s="289" t="inlineStr"/>
      <c r="H12" s="289" t="inlineStr"/>
    </row>
    <row r="13">
      <c r="A13" s="289" t="inlineStr">
        <is>
          <t>1.1 자연환경조사</t>
        </is>
      </c>
      <c r="B13" s="289" t="inlineStr">
        <is>
          <t>500㎢</t>
        </is>
      </c>
      <c r="C13" s="289" t="inlineStr">
        <is>
          <t>6.9</t>
        </is>
      </c>
      <c r="D13" s="289" t="inlineStr">
        <is>
          <t>8.6</t>
        </is>
      </c>
      <c r="E13" s="289" t="inlineStr">
        <is>
          <t>14.5</t>
        </is>
      </c>
      <c r="F13" s="289" t="inlineStr">
        <is>
          <t>22.8</t>
        </is>
      </c>
      <c r="G13" s="289" t="inlineStr">
        <is>
          <t>42.4</t>
        </is>
      </c>
      <c r="H13" s="289" t="inlineStr">
        <is>
          <t>①</t>
        </is>
      </c>
    </row>
    <row r="14">
      <c r="A14" s="289" t="inlineStr">
        <is>
          <t>1.2 인문환경조사</t>
        </is>
      </c>
      <c r="B14" s="289" t="inlineStr">
        <is>
          <t>500㎢</t>
        </is>
      </c>
      <c r="C14" s="289" t="inlineStr">
        <is>
          <t>6.9</t>
        </is>
      </c>
      <c r="D14" s="289" t="inlineStr">
        <is>
          <t>8.6</t>
        </is>
      </c>
      <c r="E14" s="289" t="inlineStr">
        <is>
          <t>14.5</t>
        </is>
      </c>
      <c r="F14" s="289" t="inlineStr">
        <is>
          <t>22.8</t>
        </is>
      </c>
      <c r="G14" s="289" t="inlineStr">
        <is>
          <t>42.4</t>
        </is>
      </c>
      <c r="H14" s="289" t="inlineStr">
        <is>
          <t>①</t>
        </is>
      </c>
    </row>
    <row r="15">
      <c r="A15" s="289" t="inlineStr">
        <is>
          <t>1.3 산업구조조사</t>
        </is>
      </c>
      <c r="B15" s="289" t="inlineStr">
        <is>
          <t>500㎢</t>
        </is>
      </c>
      <c r="C15" s="289" t="inlineStr">
        <is>
          <t>6.9</t>
        </is>
      </c>
      <c r="D15" s="289" t="inlineStr">
        <is>
          <t>8.8</t>
        </is>
      </c>
      <c r="E15" s="289" t="inlineStr">
        <is>
          <t>14.0</t>
        </is>
      </c>
      <c r="F15" s="289" t="inlineStr">
        <is>
          <t>22.3</t>
        </is>
      </c>
      <c r="G15" s="289" t="inlineStr">
        <is>
          <t>40.3</t>
        </is>
      </c>
      <c r="H15" s="289" t="inlineStr">
        <is>
          <t>①</t>
        </is>
      </c>
    </row>
    <row r="16">
      <c r="A16" s="289" t="inlineStr">
        <is>
          <t>1.4 기반시설조사</t>
        </is>
      </c>
      <c r="B16" s="289" t="inlineStr">
        <is>
          <t>500㎢</t>
        </is>
      </c>
      <c r="C16" s="289" t="inlineStr">
        <is>
          <t>6.6</t>
        </is>
      </c>
      <c r="D16" s="289" t="inlineStr">
        <is>
          <t>8.3</t>
        </is>
      </c>
      <c r="E16" s="289" t="inlineStr">
        <is>
          <t>15.0</t>
        </is>
      </c>
      <c r="F16" s="289" t="inlineStr">
        <is>
          <t>22.7</t>
        </is>
      </c>
      <c r="G16" s="289" t="inlineStr">
        <is>
          <t>40.3</t>
        </is>
      </c>
      <c r="H16" s="289" t="inlineStr">
        <is>
          <t>①</t>
        </is>
      </c>
    </row>
    <row r="17">
      <c r="A17" s="289" t="inlineStr">
        <is>
          <t>1.5 부존자원조사</t>
        </is>
      </c>
      <c r="B17" s="289" t="inlineStr">
        <is>
          <t>500㎢</t>
        </is>
      </c>
      <c r="C17" s="289" t="inlineStr">
        <is>
          <t>6.7</t>
        </is>
      </c>
      <c r="D17" s="289" t="inlineStr">
        <is>
          <t>8.3</t>
        </is>
      </c>
      <c r="E17" s="289" t="inlineStr">
        <is>
          <t>15.0</t>
        </is>
      </c>
      <c r="F17" s="289" t="inlineStr">
        <is>
          <t>22.7</t>
        </is>
      </c>
      <c r="G17" s="289" t="inlineStr">
        <is>
          <t>40.3</t>
        </is>
      </c>
      <c r="H17" s="289" t="inlineStr">
        <is>
          <t>①</t>
        </is>
      </c>
    </row>
    <row r="18">
      <c r="A18" s="289" t="inlineStr">
        <is>
          <t>1.6 유통구조조사</t>
        </is>
      </c>
      <c r="B18" s="289" t="inlineStr">
        <is>
          <t>500㎢</t>
        </is>
      </c>
      <c r="C18" s="289" t="inlineStr">
        <is>
          <t>7.1</t>
        </is>
      </c>
      <c r="D18" s="289" t="inlineStr">
        <is>
          <t>9.1</t>
        </is>
      </c>
      <c r="E18" s="289" t="inlineStr">
        <is>
          <t>14.0</t>
        </is>
      </c>
      <c r="F18" s="289" t="inlineStr">
        <is>
          <t>22.3</t>
        </is>
      </c>
      <c r="G18" s="289" t="inlineStr">
        <is>
          <t>40.3</t>
        </is>
      </c>
      <c r="H18" s="289" t="inlineStr">
        <is>
          <t>①</t>
        </is>
      </c>
    </row>
    <row r="19">
      <c r="A19" s="289" t="inlineStr">
        <is>
          <t>2. 개발여건분석</t>
        </is>
      </c>
      <c r="B19" s="289" t="inlineStr"/>
      <c r="C19" s="289" t="inlineStr"/>
      <c r="D19" s="289" t="inlineStr"/>
      <c r="E19" s="289" t="inlineStr"/>
      <c r="F19" s="289" t="inlineStr"/>
      <c r="G19" s="289" t="inlineStr"/>
      <c r="H19" s="289" t="inlineStr"/>
    </row>
    <row r="20">
      <c r="A20" s="289" t="inlineStr">
        <is>
          <t>2.1 일반여건전망</t>
        </is>
      </c>
      <c r="B20" s="289" t="inlineStr">
        <is>
          <t>500㎢</t>
        </is>
      </c>
      <c r="C20" s="289" t="inlineStr">
        <is>
          <t>4.5</t>
        </is>
      </c>
      <c r="D20" s="289" t="inlineStr">
        <is>
          <t>6.1</t>
        </is>
      </c>
      <c r="E20" s="289" t="inlineStr">
        <is>
          <t>12.9</t>
        </is>
      </c>
      <c r="F20" s="289" t="inlineStr">
        <is>
          <t>15.2</t>
        </is>
      </c>
      <c r="G20" s="289" t="inlineStr">
        <is>
          <t>30.8</t>
        </is>
      </c>
      <c r="H20" s="289" t="inlineStr">
        <is>
          <t>①</t>
        </is>
      </c>
    </row>
    <row r="21">
      <c r="A21" s="289" t="inlineStr">
        <is>
          <t>2.2 장기사회경제전망</t>
        </is>
      </c>
      <c r="B21" s="289" t="inlineStr">
        <is>
          <t>500㎢</t>
        </is>
      </c>
      <c r="C21" s="289" t="inlineStr">
        <is>
          <t>4.7</t>
        </is>
      </c>
      <c r="D21" s="289" t="inlineStr">
        <is>
          <t>6.6</t>
        </is>
      </c>
      <c r="E21" s="289" t="inlineStr">
        <is>
          <t>12.2</t>
        </is>
      </c>
      <c r="F21" s="289" t="inlineStr">
        <is>
          <t>14.3</t>
        </is>
      </c>
      <c r="G21" s="289" t="inlineStr">
        <is>
          <t>30.8</t>
        </is>
      </c>
      <c r="H21" s="289" t="inlineStr">
        <is>
          <t>①</t>
        </is>
      </c>
    </row>
    <row r="22">
      <c r="A22" s="289" t="inlineStr">
        <is>
          <t>2.3 상위계획과의 상관성</t>
        </is>
      </c>
      <c r="B22" s="289" t="inlineStr">
        <is>
          <t>500㎢</t>
        </is>
      </c>
      <c r="C22" s="289" t="inlineStr">
        <is>
          <t>4.9</t>
        </is>
      </c>
      <c r="D22" s="289" t="inlineStr">
        <is>
          <t>6.5</t>
        </is>
      </c>
      <c r="E22" s="289" t="inlineStr">
        <is>
          <t>12.8</t>
        </is>
      </c>
      <c r="F22" s="289" t="inlineStr">
        <is>
          <t>15.0</t>
        </is>
      </c>
      <c r="G22" s="289" t="inlineStr">
        <is>
          <t>33.3</t>
        </is>
      </c>
      <c r="H22" s="289" t="inlineStr">
        <is>
          <t>①</t>
        </is>
      </c>
    </row>
    <row r="23">
      <c r="A23" s="289" t="inlineStr">
        <is>
          <t>2.4 지역의 발전여건</t>
        </is>
      </c>
      <c r="B23" s="289" t="inlineStr">
        <is>
          <t>500㎢</t>
        </is>
      </c>
      <c r="C23" s="289" t="inlineStr">
        <is>
          <t>4.5</t>
        </is>
      </c>
      <c r="D23" s="289" t="inlineStr">
        <is>
          <t>6.1</t>
        </is>
      </c>
      <c r="E23" s="289" t="inlineStr">
        <is>
          <t>12.9</t>
        </is>
      </c>
      <c r="F23" s="289" t="inlineStr">
        <is>
          <t>15.2</t>
        </is>
      </c>
      <c r="G23" s="289" t="inlineStr">
        <is>
          <t>30.8</t>
        </is>
      </c>
      <c r="H23" s="289" t="inlineStr">
        <is>
          <t>①</t>
        </is>
      </c>
    </row>
    <row r="24">
      <c r="A24" s="289" t="inlineStr">
        <is>
          <t>3. 기본구상</t>
        </is>
      </c>
      <c r="B24" s="289" t="inlineStr"/>
      <c r="C24" s="289" t="inlineStr"/>
      <c r="D24" s="289" t="inlineStr"/>
      <c r="E24" s="289" t="inlineStr"/>
      <c r="F24" s="289" t="inlineStr"/>
      <c r="G24" s="289" t="inlineStr"/>
      <c r="H24" s="289" t="inlineStr"/>
    </row>
    <row r="25">
      <c r="A25" s="289" t="inlineStr">
        <is>
          <t>3.1 기본방향설정</t>
        </is>
      </c>
      <c r="B25" s="289" t="inlineStr">
        <is>
          <t>500㎢</t>
        </is>
      </c>
      <c r="C25" s="289" t="inlineStr">
        <is>
          <t>5.1</t>
        </is>
      </c>
      <c r="D25" s="289" t="inlineStr">
        <is>
          <t>7.0</t>
        </is>
      </c>
      <c r="E25" s="289" t="inlineStr">
        <is>
          <t>14.1</t>
        </is>
      </c>
      <c r="F25" s="289" t="inlineStr">
        <is>
          <t>14.3</t>
        </is>
      </c>
      <c r="G25" s="289" t="inlineStr">
        <is>
          <t>22.3</t>
        </is>
      </c>
      <c r="H25" s="289" t="inlineStr">
        <is>
          <t>①</t>
        </is>
      </c>
    </row>
    <row r="26">
      <c r="A26" s="289" t="inlineStr">
        <is>
          <t>3.2 종합개발목표설정</t>
        </is>
      </c>
      <c r="B26" s="289" t="inlineStr">
        <is>
          <t>500㎢</t>
        </is>
      </c>
      <c r="C26" s="289" t="inlineStr">
        <is>
          <t>4.6</t>
        </is>
      </c>
      <c r="D26" s="289" t="inlineStr">
        <is>
          <t>6.3</t>
        </is>
      </c>
      <c r="E26" s="289" t="inlineStr">
        <is>
          <t>15.1</t>
        </is>
      </c>
      <c r="F26" s="289" t="inlineStr">
        <is>
          <t>16.1</t>
        </is>
      </c>
      <c r="G26" s="289" t="inlineStr">
        <is>
          <t>22.3</t>
        </is>
      </c>
      <c r="H26" s="289" t="inlineStr">
        <is>
          <t>①</t>
        </is>
      </c>
    </row>
    <row r="27">
      <c r="A27" s="289" t="inlineStr">
        <is>
          <t>3.3 계획지표설정</t>
        </is>
      </c>
      <c r="B27" s="289" t="inlineStr">
        <is>
          <t>500㎢</t>
        </is>
      </c>
      <c r="C27" s="289" t="inlineStr">
        <is>
          <t>4.9</t>
        </is>
      </c>
      <c r="D27" s="289" t="inlineStr">
        <is>
          <t>6.8</t>
        </is>
      </c>
      <c r="E27" s="289" t="inlineStr">
        <is>
          <t>14.1</t>
        </is>
      </c>
      <c r="F27" s="289" t="inlineStr">
        <is>
          <t>14.3</t>
        </is>
      </c>
      <c r="G27" s="289" t="inlineStr">
        <is>
          <t>22.3</t>
        </is>
      </c>
      <c r="H27" s="289" t="inlineStr">
        <is>
          <t>①</t>
        </is>
      </c>
    </row>
    <row r="28">
      <c r="A28" s="289" t="inlineStr">
        <is>
          <t>3.4 지역생활권배분</t>
        </is>
      </c>
      <c r="B28" s="289" t="inlineStr">
        <is>
          <t>500㎢</t>
        </is>
      </c>
      <c r="C28" s="289" t="inlineStr">
        <is>
          <t>5.7</t>
        </is>
      </c>
      <c r="D28" s="289" t="inlineStr">
        <is>
          <t>7.7</t>
        </is>
      </c>
      <c r="E28" s="289" t="inlineStr">
        <is>
          <t>14.7</t>
        </is>
      </c>
      <c r="F28" s="289" t="inlineStr">
        <is>
          <t>15.0</t>
        </is>
      </c>
      <c r="G28" s="289" t="inlineStr">
        <is>
          <t>26.0</t>
        </is>
      </c>
      <c r="H28" s="289" t="inlineStr">
        <is>
          <t>①</t>
        </is>
      </c>
    </row>
    <row r="29">
      <c r="A29" s="289" t="inlineStr">
        <is>
          <t>4. 부문별 개발계획</t>
        </is>
      </c>
      <c r="B29" s="289" t="inlineStr"/>
      <c r="C29" s="289" t="inlineStr"/>
      <c r="D29" s="289" t="inlineStr"/>
      <c r="E29" s="289" t="inlineStr"/>
      <c r="F29" s="289" t="inlineStr"/>
      <c r="G29" s="289" t="inlineStr"/>
      <c r="H29" s="289" t="inlineStr"/>
    </row>
    <row r="30">
      <c r="A30" s="289" t="inlineStr">
        <is>
          <t>4.1 지역별 개발계획</t>
        </is>
      </c>
      <c r="B30" s="289" t="inlineStr">
        <is>
          <t>500㎢</t>
        </is>
      </c>
      <c r="C30" s="289" t="inlineStr">
        <is>
          <t>10.1</t>
        </is>
      </c>
      <c r="D30" s="289" t="inlineStr">
        <is>
          <t>13.9</t>
        </is>
      </c>
      <c r="E30" s="289" t="inlineStr">
        <is>
          <t>27.3</t>
        </is>
      </c>
      <c r="F30" s="289" t="inlineStr">
        <is>
          <t>36.2</t>
        </is>
      </c>
      <c r="G30" s="289" t="inlineStr">
        <is>
          <t>45.6</t>
        </is>
      </c>
      <c r="H30" s="289" t="inlineStr">
        <is>
          <t>①</t>
        </is>
      </c>
    </row>
    <row r="31">
      <c r="A31" s="289" t="inlineStr">
        <is>
          <t>4.2 지역경제 개발계획</t>
        </is>
      </c>
      <c r="B31" s="289" t="inlineStr">
        <is>
          <t>500㎢</t>
        </is>
      </c>
      <c r="C31" s="289" t="inlineStr">
        <is>
          <t>9.4</t>
        </is>
      </c>
      <c r="D31" s="289" t="inlineStr">
        <is>
          <t>12.7</t>
        </is>
      </c>
      <c r="E31" s="289" t="inlineStr">
        <is>
          <t>28.0</t>
        </is>
      </c>
      <c r="F31" s="289" t="inlineStr">
        <is>
          <t>37.5</t>
        </is>
      </c>
      <c r="G31" s="289" t="inlineStr">
        <is>
          <t>45.6</t>
        </is>
      </c>
      <c r="H31" s="289" t="inlineStr">
        <is>
          <t>①</t>
        </is>
      </c>
    </row>
    <row r="32">
      <c r="A32" s="289" t="inlineStr">
        <is>
          <t>4.3 교통ㆍ통신 개발계획</t>
        </is>
      </c>
      <c r="B32" s="289" t="inlineStr">
        <is>
          <t>500㎢</t>
        </is>
      </c>
      <c r="C32" s="289" t="inlineStr">
        <is>
          <t>9.4</t>
        </is>
      </c>
      <c r="D32" s="289" t="inlineStr">
        <is>
          <t>12.7</t>
        </is>
      </c>
      <c r="E32" s="289" t="inlineStr">
        <is>
          <t>28.0</t>
        </is>
      </c>
      <c r="F32" s="289" t="inlineStr">
        <is>
          <t>37.5</t>
        </is>
      </c>
      <c r="G32" s="289" t="inlineStr">
        <is>
          <t>45.6</t>
        </is>
      </c>
      <c r="H32" s="289" t="inlineStr">
        <is>
          <t>①</t>
        </is>
      </c>
    </row>
    <row r="33">
      <c r="A33" s="289" t="inlineStr">
        <is>
          <t>4.4 생활복지환경 계획</t>
        </is>
      </c>
      <c r="B33" s="289" t="inlineStr">
        <is>
          <t>500㎢</t>
        </is>
      </c>
      <c r="C33" s="289" t="inlineStr">
        <is>
          <t>9.3</t>
        </is>
      </c>
      <c r="D33" s="289" t="inlineStr">
        <is>
          <t>12.6</t>
        </is>
      </c>
      <c r="E33" s="289" t="inlineStr">
        <is>
          <t>28.0</t>
        </is>
      </c>
      <c r="F33" s="289" t="inlineStr">
        <is>
          <t>37.5</t>
        </is>
      </c>
      <c r="G33" s="289" t="inlineStr">
        <is>
          <t>45.6</t>
        </is>
      </c>
      <c r="H33" s="289" t="inlineStr">
        <is>
          <t>①</t>
        </is>
      </c>
    </row>
    <row r="34">
      <c r="A34" s="289" t="inlineStr">
        <is>
          <t>4.5 환경보전 계획</t>
        </is>
      </c>
      <c r="B34" s="289" t="inlineStr">
        <is>
          <t>500㎢</t>
        </is>
      </c>
      <c r="C34" s="289" t="inlineStr">
        <is>
          <t>9.9</t>
        </is>
      </c>
      <c r="D34" s="289" t="inlineStr">
        <is>
          <t>13.4</t>
        </is>
      </c>
      <c r="E34" s="289" t="inlineStr">
        <is>
          <t>27.9</t>
        </is>
      </c>
      <c r="F34" s="289" t="inlineStr">
        <is>
          <t>36.8</t>
        </is>
      </c>
      <c r="G34" s="289" t="inlineStr">
        <is>
          <t>51.1</t>
        </is>
      </c>
      <c r="H34" s="289" t="inlineStr">
        <is>
          <t>①</t>
        </is>
      </c>
    </row>
    <row r="35">
      <c r="A35" s="289" t="inlineStr">
        <is>
          <t>4.6 자원토지 개발계획</t>
        </is>
      </c>
      <c r="B35" s="289" t="inlineStr">
        <is>
          <t>500㎢</t>
        </is>
      </c>
      <c r="C35" s="289" t="inlineStr">
        <is>
          <t>9.4</t>
        </is>
      </c>
      <c r="D35" s="289" t="inlineStr">
        <is>
          <t>12.7</t>
        </is>
      </c>
      <c r="E35" s="289" t="inlineStr">
        <is>
          <t>28.0</t>
        </is>
      </c>
      <c r="F35" s="289" t="inlineStr">
        <is>
          <t>37.5</t>
        </is>
      </c>
      <c r="G35" s="289" t="inlineStr">
        <is>
          <t>45.6</t>
        </is>
      </c>
      <c r="H35" s="289" t="inlineStr">
        <is>
          <t>①</t>
        </is>
      </c>
    </row>
    <row r="36">
      <c r="A36" s="289" t="inlineStr">
        <is>
          <t>5. 계획추진방안</t>
        </is>
      </c>
      <c r="B36" s="289" t="inlineStr"/>
      <c r="C36" s="289" t="inlineStr"/>
      <c r="D36" s="289" t="inlineStr"/>
      <c r="E36" s="289" t="inlineStr"/>
      <c r="F36" s="289" t="inlineStr"/>
      <c r="G36" s="289" t="inlineStr"/>
      <c r="H36" s="289" t="inlineStr"/>
    </row>
    <row r="37">
      <c r="A37" s="289" t="inlineStr">
        <is>
          <t>5.1 지역개발 주요사업선정</t>
        </is>
      </c>
      <c r="B37" s="289" t="inlineStr">
        <is>
          <t>500㎢</t>
        </is>
      </c>
      <c r="C37" s="289" t="inlineStr">
        <is>
          <t>2.2</t>
        </is>
      </c>
      <c r="D37" s="289" t="inlineStr">
        <is>
          <t>3.2</t>
        </is>
      </c>
      <c r="E37" s="289" t="inlineStr">
        <is>
          <t>6.7</t>
        </is>
      </c>
      <c r="F37" s="289" t="inlineStr">
        <is>
          <t>9.9</t>
        </is>
      </c>
      <c r="G37" s="289" t="inlineStr">
        <is>
          <t>15.9</t>
        </is>
      </c>
      <c r="H37" s="289" t="inlineStr">
        <is>
          <t>①</t>
        </is>
      </c>
    </row>
    <row r="38">
      <c r="A38" s="289" t="inlineStr">
        <is>
          <t>5.2 단계별 추진계획</t>
        </is>
      </c>
      <c r="B38" s="289" t="inlineStr">
        <is>
          <t>500㎢</t>
        </is>
      </c>
      <c r="C38" s="289" t="inlineStr">
        <is>
          <t>2.2</t>
        </is>
      </c>
      <c r="D38" s="289" t="inlineStr">
        <is>
          <t>3.2</t>
        </is>
      </c>
      <c r="E38" s="289" t="inlineStr">
        <is>
          <t>8.1</t>
        </is>
      </c>
      <c r="F38" s="289" t="inlineStr">
        <is>
          <t>10.8</t>
        </is>
      </c>
      <c r="G38" s="289" t="inlineStr">
        <is>
          <t>15.9</t>
        </is>
      </c>
      <c r="H38" s="289" t="inlineStr">
        <is>
          <t>①</t>
        </is>
      </c>
    </row>
    <row r="39">
      <c r="A39" s="289" t="inlineStr">
        <is>
          <t>5.3 집행ㆍ관리계획</t>
        </is>
      </c>
      <c r="B39" s="289" t="inlineStr">
        <is>
          <t>500㎢</t>
        </is>
      </c>
      <c r="C39" s="289" t="inlineStr">
        <is>
          <t>2.3</t>
        </is>
      </c>
      <c r="D39" s="289" t="inlineStr">
        <is>
          <t>3.2</t>
        </is>
      </c>
      <c r="E39" s="289" t="inlineStr">
        <is>
          <t>8.1</t>
        </is>
      </c>
      <c r="F39" s="289" t="inlineStr">
        <is>
          <t>11.3</t>
        </is>
      </c>
      <c r="G39" s="289" t="inlineStr">
        <is>
          <t>15.9</t>
        </is>
      </c>
      <c r="H39" s="289" t="inlineStr">
        <is>
          <t>①</t>
        </is>
      </c>
    </row>
    <row r="40">
      <c r="A40" s="289" t="inlineStr">
        <is>
          <t>5.4 행ㆍ재정계획</t>
        </is>
      </c>
      <c r="B40" s="289" t="inlineStr">
        <is>
          <t>500㎢</t>
        </is>
      </c>
      <c r="C40" s="289" t="inlineStr">
        <is>
          <t>3.2</t>
        </is>
      </c>
      <c r="D40" s="289" t="inlineStr">
        <is>
          <t>4.7</t>
        </is>
      </c>
      <c r="E40" s="289" t="inlineStr">
        <is>
          <t>6.7</t>
        </is>
      </c>
      <c r="F40" s="289" t="inlineStr">
        <is>
          <t>9.9</t>
        </is>
      </c>
      <c r="G40" s="289" t="inlineStr">
        <is>
          <t>15.9</t>
        </is>
      </c>
      <c r="H40" s="289" t="inlineStr">
        <is>
          <t>①</t>
        </is>
      </c>
    </row>
    <row r="41">
      <c r="A41" s="289" t="inlineStr">
        <is>
          <t>5.5 정책건의</t>
        </is>
      </c>
      <c r="B41" s="289" t="inlineStr">
        <is>
          <t>500㎢</t>
        </is>
      </c>
      <c r="C41" s="289" t="inlineStr">
        <is>
          <t>3.3</t>
        </is>
      </c>
      <c r="D41" s="289" t="inlineStr">
        <is>
          <t>4.8</t>
        </is>
      </c>
      <c r="E41" s="289" t="inlineStr">
        <is>
          <t>6.7</t>
        </is>
      </c>
      <c r="F41" s="289" t="inlineStr">
        <is>
          <t>9.9</t>
        </is>
      </c>
      <c r="G41" s="289" t="inlineStr">
        <is>
          <t>15.9</t>
        </is>
      </c>
      <c r="H41" s="289" t="inlineStr">
        <is>
          <t>①</t>
        </is>
      </c>
    </row>
    <row r="42">
      <c r="A42" s="289" t="inlineStr">
        <is>
          <t>6. 성과품 작성</t>
        </is>
      </c>
      <c r="B42" s="289" t="inlineStr"/>
      <c r="C42" s="289" t="inlineStr"/>
      <c r="D42" s="289" t="inlineStr"/>
      <c r="E42" s="289" t="inlineStr"/>
      <c r="F42" s="289" t="inlineStr"/>
      <c r="G42" s="289" t="inlineStr"/>
      <c r="H42" s="289" t="inlineStr"/>
    </row>
    <row r="43">
      <c r="A43" s="289" t="inlineStr">
        <is>
          <t>6.1 보고서 작성 및 편집</t>
        </is>
      </c>
      <c r="B43" s="289" t="inlineStr">
        <is>
          <t>500㎢</t>
        </is>
      </c>
      <c r="C43" s="289" t="inlineStr">
        <is>
          <t>9.7</t>
        </is>
      </c>
      <c r="D43" s="289" t="inlineStr">
        <is>
          <t>12.2</t>
        </is>
      </c>
      <c r="E43" s="289" t="inlineStr">
        <is>
          <t>17.1</t>
        </is>
      </c>
      <c r="F43" s="289" t="inlineStr">
        <is>
          <t>33.5</t>
        </is>
      </c>
      <c r="G43" s="289" t="inlineStr">
        <is>
          <t>52.5</t>
        </is>
      </c>
      <c r="H43" s="289" t="inlineStr">
        <is>
          <t>①</t>
        </is>
      </c>
    </row>
    <row r="44">
      <c r="A44" s="289" t="inlineStr">
        <is>
          <t>6.2 관련 도서 작성</t>
        </is>
      </c>
      <c r="B44" s="289" t="inlineStr">
        <is>
          <t>500㎢</t>
        </is>
      </c>
      <c r="C44" s="289" t="inlineStr">
        <is>
          <t>9.1</t>
        </is>
      </c>
      <c r="D44" s="289" t="inlineStr">
        <is>
          <t>11.1</t>
        </is>
      </c>
      <c r="E44" s="289" t="inlineStr">
        <is>
          <t>19.1</t>
        </is>
      </c>
      <c r="F44" s="289" t="inlineStr">
        <is>
          <t>34.3</t>
        </is>
      </c>
      <c r="G44" s="289" t="inlineStr">
        <is>
          <t>53.9</t>
        </is>
      </c>
      <c r="H44" s="289" t="inlineStr">
        <is>
          <t>①</t>
        </is>
      </c>
    </row>
    <row r="45">
      <c r="A45" s="289" t="inlineStr">
        <is>
          <t>7. 기술협의</t>
        </is>
      </c>
      <c r="B45" s="289" t="inlineStr"/>
      <c r="C45" s="289" t="inlineStr"/>
      <c r="D45" s="289" t="inlineStr"/>
      <c r="E45" s="289" t="inlineStr"/>
      <c r="F45" s="289" t="inlineStr"/>
      <c r="G45" s="289" t="inlineStr"/>
      <c r="H45" s="289" t="inlineStr"/>
    </row>
    <row r="46">
      <c r="A46" s="289" t="inlineStr">
        <is>
          <t>7.1 주민의견청취ㆍ주민공람</t>
        </is>
      </c>
      <c r="B46" s="289" t="inlineStr">
        <is>
          <t>식</t>
        </is>
      </c>
      <c r="C46" s="289" t="inlineStr">
        <is>
          <t>3.0</t>
        </is>
      </c>
      <c r="D46" s="289" t="inlineStr">
        <is>
          <t>3.0</t>
        </is>
      </c>
      <c r="E46" s="289" t="inlineStr">
        <is>
          <t>3.0</t>
        </is>
      </c>
      <c r="F46" s="289" t="inlineStr">
        <is>
          <t>6.0</t>
        </is>
      </c>
      <c r="G46" s="289" t="inlineStr">
        <is>
          <t>6.0</t>
        </is>
      </c>
      <c r="H46" s="289" t="inlineStr">
        <is>
          <t>②</t>
        </is>
      </c>
    </row>
    <row r="47">
      <c r="A47" s="289" t="inlineStr">
        <is>
          <t>7.2 주민설명회ㆍ공청회</t>
        </is>
      </c>
      <c r="B47" s="289" t="inlineStr">
        <is>
          <t>식</t>
        </is>
      </c>
      <c r="C47" s="289" t="inlineStr">
        <is>
          <t>3.0</t>
        </is>
      </c>
      <c r="D47" s="289" t="inlineStr">
        <is>
          <t>3.0</t>
        </is>
      </c>
      <c r="E47" s="289" t="inlineStr">
        <is>
          <t>3.0</t>
        </is>
      </c>
      <c r="F47" s="289" t="inlineStr">
        <is>
          <t>6.0</t>
        </is>
      </c>
      <c r="G47" s="289" t="inlineStr">
        <is>
          <t>6.0</t>
        </is>
      </c>
      <c r="H47" s="289" t="inlineStr">
        <is>
          <t>②</t>
        </is>
      </c>
    </row>
    <row r="48">
      <c r="A48" s="289" t="inlineStr">
        <is>
          <t>7.3 관계기관협의</t>
        </is>
      </c>
      <c r="B48" s="289" t="inlineStr">
        <is>
          <t>식</t>
        </is>
      </c>
      <c r="C48" s="289" t="inlineStr">
        <is>
          <t>4.0</t>
        </is>
      </c>
      <c r="D48" s="289" t="inlineStr">
        <is>
          <t>4.0</t>
        </is>
      </c>
      <c r="E48" s="289" t="inlineStr">
        <is>
          <t>4.0</t>
        </is>
      </c>
      <c r="F48" s="289" t="inlineStr">
        <is>
          <t>8.0</t>
        </is>
      </c>
      <c r="G48" s="289" t="inlineStr">
        <is>
          <t>8.0</t>
        </is>
      </c>
      <c r="H48" s="289" t="inlineStr">
        <is>
          <t>②</t>
        </is>
      </c>
    </row>
    <row r="49">
      <c r="A49" s="289" t="inlineStr">
        <is>
          <t>7.4 협의의견 조정ㆍ반영</t>
        </is>
      </c>
      <c r="B49" s="289" t="inlineStr">
        <is>
          <t>식</t>
        </is>
      </c>
      <c r="C49" s="289" t="inlineStr">
        <is>
          <t>10.0</t>
        </is>
      </c>
      <c r="D49" s="289" t="inlineStr">
        <is>
          <t>10.0</t>
        </is>
      </c>
      <c r="E49" s="289" t="inlineStr">
        <is>
          <t>10.0</t>
        </is>
      </c>
      <c r="F49" s="289" t="inlineStr">
        <is>
          <t>13.0</t>
        </is>
      </c>
      <c r="G49" s="289" t="inlineStr">
        <is>
          <t>13.0</t>
        </is>
      </c>
      <c r="H49" s="289" t="inlineStr">
        <is>
          <t>②</t>
        </is>
      </c>
    </row>
    <row r="50">
      <c r="A50" s="289" t="inlineStr">
        <is>
          <t>7.5 의회의견 청취</t>
        </is>
      </c>
      <c r="B50" s="289" t="inlineStr">
        <is>
          <t>식</t>
        </is>
      </c>
      <c r="C50" s="289" t="inlineStr">
        <is>
          <t>2.0</t>
        </is>
      </c>
      <c r="D50" s="289" t="inlineStr">
        <is>
          <t>2.0</t>
        </is>
      </c>
      <c r="E50" s="289" t="inlineStr">
        <is>
          <t>2.0</t>
        </is>
      </c>
      <c r="F50" s="289" t="inlineStr">
        <is>
          <t>4.0</t>
        </is>
      </c>
      <c r="G50" s="289" t="inlineStr">
        <is>
          <t>4.0</t>
        </is>
      </c>
      <c r="H50" s="289" t="inlineStr">
        <is>
          <t>②</t>
        </is>
      </c>
    </row>
    <row r="51">
      <c r="A51" s="289" t="inlineStr">
        <is>
          <t>7.6 위원회 자문ㆍ심의지원</t>
        </is>
      </c>
      <c r="B51" s="289" t="inlineStr">
        <is>
          <t>식</t>
        </is>
      </c>
      <c r="C51" s="289" t="inlineStr">
        <is>
          <t>4.0</t>
        </is>
      </c>
      <c r="D51" s="289" t="inlineStr">
        <is>
          <t>4.0</t>
        </is>
      </c>
      <c r="E51" s="289" t="inlineStr">
        <is>
          <t>4.0</t>
        </is>
      </c>
      <c r="F51" s="289" t="inlineStr">
        <is>
          <t>8.0</t>
        </is>
      </c>
      <c r="G51" s="289" t="inlineStr">
        <is>
          <t>8.0</t>
        </is>
      </c>
      <c r="H51" s="289" t="inlineStr">
        <is>
          <t>②</t>
        </is>
      </c>
    </row>
    <row r="52"/>
    <row r="53">
      <c r="A53" s="288" t="inlineStr">
        <is>
          <t>표 2</t>
        </is>
      </c>
    </row>
    <row r="54">
      <c r="A54" s="289" t="inlineStr">
        <is>
          <t>구분</t>
        </is>
      </c>
      <c r="B54" s="289" t="inlineStr">
        <is>
          <t>항목</t>
        </is>
      </c>
      <c r="C54" s="289" t="inlineStr">
        <is>
          <t>세부내용</t>
        </is>
      </c>
      <c r="D54" s="289" t="inlineStr">
        <is>
          <t>비고</t>
        </is>
      </c>
    </row>
    <row r="55">
      <c r="A55" s="289" t="inlineStr">
        <is>
          <t>환산계수</t>
        </is>
      </c>
      <c r="B55" s="289" t="inlineStr">
        <is>
          <t>① 계획면적</t>
        </is>
      </c>
      <c r="C55" s="289" t="inlineStr">
        <is>
          <t>A
∙  


※ A = 계획면적(㎢)
※ 계획면적이 300㎢ 미만일 경우 300㎢를 적용한다.</t>
        </is>
      </c>
      <c r="D55" s="289" t="inlineStr">
        <is>
          <t>소수점
둘째 자리에서
반올림</t>
        </is>
      </c>
    </row>
    <row r="56">
      <c r="A56" s="289" t="inlineStr"/>
      <c r="B56" s="289" t="inlineStr">
        <is>
          <t>② 식</t>
        </is>
      </c>
      <c r="C56" s="289" t="inlineStr">
        <is>
          <t>∙ 1.0</t>
        </is>
      </c>
      <c r="D56" s="289" t="inlineStr"/>
    </row>
    <row r="57"/>
    <row r="58">
      <c r="A58" s="141" t="inlineStr">
        <is>
          <t>주기</t>
        </is>
      </c>
    </row>
    <row r="59" ht="17.1" customHeight="1" s="140">
      <c r="A59" s="290" t="inlineStr">
        <is>
          <t>주 1) 각종 영향성검토 및 각종 영향평가업무는 별도 산정한다.</t>
        </is>
      </c>
      <c r="B59" s="291" t="n"/>
      <c r="C59" s="291" t="n"/>
      <c r="D59" s="291" t="n"/>
      <c r="E59" s="291" t="n"/>
      <c r="F59" s="291" t="n"/>
      <c r="G59" s="291" t="n"/>
      <c r="H59" s="291" t="n"/>
    </row>
    <row r="60" ht="17.1" customHeight="1" s="140">
      <c r="A60" s="290" t="inlineStr">
        <is>
          <t>2) 국토종합계획, 도종합계획 등 국토 및 지역계획과 유사한 경우 이를 준용할 수 있다.</t>
        </is>
      </c>
      <c r="B60" s="291" t="n"/>
      <c r="C60" s="291" t="n"/>
      <c r="D60" s="291" t="n"/>
      <c r="E60" s="291" t="n"/>
      <c r="F60" s="291" t="n"/>
      <c r="G60" s="291" t="n"/>
      <c r="H60" s="291" t="n"/>
    </row>
    <row r="61" ht="17.1" customHeight="1" s="140">
      <c r="A61" s="290" t="inlineStr">
        <is>
          <t>3) 기술협의 단위‘식’이란 인허가 신청 후 승인 고시까지의 업무이며, 고시 이후에는 별도 산정한다.</t>
        </is>
      </c>
      <c r="B61" s="291" t="n"/>
      <c r="C61" s="291" t="n"/>
      <c r="D61" s="291" t="n"/>
      <c r="E61" s="291" t="n"/>
      <c r="F61" s="291" t="n"/>
      <c r="G61" s="291" t="n"/>
      <c r="H61" s="291" t="n"/>
    </row>
    <row r="62" ht="17.1" customHeight="1" s="140">
      <c r="A62" s="290" t="inlineStr">
        <is>
          <t>4) 위원회 자문ㆍ심의지원 중 공동심의, 통합심의일 경우 50%를 가산한다.</t>
        </is>
      </c>
      <c r="B62" s="291" t="n"/>
      <c r="C62" s="291" t="n"/>
      <c r="D62" s="291" t="n"/>
      <c r="E62" s="291" t="n"/>
      <c r="F62" s="291" t="n"/>
      <c r="G62" s="291" t="n"/>
      <c r="H62" s="29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2026-05-13T23:32:11Z</dcterms:modified>
  <cp:lastModifiedBy>saman</cp:lastModifiedBy>
</cp:coreProperties>
</file>