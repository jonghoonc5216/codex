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man\Desktop\"/>
    </mc:Choice>
  </mc:AlternateContent>
  <bookViews>
    <workbookView xWindow="0" yWindow="0" windowWidth="28800" windowHeight="12255"/>
  </bookViews>
  <sheets>
    <sheet name="05. 기본 및 실시설계(조경,토목분야)" sheetId="11" r:id="rId1"/>
    <sheet name="05-1. 보간(조경,토목공사)" sheetId="12" r:id="rId2"/>
  </sheets>
  <definedNames>
    <definedName name="_xlnm.Print_Area" localSheetId="0">'05. 기본 및 실시설계(조경,토목분야)'!$A$1:$L$22</definedName>
    <definedName name="_xlnm.Print_Area" localSheetId="1">'05-1. 보간(조경,토목공사)'!$A$1:$R$45</definedName>
  </definedNames>
  <calcPr calcId="162913" forceFullCalc="1"/>
</workbook>
</file>

<file path=xl/calcChain.xml><?xml version="1.0" encoding="utf-8"?>
<calcChain xmlns="http://schemas.openxmlformats.org/spreadsheetml/2006/main">
  <c r="C10" i="12" l="1"/>
  <c r="C9" i="12"/>
  <c r="H10" i="12" s="1"/>
  <c r="M9" i="12"/>
  <c r="M7" i="12"/>
  <c r="J7" i="12"/>
  <c r="P6" i="12"/>
  <c r="N6" i="12"/>
  <c r="J6" i="12"/>
  <c r="H6" i="12"/>
  <c r="E6" i="12"/>
  <c r="F4" i="12"/>
  <c r="C4" i="12" s="1"/>
  <c r="E5" i="11" s="1"/>
  <c r="H9" i="12" l="1"/>
  <c r="J9" i="12"/>
  <c r="J10" i="12" s="1"/>
  <c r="H11" i="12" s="1"/>
  <c r="C8" i="12" l="1"/>
  <c r="H13" i="12" s="1"/>
  <c r="E6" i="11" s="1"/>
  <c r="E7" i="11" s="1"/>
  <c r="E16" i="11" s="1"/>
</calcChain>
</file>

<file path=xl/sharedStrings.xml><?xml version="1.0" encoding="utf-8"?>
<sst xmlns="http://schemas.openxmlformats.org/spreadsheetml/2006/main" count="86" uniqueCount="70">
  <si>
    <t>(</t>
  </si>
  <si>
    <t>)</t>
  </si>
  <si>
    <t>공   종</t>
  </si>
  <si>
    <t>규격</t>
  </si>
  <si>
    <t>수량</t>
  </si>
  <si>
    <t>단위</t>
  </si>
  <si>
    <t>노  무  비</t>
  </si>
  <si>
    <t>비 고</t>
  </si>
  <si>
    <t>단 가</t>
  </si>
  <si>
    <t>금 액</t>
  </si>
  <si>
    <t>식</t>
  </si>
  <si>
    <t>(만단위이하 절사)</t>
  </si>
  <si>
    <t>총  계</t>
  </si>
  <si>
    <t>재  료  비</t>
  </si>
  <si>
    <t>경  비</t>
  </si>
  <si>
    <t>05. 기본 및 실시설계(조경,토목분야)</t>
  </si>
  <si>
    <t xml:space="preserve"> 1. 공사비 요율에 의한 방법</t>
  </si>
  <si>
    <t xml:space="preserve">  가. 개략공사비</t>
  </si>
  <si>
    <t>원</t>
  </si>
  <si>
    <t xml:space="preserve">  나. 설계비 적용요율</t>
  </si>
  <si>
    <t>%</t>
  </si>
  <si>
    <t xml:space="preserve">  다. 설계비 산출</t>
  </si>
  <si>
    <t>총 설계비</t>
  </si>
  <si>
    <t>공사비율 산정을 위한 직선보간법 적용</t>
  </si>
  <si>
    <t xml:space="preserve"> 근린공원 공사 (도로분야 요율 적용)</t>
  </si>
  <si>
    <t>x :</t>
  </si>
  <si>
    <t>당해금액</t>
  </si>
  <si>
    <t>공사비(VAT 포함) :</t>
  </si>
  <si>
    <t>(100%적용)</t>
  </si>
  <si>
    <t>x1 :</t>
  </si>
  <si>
    <t>큰금액</t>
  </si>
  <si>
    <t>x2 :</t>
  </si>
  <si>
    <t>작은금액</t>
  </si>
  <si>
    <t>-</t>
  </si>
  <si>
    <t>x</t>
  </si>
  <si>
    <t>y :</t>
  </si>
  <si>
    <t>당해공사요율</t>
  </si>
  <si>
    <t>y1 :</t>
  </si>
  <si>
    <t>작은금액요율</t>
  </si>
  <si>
    <t>=</t>
  </si>
  <si>
    <t>÷</t>
  </si>
  <si>
    <t>y2 :</t>
  </si>
  <si>
    <t>큰금액요율</t>
  </si>
  <si>
    <t>용역비 요율 할증</t>
  </si>
  <si>
    <t>→</t>
  </si>
  <si>
    <t>(기본설계와 실시설계를 동시에 발주하는 경우 1.45배 적용)</t>
  </si>
  <si>
    <t>항목</t>
  </si>
  <si>
    <t>금액</t>
  </si>
  <si>
    <t>비율</t>
  </si>
  <si>
    <t>조경,토목 공사비</t>
  </si>
  <si>
    <t>*참조 : 산업통상자원부 고시 제2021-137호, 2021년 7월 29일, 엔지니어링사업대가의 기준</t>
  </si>
  <si>
    <t xml:space="preserve">별표 1 : 건설부문의 요율 </t>
  </si>
  <si>
    <t>13조(요율) ① 공사비요율에 의한 방식을 적용할 경우 건설부문의 
요율은 우측 건설부문 요율과 같으며, 기본설계·실시설계 업무단위별로
구분하여 적용한다.
② 제1항에도 불구하고 업무단계별로 구분하여 발주하지 않는 
기본설계와 실시설계 요율은 다음 각 호와 같다.
1. 기본설계와 실시설계를 동시에 발주하는 경우
가. 건설부문의 경우 해당 실시설계요율의 1.45배
2. 타당성조사와 기본설계를 동시에 발주하는 경우
가. 건설부문의 경우 해당 기본설계 요율의 1.35배
3. 기본설계를 시행하지 않은 실시설계를 발주하는 경우
가. 건설부문의 경우 해당 실시설계 요율의 1.35배
4. 타당성 조사를 시행하지 않은 기본설계를 발주하는 경우
가. 건설부문의 경우 해당 기본설계 요율의 1.24배</t>
  </si>
  <si>
    <t>※ 요율표가 작성되지 않은 다른 분야는 도로분야의 요율을 적용한다.</t>
  </si>
  <si>
    <t>나. 실시설계</t>
    <phoneticPr fontId="4" type="noConversion"/>
  </si>
  <si>
    <t>공사비</t>
    <phoneticPr fontId="4" type="noConversion"/>
  </si>
  <si>
    <r>
      <t>업무별 요율</t>
    </r>
    <r>
      <rPr>
        <sz val="11"/>
        <color theme="1"/>
        <rFont val="맑은 고딕"/>
        <family val="2"/>
        <charset val="129"/>
        <scheme val="minor"/>
      </rPr>
      <t>(%)</t>
    </r>
    <phoneticPr fontId="4" type="noConversion"/>
  </si>
  <si>
    <t>도로</t>
    <phoneticPr fontId="4" type="noConversion"/>
  </si>
  <si>
    <r>
      <t>1</t>
    </r>
    <r>
      <rPr>
        <sz val="11"/>
        <color theme="1"/>
        <rFont val="맑은 고딕"/>
        <family val="2"/>
        <charset val="129"/>
        <scheme val="minor"/>
      </rPr>
      <t>0억원 이하</t>
    </r>
    <phoneticPr fontId="4" type="noConversion"/>
  </si>
  <si>
    <r>
      <t>2</t>
    </r>
    <r>
      <rPr>
        <sz val="11"/>
        <color theme="1"/>
        <rFont val="맑은 고딕"/>
        <family val="2"/>
        <charset val="129"/>
        <scheme val="minor"/>
      </rPr>
      <t>0억원 이하</t>
    </r>
    <phoneticPr fontId="4" type="noConversion"/>
  </si>
  <si>
    <r>
      <t>3</t>
    </r>
    <r>
      <rPr>
        <sz val="11"/>
        <color theme="1"/>
        <rFont val="맑은 고딕"/>
        <family val="2"/>
        <charset val="129"/>
        <scheme val="minor"/>
      </rPr>
      <t>0억원 이하</t>
    </r>
    <phoneticPr fontId="4" type="noConversion"/>
  </si>
  <si>
    <r>
      <t>5</t>
    </r>
    <r>
      <rPr>
        <sz val="11"/>
        <color theme="1"/>
        <rFont val="맑은 고딕"/>
        <family val="2"/>
        <charset val="129"/>
        <scheme val="minor"/>
      </rPr>
      <t>0억원 이하</t>
    </r>
    <phoneticPr fontId="4" type="noConversion"/>
  </si>
  <si>
    <r>
      <t>1</t>
    </r>
    <r>
      <rPr>
        <sz val="11"/>
        <color theme="1"/>
        <rFont val="맑은 고딕"/>
        <family val="2"/>
        <charset val="129"/>
        <scheme val="minor"/>
      </rPr>
      <t>00억원 이하</t>
    </r>
    <phoneticPr fontId="4" type="noConversion"/>
  </si>
  <si>
    <t>200억원 이하</t>
    <phoneticPr fontId="4" type="noConversion"/>
  </si>
  <si>
    <t>300억원 이하</t>
    <phoneticPr fontId="4" type="noConversion"/>
  </si>
  <si>
    <t>500억원 이하</t>
    <phoneticPr fontId="4" type="noConversion"/>
  </si>
  <si>
    <r>
      <t>1</t>
    </r>
    <r>
      <rPr>
        <sz val="11"/>
        <color theme="1"/>
        <rFont val="맑은 고딕"/>
        <family val="2"/>
        <charset val="129"/>
        <scheme val="minor"/>
      </rPr>
      <t>,000억원 이하</t>
    </r>
    <phoneticPr fontId="4" type="noConversion"/>
  </si>
  <si>
    <r>
      <t>2,000억원 이하</t>
    </r>
    <r>
      <rPr>
        <sz val="11"/>
        <color theme="1"/>
        <rFont val="맑은 고딕"/>
        <family val="2"/>
        <charset val="129"/>
        <scheme val="minor"/>
      </rPr>
      <t/>
    </r>
    <phoneticPr fontId="4" type="noConversion"/>
  </si>
  <si>
    <r>
      <t>3,000억원 이하</t>
    </r>
    <r>
      <rPr>
        <sz val="11"/>
        <color theme="1"/>
        <rFont val="맑은 고딕"/>
        <family val="2"/>
        <charset val="129"/>
        <scheme val="minor"/>
      </rPr>
      <t/>
    </r>
    <phoneticPr fontId="4" type="noConversion"/>
  </si>
  <si>
    <t>5,000억원 초과</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</si>
</sst>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83" formatCode="_-* #,##0.00_-;\-* #,##0.00_-;_-* &quot;-&quot;_-;_-@_-"/>
    <numFmt numFmtId="184" formatCode="&quot;제&quot;#0&quot;호표&quot;"/>
    <numFmt numFmtId="185" formatCode="_-* #,##0.0_-;\-* #,##0.0_-;_-* &quot;-&quot;_-;_-@_-"/>
  </numFmts>
  <fonts count="1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2"/>
      <charset val="129"/>
      <scheme val="minor"/>
    </font>
    <font>
      <sz val="9"/>
      <name val="돋움"/>
      <family val="3"/>
      <charset val="129"/>
    </font>
    <font>
      <b/>
      <sz val="10"/>
      <name val="굴림"/>
      <family val="3"/>
      <charset val="129"/>
    </font>
    <font>
      <sz val="9"/>
      <name val="나눔명조"/>
      <family val="1"/>
      <charset val="129"/>
    </font>
    <font>
      <b/>
      <sz val="11"/>
      <name val="나눔명조"/>
      <family val="1"/>
      <charset val="129"/>
    </font>
    <font>
      <b/>
      <sz val="9"/>
      <name val="나눔명조"/>
      <family val="1"/>
      <charset val="129"/>
    </font>
    <font>
      <sz val="10"/>
      <name val="굴림"/>
      <family val="3"/>
      <charset val="129"/>
    </font>
    <font>
      <b/>
      <sz val="10"/>
      <color rgb="FFFF0000"/>
      <name val="굴림"/>
      <family val="3"/>
      <charset val="129"/>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23">
    <border>
      <left/>
      <right/>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thin">
        <color indexed="64"/>
      </left>
      <right style="hair">
        <color indexed="64"/>
      </right>
      <top/>
      <bottom style="hair">
        <color indexed="64"/>
      </bottom>
      <diagonal/>
    </border>
    <border>
      <left/>
      <right style="medium">
        <color auto="1"/>
      </right>
      <top style="medium">
        <color auto="1"/>
      </top>
      <bottom/>
      <diagonal/>
    </border>
    <border>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thin">
        <color indexed="64"/>
      </left>
      <right style="thin">
        <color indexed="64"/>
      </right>
      <top style="thin">
        <color indexed="64"/>
      </top>
      <bottom style="thin">
        <color indexed="64"/>
      </bottom>
      <diagonal/>
    </border>
    <border>
      <left style="medium">
        <color auto="1"/>
      </left>
      <right/>
      <top/>
      <bottom style="medium">
        <color auto="1"/>
      </bottom>
      <diagonal/>
    </border>
    <border>
      <left/>
      <right/>
      <top/>
      <bottom style="medium">
        <color indexed="64"/>
      </bottom>
      <diagonal/>
    </border>
    <border>
      <left/>
      <right style="medium">
        <color auto="1"/>
      </right>
      <top/>
      <bottom style="medium">
        <color auto="1"/>
      </bottom>
      <diagonal/>
    </border>
  </borders>
  <cellStyleXfs count="7">
    <xf numFmtId="0" fontId="0" fillId="0" borderId="0">
      <alignment vertical="center"/>
    </xf>
    <xf numFmtId="41" fontId="2" fillId="0" borderId="0">
      <alignment vertical="center"/>
    </xf>
    <xf numFmtId="9" fontId="2" fillId="0" borderId="0">
      <alignment vertical="center"/>
    </xf>
    <xf numFmtId="0" fontId="3" fillId="0" borderId="0"/>
    <xf numFmtId="41" fontId="3" fillId="0" borderId="0">
      <alignment vertical="center"/>
    </xf>
    <xf numFmtId="41" fontId="3" fillId="0" borderId="0"/>
    <xf numFmtId="41" fontId="3" fillId="0" borderId="0"/>
  </cellStyleXfs>
  <cellXfs count="75">
    <xf numFmtId="0" fontId="0" fillId="0" borderId="0" xfId="0" applyAlignment="1">
      <alignment vertical="center"/>
    </xf>
    <xf numFmtId="0" fontId="0" fillId="0" borderId="0" xfId="0" applyAlignment="1"/>
    <xf numFmtId="0" fontId="2" fillId="0" borderId="0" xfId="0" applyFont="1" applyAlignment="1"/>
    <xf numFmtId="0" fontId="7" fillId="2" borderId="2" xfId="3" applyFont="1" applyFill="1" applyBorder="1" applyAlignment="1">
      <alignment horizontal="center" vertical="center"/>
    </xf>
    <xf numFmtId="0" fontId="8" fillId="0" borderId="11" xfId="3" applyFont="1" applyBorder="1" applyAlignment="1">
      <alignment horizontal="left" vertical="center"/>
    </xf>
    <xf numFmtId="0" fontId="9" fillId="0" borderId="3" xfId="3" applyFont="1" applyBorder="1" applyAlignment="1">
      <alignment horizontal="center" vertical="center"/>
    </xf>
    <xf numFmtId="0" fontId="9" fillId="0" borderId="9" xfId="3" applyFont="1" applyBorder="1" applyAlignment="1">
      <alignment horizontal="center" vertical="center"/>
    </xf>
    <xf numFmtId="0" fontId="9" fillId="0" borderId="10" xfId="3" applyFont="1" applyBorder="1" applyAlignment="1">
      <alignment horizontal="center" vertical="center"/>
    </xf>
    <xf numFmtId="0" fontId="9" fillId="0" borderId="0" xfId="3" applyFont="1" applyAlignment="1">
      <alignment horizontal="left" vertical="center"/>
    </xf>
    <xf numFmtId="0" fontId="9" fillId="0" borderId="12" xfId="3" applyFont="1" applyBorder="1" applyAlignment="1">
      <alignment horizontal="left" vertical="center"/>
    </xf>
    <xf numFmtId="0" fontId="9" fillId="0" borderId="6" xfId="3" applyFont="1" applyBorder="1" applyAlignment="1">
      <alignment horizontal="center" vertical="center"/>
    </xf>
    <xf numFmtId="0" fontId="9" fillId="0" borderId="13" xfId="3" applyFont="1" applyBorder="1" applyAlignment="1">
      <alignment horizontal="center" vertical="center"/>
    </xf>
    <xf numFmtId="41" fontId="9" fillId="0" borderId="13" xfId="3" applyNumberFormat="1" applyFont="1" applyBorder="1" applyAlignment="1">
      <alignment horizontal="center" vertical="center"/>
    </xf>
    <xf numFmtId="41" fontId="9" fillId="0" borderId="13" xfId="1" applyFont="1" applyBorder="1" applyAlignment="1">
      <alignment horizontal="center" vertical="center"/>
    </xf>
    <xf numFmtId="0" fontId="9" fillId="0" borderId="14" xfId="3" applyFont="1" applyBorder="1" applyAlignment="1">
      <alignment horizontal="center" vertical="center"/>
    </xf>
    <xf numFmtId="0" fontId="7" fillId="0" borderId="12" xfId="3" applyFont="1" applyBorder="1" applyAlignment="1">
      <alignment horizontal="left" vertical="center"/>
    </xf>
    <xf numFmtId="0" fontId="7" fillId="0" borderId="6" xfId="3" applyFont="1" applyBorder="1" applyAlignment="1">
      <alignment horizontal="center" vertical="center"/>
    </xf>
    <xf numFmtId="0" fontId="7" fillId="0" borderId="13" xfId="3" applyFont="1" applyBorder="1" applyAlignment="1">
      <alignment horizontal="center" vertical="center"/>
    </xf>
    <xf numFmtId="41" fontId="7" fillId="0" borderId="13" xfId="3" applyNumberFormat="1" applyFont="1" applyBorder="1" applyAlignment="1">
      <alignment horizontal="center" vertical="center"/>
    </xf>
    <xf numFmtId="0" fontId="7" fillId="0" borderId="13" xfId="3" applyFont="1" applyBorder="1" applyAlignment="1">
      <alignment horizontal="left" vertical="center"/>
    </xf>
    <xf numFmtId="0" fontId="7" fillId="0" borderId="14" xfId="3" applyFont="1" applyBorder="1" applyAlignment="1">
      <alignment horizontal="center" vertical="center"/>
    </xf>
    <xf numFmtId="183" fontId="7" fillId="0" borderId="13" xfId="3" applyNumberFormat="1" applyFont="1" applyBorder="1" applyAlignment="1">
      <alignment horizontal="center" vertical="center"/>
    </xf>
    <xf numFmtId="41" fontId="7" fillId="0" borderId="13" xfId="1" applyFont="1" applyBorder="1" applyAlignment="1">
      <alignment horizontal="left" vertical="center"/>
    </xf>
    <xf numFmtId="41" fontId="7" fillId="0" borderId="13" xfId="1" applyFont="1" applyBorder="1" applyAlignment="1">
      <alignment horizontal="center" vertical="center"/>
    </xf>
    <xf numFmtId="184" fontId="7" fillId="0" borderId="14" xfId="3" applyNumberFormat="1" applyFont="1" applyBorder="1" applyAlignment="1">
      <alignment horizontal="center" vertical="center"/>
    </xf>
    <xf numFmtId="185" fontId="7" fillId="0" borderId="13" xfId="1" applyNumberFormat="1" applyFont="1" applyBorder="1" applyAlignment="1">
      <alignment horizontal="left" vertical="center"/>
    </xf>
    <xf numFmtId="0" fontId="7" fillId="0" borderId="12" xfId="3" applyFont="1" applyBorder="1" applyAlignment="1">
      <alignment horizontal="left" vertical="center" indent="1"/>
    </xf>
    <xf numFmtId="9" fontId="9" fillId="0" borderId="13" xfId="3" applyNumberFormat="1" applyFont="1" applyBorder="1" applyAlignment="1">
      <alignment horizontal="center" vertical="center"/>
    </xf>
    <xf numFmtId="0" fontId="9" fillId="0" borderId="12" xfId="3" applyFont="1" applyBorder="1" applyAlignment="1">
      <alignment horizontal="center" vertical="center"/>
    </xf>
    <xf numFmtId="0" fontId="9" fillId="0" borderId="13" xfId="3" applyFont="1" applyBorder="1" applyAlignment="1">
      <alignment horizontal="left" vertical="center"/>
    </xf>
    <xf numFmtId="0" fontId="10" fillId="0" borderId="15" xfId="4" applyNumberFormat="1" applyFont="1" applyBorder="1" applyAlignment="1">
      <alignment vertical="center"/>
    </xf>
    <xf numFmtId="0" fontId="10" fillId="0" borderId="16" xfId="4" applyNumberFormat="1" applyFont="1" applyBorder="1" applyAlignment="1">
      <alignment vertical="center"/>
    </xf>
    <xf numFmtId="0" fontId="10" fillId="0" borderId="5" xfId="4" applyNumberFormat="1" applyFont="1" applyBorder="1" applyAlignment="1">
      <alignment vertical="center"/>
    </xf>
    <xf numFmtId="0" fontId="10" fillId="0" borderId="17" xfId="4" applyNumberFormat="1" applyFont="1" applyBorder="1" applyAlignment="1">
      <alignment vertical="center"/>
    </xf>
    <xf numFmtId="0" fontId="6" fillId="0" borderId="0" xfId="4" applyNumberFormat="1" applyFont="1" applyAlignment="1">
      <alignment vertical="center"/>
    </xf>
    <xf numFmtId="0" fontId="11" fillId="0" borderId="0" xfId="4" applyNumberFormat="1" applyFont="1" applyAlignment="1">
      <alignment vertical="center"/>
    </xf>
    <xf numFmtId="0" fontId="10" fillId="0" borderId="18" xfId="4" applyNumberFormat="1" applyFont="1" applyBorder="1" applyAlignment="1">
      <alignment vertical="center"/>
    </xf>
    <xf numFmtId="0" fontId="10" fillId="0" borderId="17" xfId="4" applyNumberFormat="1" applyFont="1" applyBorder="1" applyAlignment="1">
      <alignment horizontal="right" vertical="center"/>
    </xf>
    <xf numFmtId="0" fontId="10" fillId="0" borderId="0" xfId="4" applyNumberFormat="1" applyFont="1" applyAlignment="1">
      <alignment vertical="center"/>
    </xf>
    <xf numFmtId="41" fontId="10" fillId="0" borderId="0" xfId="1" applyFont="1" applyAlignment="1">
      <alignment vertical="center"/>
    </xf>
    <xf numFmtId="2" fontId="10" fillId="4" borderId="0" xfId="4" applyNumberFormat="1" applyFont="1" applyFill="1" applyAlignment="1">
      <alignment vertical="center"/>
    </xf>
    <xf numFmtId="0" fontId="6" fillId="0" borderId="17" xfId="4" applyNumberFormat="1" applyFont="1" applyBorder="1" applyAlignment="1">
      <alignment vertical="center"/>
    </xf>
    <xf numFmtId="0" fontId="6" fillId="0" borderId="18" xfId="4" applyNumberFormat="1" applyFont="1" applyBorder="1" applyAlignment="1">
      <alignment vertical="center"/>
    </xf>
    <xf numFmtId="0" fontId="10" fillId="0" borderId="0" xfId="4" applyNumberFormat="1" applyFont="1" applyAlignment="1">
      <alignment horizontal="center" vertical="center"/>
    </xf>
    <xf numFmtId="2" fontId="6" fillId="0" borderId="0" xfId="4" applyNumberFormat="1" applyFont="1" applyAlignment="1">
      <alignment vertical="center"/>
    </xf>
    <xf numFmtId="0" fontId="10" fillId="0" borderId="19" xfId="4" applyNumberFormat="1" applyFont="1" applyBorder="1" applyAlignment="1">
      <alignment horizontal="center" vertical="center"/>
    </xf>
    <xf numFmtId="0" fontId="10" fillId="3" borderId="19" xfId="4" applyNumberFormat="1" applyFont="1" applyFill="1" applyBorder="1" applyAlignment="1">
      <alignment horizontal="center" vertical="center"/>
    </xf>
    <xf numFmtId="41" fontId="10" fillId="3" borderId="19" xfId="1" applyFont="1" applyFill="1" applyBorder="1" applyAlignment="1">
      <alignment horizontal="center" vertical="center"/>
    </xf>
    <xf numFmtId="9" fontId="10" fillId="0" borderId="19" xfId="2" applyFont="1" applyBorder="1" applyAlignment="1">
      <alignment horizontal="center" vertical="center"/>
    </xf>
    <xf numFmtId="41" fontId="10" fillId="0" borderId="19" xfId="1" applyFont="1" applyBorder="1" applyAlignment="1">
      <alignment horizontal="center" vertical="center"/>
    </xf>
    <xf numFmtId="9" fontId="10" fillId="0" borderId="19" xfId="4" applyNumberFormat="1" applyFont="1" applyBorder="1" applyAlignment="1">
      <alignment horizontal="center" vertical="center"/>
    </xf>
    <xf numFmtId="41" fontId="10" fillId="0" borderId="0" xfId="4" applyFont="1" applyAlignment="1">
      <alignment vertical="center"/>
    </xf>
    <xf numFmtId="0" fontId="10" fillId="0" borderId="20" xfId="4" applyNumberFormat="1" applyFont="1" applyBorder="1" applyAlignment="1">
      <alignment vertical="center"/>
    </xf>
    <xf numFmtId="0" fontId="6" fillId="0" borderId="21" xfId="4" applyNumberFormat="1" applyFont="1" applyBorder="1" applyAlignment="1">
      <alignment vertical="center"/>
    </xf>
    <xf numFmtId="0" fontId="10" fillId="0" borderId="21" xfId="4" applyNumberFormat="1" applyFont="1" applyBorder="1" applyAlignment="1">
      <alignment vertical="center"/>
    </xf>
    <xf numFmtId="0" fontId="10" fillId="0" borderId="22" xfId="4" applyNumberFormat="1" applyFont="1" applyBorder="1" applyAlignment="1">
      <alignment vertical="center"/>
    </xf>
    <xf numFmtId="0" fontId="0" fillId="0" borderId="0" xfId="0" applyAlignment="1"/>
    <xf numFmtId="0" fontId="0" fillId="0" borderId="0" xfId="0" applyAlignment="1">
      <alignment vertical="center"/>
    </xf>
    <xf numFmtId="0" fontId="0" fillId="0" borderId="3" xfId="0" applyBorder="1" applyAlignment="1"/>
    <xf numFmtId="0" fontId="0" fillId="0" borderId="9" xfId="0" applyBorder="1" applyAlignment="1"/>
    <xf numFmtId="0" fontId="0" fillId="0" borderId="10" xfId="0" applyBorder="1" applyAlignment="1"/>
    <xf numFmtId="0" fontId="0" fillId="0" borderId="4" xfId="0" applyBorder="1" applyAlignment="1"/>
    <xf numFmtId="0" fontId="7" fillId="2" borderId="1" xfId="3" applyFont="1" applyFill="1" applyBorder="1" applyAlignment="1">
      <alignment horizontal="center" vertical="center"/>
    </xf>
    <xf numFmtId="0" fontId="7" fillId="2" borderId="8" xfId="3" applyFont="1" applyFill="1" applyBorder="1" applyAlignment="1">
      <alignment horizontal="center" vertical="center"/>
    </xf>
    <xf numFmtId="0" fontId="7" fillId="2" borderId="7" xfId="3" applyFont="1" applyFill="1" applyBorder="1" applyAlignment="1">
      <alignment horizontal="center" vertical="center"/>
    </xf>
    <xf numFmtId="0" fontId="10" fillId="0" borderId="0" xfId="4" applyNumberFormat="1" applyFont="1" applyAlignment="1">
      <alignment vertical="center"/>
    </xf>
    <xf numFmtId="41" fontId="6" fillId="0" borderId="0" xfId="1" applyFont="1" applyAlignment="1">
      <alignment vertical="center"/>
    </xf>
    <xf numFmtId="41" fontId="10" fillId="0" borderId="0" xfId="1" applyFont="1" applyAlignment="1">
      <alignment vertical="center"/>
    </xf>
    <xf numFmtId="0" fontId="6" fillId="0" borderId="0" xfId="4" applyNumberFormat="1" applyFont="1" applyAlignment="1">
      <alignment vertical="center"/>
    </xf>
    <xf numFmtId="0" fontId="6" fillId="0" borderId="0" xfId="4" applyNumberFormat="1" applyFont="1" applyAlignment="1">
      <alignment vertical="top" wrapText="1"/>
    </xf>
    <xf numFmtId="0" fontId="0" fillId="0" borderId="0" xfId="0" applyFont="1" applyAlignment="1">
      <alignment horizontal="center"/>
    </xf>
    <xf numFmtId="0" fontId="2" fillId="0" borderId="0" xfId="0" applyFont="1" applyAlignment="1">
      <alignment horizontal="center"/>
    </xf>
    <xf numFmtId="0" fontId="0" fillId="0" borderId="19" xfId="0" applyFont="1" applyBorder="1" applyAlignment="1">
      <alignment horizontal="center" vertical="center"/>
    </xf>
    <xf numFmtId="0" fontId="0" fillId="0" borderId="19" xfId="0" applyFont="1" applyBorder="1" applyAlignment="1">
      <alignment horizontal="center"/>
    </xf>
    <xf numFmtId="0" fontId="2" fillId="0" borderId="19" xfId="0" applyFont="1" applyBorder="1" applyAlignment="1">
      <alignment horizontal="center"/>
    </xf>
  </cellXfs>
  <cellStyles count="7">
    <cellStyle name="백분율" xfId="2" builtinId="5"/>
    <cellStyle name="쉼표 [0]" xfId="1" builtinId="6"/>
    <cellStyle name="쉼표 [0] 2 2 2 2 2" xfId="4"/>
    <cellStyle name="쉼표 [0] 4 3" xfId="5"/>
    <cellStyle name="쉼표 [0] 7" xfId="6"/>
    <cellStyle name="표준" xfId="0" builtinId="0"/>
    <cellStyle name="표준_110000-00시 조성계획 및 실시설계 용역(기준)(rev-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
  <sheetViews>
    <sheetView tabSelected="1" view="pageBreakPreview" workbookViewId="0">
      <selection activeCell="G18" sqref="G18"/>
    </sheetView>
  </sheetViews>
  <sheetFormatPr defaultRowHeight="16.5"/>
  <cols>
    <col min="1" max="1" width="16.375" style="1" customWidth="1"/>
    <col min="2" max="2" width="6" style="1" customWidth="1"/>
    <col min="3" max="3" width="8.5" style="1" customWidth="1"/>
    <col min="4" max="4" width="5" style="1" customWidth="1"/>
    <col min="5" max="5" width="12.875" style="1" customWidth="1"/>
    <col min="6" max="6" width="8.5" style="1" customWidth="1"/>
    <col min="7" max="7" width="12.875" style="1" customWidth="1"/>
    <col min="8" max="8" width="8.5" style="1" customWidth="1"/>
    <col min="9" max="9" width="12.875" style="1" customWidth="1"/>
    <col min="10" max="10" width="8.5" style="1" customWidth="1"/>
    <col min="11" max="11" width="12.875" style="1" customWidth="1"/>
    <col min="12" max="12" width="6.625" style="1" customWidth="1"/>
    <col min="13" max="13" width="6.125" style="1" customWidth="1"/>
    <col min="14" max="14" width="12.375" style="1" customWidth="1"/>
    <col min="15" max="17" width="6.125" style="1" customWidth="1"/>
  </cols>
  <sheetData>
    <row r="1" spans="1:16" ht="21.95" customHeight="1">
      <c r="A1" s="64" t="s">
        <v>2</v>
      </c>
      <c r="B1" s="62" t="s">
        <v>3</v>
      </c>
      <c r="C1" s="62" t="s">
        <v>4</v>
      </c>
      <c r="D1" s="62" t="s">
        <v>5</v>
      </c>
      <c r="E1" s="62" t="s">
        <v>12</v>
      </c>
      <c r="F1" s="62" t="s">
        <v>6</v>
      </c>
      <c r="G1" s="58"/>
      <c r="H1" s="62" t="s">
        <v>13</v>
      </c>
      <c r="I1" s="58"/>
      <c r="J1" s="62" t="s">
        <v>14</v>
      </c>
      <c r="K1" s="58"/>
      <c r="L1" s="63" t="s">
        <v>7</v>
      </c>
      <c r="M1" s="2"/>
      <c r="N1" s="2"/>
      <c r="O1" s="2"/>
      <c r="P1" s="2"/>
    </row>
    <row r="2" spans="1:16" ht="21.95" customHeight="1">
      <c r="A2" s="61"/>
      <c r="B2" s="59"/>
      <c r="C2" s="59"/>
      <c r="D2" s="59"/>
      <c r="E2" s="59"/>
      <c r="F2" s="3" t="s">
        <v>8</v>
      </c>
      <c r="G2" s="3" t="s">
        <v>9</v>
      </c>
      <c r="H2" s="3" t="s">
        <v>8</v>
      </c>
      <c r="I2" s="3" t="s">
        <v>9</v>
      </c>
      <c r="J2" s="3" t="s">
        <v>8</v>
      </c>
      <c r="K2" s="3" t="s">
        <v>9</v>
      </c>
      <c r="L2" s="60"/>
      <c r="M2" s="2"/>
      <c r="N2" s="2"/>
      <c r="O2" s="2"/>
      <c r="P2" s="2"/>
    </row>
    <row r="3" spans="1:16" ht="21" customHeight="1">
      <c r="A3" s="4" t="s">
        <v>15</v>
      </c>
      <c r="B3" s="5"/>
      <c r="C3" s="6"/>
      <c r="D3" s="6"/>
      <c r="E3" s="6"/>
      <c r="F3" s="6"/>
      <c r="G3" s="6"/>
      <c r="H3" s="6"/>
      <c r="I3" s="6"/>
      <c r="J3" s="6"/>
      <c r="K3" s="6"/>
      <c r="L3" s="7"/>
      <c r="M3" s="2"/>
      <c r="N3" s="2"/>
      <c r="O3" s="2"/>
      <c r="P3" s="8"/>
    </row>
    <row r="4" spans="1:16" ht="21" customHeight="1">
      <c r="A4" s="9" t="s">
        <v>16</v>
      </c>
      <c r="B4" s="10"/>
      <c r="C4" s="11"/>
      <c r="D4" s="11"/>
      <c r="E4" s="12"/>
      <c r="F4" s="11"/>
      <c r="G4" s="13"/>
      <c r="H4" s="11"/>
      <c r="I4" s="13"/>
      <c r="J4" s="11"/>
      <c r="K4" s="13"/>
      <c r="L4" s="14"/>
      <c r="M4" s="2"/>
      <c r="N4" s="2"/>
      <c r="O4" s="2"/>
      <c r="P4" s="8"/>
    </row>
    <row r="5" spans="1:16" ht="21" customHeight="1">
      <c r="A5" s="15" t="s">
        <v>17</v>
      </c>
      <c r="B5" s="16"/>
      <c r="C5" s="17">
        <v>1</v>
      </c>
      <c r="D5" s="17" t="s">
        <v>10</v>
      </c>
      <c r="E5" s="18">
        <f>'05-1. 보간(조경,토목공사)'!C4</f>
        <v>999999999.99999988</v>
      </c>
      <c r="F5" s="19" t="s">
        <v>18</v>
      </c>
      <c r="G5" s="18"/>
      <c r="H5" s="17"/>
      <c r="I5" s="18"/>
      <c r="J5" s="17"/>
      <c r="K5" s="18"/>
      <c r="L5" s="20"/>
      <c r="M5" s="2"/>
      <c r="N5" s="2"/>
      <c r="O5" s="2"/>
      <c r="P5" s="2"/>
    </row>
    <row r="6" spans="1:16" ht="21" customHeight="1">
      <c r="A6" s="15" t="s">
        <v>19</v>
      </c>
      <c r="B6" s="16"/>
      <c r="C6" s="17"/>
      <c r="D6" s="17"/>
      <c r="E6" s="21">
        <f>'05-1. 보간(조경,토목공사)'!H13</f>
        <v>8.93</v>
      </c>
      <c r="F6" s="22" t="s">
        <v>20</v>
      </c>
      <c r="G6" s="23"/>
      <c r="H6" s="17"/>
      <c r="I6" s="23"/>
      <c r="J6" s="17"/>
      <c r="K6" s="23"/>
      <c r="L6" s="24"/>
      <c r="M6" s="2"/>
      <c r="N6" s="2"/>
      <c r="O6" s="2"/>
      <c r="P6" s="2"/>
    </row>
    <row r="7" spans="1:16" ht="21" customHeight="1">
      <c r="A7" s="15" t="s">
        <v>21</v>
      </c>
      <c r="B7" s="16"/>
      <c r="C7" s="17">
        <v>1</v>
      </c>
      <c r="D7" s="17" t="s">
        <v>10</v>
      </c>
      <c r="E7" s="18">
        <f>E5*(E6/100)+1000000</f>
        <v>90299999.999999985</v>
      </c>
      <c r="F7" s="25" t="s">
        <v>18</v>
      </c>
      <c r="G7" s="23"/>
      <c r="H7" s="17"/>
      <c r="I7" s="23"/>
      <c r="J7" s="17"/>
      <c r="K7" s="23"/>
      <c r="L7" s="24"/>
      <c r="M7" s="2"/>
      <c r="N7" s="2"/>
      <c r="O7" s="2"/>
      <c r="P7" s="2"/>
    </row>
    <row r="8" spans="1:16" ht="21" customHeight="1">
      <c r="A8" s="26"/>
      <c r="B8" s="16"/>
      <c r="C8" s="17"/>
      <c r="D8" s="17"/>
      <c r="E8" s="18"/>
      <c r="F8" s="23"/>
      <c r="G8" s="23"/>
      <c r="H8" s="17"/>
      <c r="I8" s="23"/>
      <c r="J8" s="17"/>
      <c r="K8" s="23"/>
      <c r="L8" s="24"/>
      <c r="M8" s="2"/>
      <c r="N8" s="2"/>
      <c r="O8" s="2"/>
      <c r="P8" s="2"/>
    </row>
    <row r="9" spans="1:16" ht="21" customHeight="1">
      <c r="A9" s="15"/>
      <c r="B9" s="16"/>
      <c r="C9" s="17"/>
      <c r="D9" s="17"/>
      <c r="E9" s="18"/>
      <c r="F9" s="17"/>
      <c r="G9" s="18"/>
      <c r="H9" s="17"/>
      <c r="I9" s="18"/>
      <c r="J9" s="17"/>
      <c r="K9" s="18"/>
      <c r="L9" s="24"/>
      <c r="M9" s="2"/>
      <c r="N9" s="2"/>
      <c r="O9" s="2"/>
      <c r="P9" s="2"/>
    </row>
    <row r="10" spans="1:16" ht="21" customHeight="1">
      <c r="A10" s="26"/>
      <c r="B10" s="16"/>
      <c r="C10" s="17"/>
      <c r="D10" s="17"/>
      <c r="E10" s="18"/>
      <c r="F10" s="23"/>
      <c r="G10" s="23"/>
      <c r="H10" s="17"/>
      <c r="I10" s="23"/>
      <c r="J10" s="17"/>
      <c r="K10" s="23"/>
      <c r="L10" s="24"/>
      <c r="M10" s="2"/>
      <c r="N10" s="2"/>
      <c r="O10" s="2"/>
      <c r="P10" s="2"/>
    </row>
    <row r="11" spans="1:16" ht="21" customHeight="1">
      <c r="A11" s="9"/>
      <c r="B11" s="10"/>
      <c r="C11" s="11"/>
      <c r="D11" s="11"/>
      <c r="E11" s="12"/>
      <c r="F11" s="11"/>
      <c r="G11" s="13"/>
      <c r="H11" s="11"/>
      <c r="I11" s="13"/>
      <c r="J11" s="11"/>
      <c r="K11" s="13"/>
      <c r="L11" s="14"/>
      <c r="M11" s="2"/>
      <c r="N11" s="2"/>
      <c r="O11" s="2"/>
      <c r="P11" s="8"/>
    </row>
    <row r="12" spans="1:16" ht="21" customHeight="1">
      <c r="A12" s="15"/>
      <c r="B12" s="16"/>
      <c r="C12" s="17"/>
      <c r="D12" s="17"/>
      <c r="E12" s="18"/>
      <c r="F12" s="17"/>
      <c r="G12" s="18"/>
      <c r="H12" s="17"/>
      <c r="I12" s="18"/>
      <c r="J12" s="17"/>
      <c r="K12" s="18"/>
      <c r="L12" s="20"/>
      <c r="M12" s="2"/>
      <c r="N12" s="2"/>
      <c r="O12" s="2"/>
      <c r="P12" s="2"/>
    </row>
    <row r="13" spans="1:16" ht="21" customHeight="1">
      <c r="A13" s="15"/>
      <c r="B13" s="16"/>
      <c r="C13" s="17"/>
      <c r="D13" s="17"/>
      <c r="E13" s="18"/>
      <c r="F13" s="17"/>
      <c r="G13" s="18"/>
      <c r="H13" s="17"/>
      <c r="I13" s="18"/>
      <c r="J13" s="17"/>
      <c r="K13" s="18"/>
      <c r="L13" s="20"/>
      <c r="M13" s="2"/>
      <c r="N13" s="2"/>
      <c r="O13" s="2"/>
      <c r="P13" s="2"/>
    </row>
    <row r="14" spans="1:16" ht="21" customHeight="1">
      <c r="A14" s="9"/>
      <c r="B14" s="10"/>
      <c r="C14" s="27"/>
      <c r="D14" s="11"/>
      <c r="E14" s="13"/>
      <c r="F14" s="11"/>
      <c r="G14" s="11"/>
      <c r="H14" s="11"/>
      <c r="I14" s="11"/>
      <c r="J14" s="11"/>
      <c r="K14" s="11"/>
      <c r="L14" s="14"/>
      <c r="M14" s="2"/>
      <c r="N14" s="2"/>
      <c r="O14" s="2"/>
      <c r="P14" s="8"/>
    </row>
    <row r="15" spans="1:16" ht="21" customHeight="1">
      <c r="A15" s="9"/>
      <c r="B15" s="10"/>
      <c r="C15" s="27"/>
      <c r="D15" s="11"/>
      <c r="E15" s="13"/>
      <c r="F15" s="11"/>
      <c r="G15" s="11"/>
      <c r="H15" s="11"/>
      <c r="I15" s="11"/>
      <c r="J15" s="11"/>
      <c r="K15" s="11"/>
      <c r="L15" s="14"/>
      <c r="M15" s="2"/>
      <c r="N15" s="2"/>
      <c r="O15" s="2"/>
      <c r="P15" s="8"/>
    </row>
    <row r="16" spans="1:16" ht="21" customHeight="1">
      <c r="A16" s="28" t="s">
        <v>22</v>
      </c>
      <c r="B16" s="10"/>
      <c r="C16" s="27"/>
      <c r="D16" s="11"/>
      <c r="E16" s="13">
        <f>ROUNDDOWN(E7,-5)</f>
        <v>90300000</v>
      </c>
      <c r="F16" s="29" t="s">
        <v>18</v>
      </c>
      <c r="G16" s="29" t="s">
        <v>11</v>
      </c>
      <c r="H16" s="11"/>
      <c r="I16" s="11"/>
      <c r="J16" s="11"/>
      <c r="K16" s="11"/>
      <c r="L16" s="14"/>
      <c r="M16" s="2"/>
      <c r="N16" s="2"/>
      <c r="O16" s="2"/>
      <c r="P16" s="8"/>
    </row>
    <row r="17" spans="1:16" ht="21" customHeight="1">
      <c r="A17" s="28"/>
      <c r="B17" s="10"/>
      <c r="C17" s="27"/>
      <c r="D17" s="11"/>
      <c r="E17" s="13"/>
      <c r="F17" s="11"/>
      <c r="G17" s="11"/>
      <c r="H17" s="11"/>
      <c r="I17" s="11"/>
      <c r="J17" s="11"/>
      <c r="K17" s="11"/>
      <c r="L17" s="14"/>
      <c r="M17" s="2"/>
      <c r="N17" s="2"/>
      <c r="O17" s="2"/>
      <c r="P17" s="8"/>
    </row>
    <row r="18" spans="1:16" ht="21" customHeight="1">
      <c r="A18" s="28"/>
      <c r="B18" s="10"/>
      <c r="C18" s="27"/>
      <c r="D18" s="11"/>
      <c r="E18" s="13"/>
      <c r="F18" s="11"/>
      <c r="G18" s="11"/>
      <c r="H18" s="11"/>
      <c r="I18" s="11"/>
      <c r="J18" s="11"/>
      <c r="K18" s="11"/>
      <c r="L18" s="14"/>
      <c r="M18" s="2"/>
      <c r="N18" s="2"/>
      <c r="O18" s="2"/>
      <c r="P18" s="8"/>
    </row>
    <row r="19" spans="1:16" ht="21" customHeight="1">
      <c r="A19" s="28"/>
      <c r="B19" s="10"/>
      <c r="C19" s="27"/>
      <c r="D19" s="11"/>
      <c r="E19" s="13"/>
      <c r="F19" s="11"/>
      <c r="G19" s="11"/>
      <c r="H19" s="11"/>
      <c r="I19" s="11"/>
      <c r="J19" s="11"/>
      <c r="K19" s="11"/>
      <c r="L19" s="14"/>
      <c r="M19" s="2"/>
      <c r="N19" s="2"/>
      <c r="O19" s="2"/>
      <c r="P19" s="8"/>
    </row>
    <row r="20" spans="1:16" ht="21" customHeight="1">
      <c r="A20" s="28"/>
      <c r="B20" s="10"/>
      <c r="C20" s="27"/>
      <c r="D20" s="11"/>
      <c r="E20" s="13"/>
      <c r="F20" s="11"/>
      <c r="G20" s="11"/>
      <c r="H20" s="11"/>
      <c r="I20" s="11"/>
      <c r="J20" s="11"/>
      <c r="K20" s="11"/>
      <c r="L20" s="14"/>
      <c r="M20" s="2"/>
      <c r="N20" s="2"/>
      <c r="O20" s="2"/>
      <c r="P20" s="8"/>
    </row>
    <row r="21" spans="1:16" ht="21" customHeight="1">
      <c r="A21" s="28"/>
      <c r="B21" s="10"/>
      <c r="C21" s="27"/>
      <c r="D21" s="11"/>
      <c r="E21" s="13"/>
      <c r="F21" s="11"/>
      <c r="G21" s="11"/>
      <c r="H21" s="11"/>
      <c r="I21" s="11"/>
      <c r="J21" s="11"/>
      <c r="K21" s="11"/>
      <c r="L21" s="14"/>
      <c r="M21" s="2"/>
      <c r="N21" s="2"/>
      <c r="O21" s="2"/>
      <c r="P21" s="8"/>
    </row>
    <row r="22" spans="1:16" ht="21" customHeight="1">
      <c r="A22" s="28"/>
      <c r="B22" s="10"/>
      <c r="C22" s="27"/>
      <c r="D22" s="11"/>
      <c r="E22" s="13"/>
      <c r="F22" s="11"/>
      <c r="G22" s="11"/>
      <c r="H22" s="11"/>
      <c r="I22" s="11"/>
      <c r="J22" s="11"/>
      <c r="K22" s="11"/>
      <c r="L22" s="14"/>
      <c r="M22" s="2"/>
      <c r="N22" s="2"/>
      <c r="O22" s="2"/>
      <c r="P22" s="8"/>
    </row>
  </sheetData>
  <mergeCells count="9">
    <mergeCell ref="L1:L2"/>
    <mergeCell ref="F1:G1"/>
    <mergeCell ref="A1:A2"/>
    <mergeCell ref="H1:I1"/>
    <mergeCell ref="J1:K1"/>
    <mergeCell ref="C1:C2"/>
    <mergeCell ref="B1:B2"/>
    <mergeCell ref="D1:D2"/>
    <mergeCell ref="E1:E2"/>
  </mergeCells>
  <phoneticPr fontId="4" type="noConversion"/>
  <printOptions horizontalCentered="1" gridLines="1"/>
  <pageMargins left="0.74803149606299213" right="0.74803149606299213" top="0.78740157480314965" bottom="0.78740157480314965" header="0.51181102362204722" footer="0.51181102362204722"/>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view="pageBreakPreview" topLeftCell="A10" workbookViewId="0">
      <selection activeCell="T10" sqref="T10"/>
    </sheetView>
  </sheetViews>
  <sheetFormatPr defaultRowHeight="16.5"/>
  <cols>
    <col min="1" max="1" width="5.625" style="1" customWidth="1"/>
    <col min="2" max="2" width="17.375" style="1" customWidth="1"/>
    <col min="3" max="3" width="18.75" style="1" customWidth="1"/>
    <col min="4" max="4" width="1.25" style="1" customWidth="1"/>
    <col min="5" max="5" width="19.375" style="1" customWidth="1"/>
    <col min="6" max="6" width="3.125" style="1" customWidth="1"/>
    <col min="7" max="7" width="2" style="1" customWidth="1"/>
    <col min="8" max="8" width="8.75" style="1" customWidth="1"/>
    <col min="9" max="9" width="2" style="1" customWidth="1"/>
    <col min="10" max="10" width="13.5" style="1" customWidth="1"/>
    <col min="11" max="11" width="2" style="1" customWidth="1"/>
    <col min="13" max="13" width="2.5" style="1" customWidth="1"/>
    <col min="14" max="14" width="13.125" style="1" customWidth="1"/>
    <col min="15" max="15" width="2" style="1" customWidth="1"/>
    <col min="16" max="16" width="9" style="1" customWidth="1"/>
    <col min="17" max="17" width="5.375" style="1" customWidth="1"/>
    <col min="18" max="18" width="0.5" style="1" customWidth="1"/>
    <col min="19" max="19" width="9" style="1" customWidth="1"/>
  </cols>
  <sheetData>
    <row r="1" spans="1:18" ht="21.95" customHeight="1">
      <c r="A1" s="30"/>
      <c r="B1" s="31"/>
      <c r="C1" s="31"/>
      <c r="D1" s="31"/>
      <c r="E1" s="31"/>
      <c r="F1" s="31"/>
      <c r="G1" s="31"/>
      <c r="H1" s="31"/>
      <c r="I1" s="31"/>
      <c r="J1" s="31"/>
      <c r="K1" s="31"/>
      <c r="L1" s="31"/>
      <c r="M1" s="31"/>
      <c r="N1" s="31"/>
      <c r="O1" s="31"/>
      <c r="P1" s="31"/>
      <c r="Q1" s="31"/>
      <c r="R1" s="32"/>
    </row>
    <row r="2" spans="1:18" ht="21.95" customHeight="1">
      <c r="A2" s="33"/>
      <c r="B2" s="34" t="s">
        <v>23</v>
      </c>
      <c r="C2" s="2"/>
      <c r="D2" s="2"/>
      <c r="E2" s="35" t="s">
        <v>24</v>
      </c>
      <c r="F2" s="2"/>
      <c r="G2" s="2"/>
      <c r="H2" s="2"/>
      <c r="I2" s="2"/>
      <c r="J2" s="2"/>
      <c r="K2" s="2"/>
      <c r="L2" s="2"/>
      <c r="M2" s="2"/>
      <c r="N2" s="2"/>
      <c r="O2" s="2"/>
      <c r="P2" s="2"/>
      <c r="Q2" s="2"/>
      <c r="R2" s="36"/>
    </row>
    <row r="3" spans="1:18" ht="24" customHeight="1">
      <c r="A3" s="33"/>
      <c r="B3" s="2"/>
      <c r="C3" s="2"/>
      <c r="D3" s="2"/>
      <c r="E3" s="2"/>
      <c r="F3" s="2"/>
      <c r="G3" s="2"/>
      <c r="H3" s="2"/>
      <c r="I3" s="2"/>
      <c r="J3" s="2"/>
      <c r="K3" s="2"/>
      <c r="L3" s="2"/>
      <c r="M3" s="2"/>
      <c r="N3" s="2"/>
      <c r="O3" s="2"/>
      <c r="P3" s="2"/>
      <c r="Q3" s="2"/>
      <c r="R3" s="36"/>
    </row>
    <row r="4" spans="1:18" ht="24" customHeight="1">
      <c r="A4" s="37" t="s">
        <v>25</v>
      </c>
      <c r="B4" s="38" t="s">
        <v>26</v>
      </c>
      <c r="C4" s="39">
        <f>F4/1.1*1</f>
        <v>999999999.99999988</v>
      </c>
      <c r="D4" s="2"/>
      <c r="E4" s="38" t="s">
        <v>27</v>
      </c>
      <c r="F4" s="66">
        <f>C16</f>
        <v>1100000000</v>
      </c>
      <c r="G4" s="56"/>
      <c r="H4" s="56"/>
      <c r="I4" s="56"/>
      <c r="J4" s="38" t="s">
        <v>28</v>
      </c>
      <c r="K4" s="2"/>
      <c r="L4" s="2"/>
      <c r="M4" s="2"/>
      <c r="N4" s="2"/>
      <c r="O4" s="2"/>
      <c r="P4" s="2"/>
      <c r="Q4" s="2"/>
      <c r="R4" s="36"/>
    </row>
    <row r="5" spans="1:18" ht="24" customHeight="1">
      <c r="A5" s="37" t="s">
        <v>29</v>
      </c>
      <c r="B5" s="38" t="s">
        <v>30</v>
      </c>
      <c r="C5" s="39">
        <v>2000000000</v>
      </c>
      <c r="D5" s="2"/>
      <c r="E5" s="2"/>
      <c r="F5" s="2"/>
      <c r="G5" s="2"/>
      <c r="H5" s="2"/>
      <c r="I5" s="2"/>
      <c r="J5" s="2"/>
      <c r="K5" s="2"/>
      <c r="L5" s="2"/>
      <c r="M5" s="2"/>
      <c r="N5" s="2"/>
      <c r="O5" s="2"/>
      <c r="P5" s="2"/>
      <c r="Q5" s="2"/>
      <c r="R5" s="36"/>
    </row>
    <row r="6" spans="1:18" ht="24" customHeight="1">
      <c r="A6" s="37" t="s">
        <v>31</v>
      </c>
      <c r="B6" s="38" t="s">
        <v>32</v>
      </c>
      <c r="C6" s="39">
        <v>1000000000</v>
      </c>
      <c r="D6" s="2"/>
      <c r="E6" s="65" t="str">
        <f>B9</f>
        <v>작은금액요율</v>
      </c>
      <c r="F6" s="65" t="s">
        <v>33</v>
      </c>
      <c r="G6" s="38" t="s">
        <v>0</v>
      </c>
      <c r="H6" s="38" t="str">
        <f>B4</f>
        <v>당해금액</v>
      </c>
      <c r="I6" s="38" t="s">
        <v>33</v>
      </c>
      <c r="J6" s="38" t="str">
        <f>B6</f>
        <v>작은금액</v>
      </c>
      <c r="K6" s="38" t="s">
        <v>1</v>
      </c>
      <c r="L6" s="38" t="s">
        <v>34</v>
      </c>
      <c r="M6" s="38" t="s">
        <v>0</v>
      </c>
      <c r="N6" s="38" t="str">
        <f>B9</f>
        <v>작은금액요율</v>
      </c>
      <c r="O6" s="38" t="s">
        <v>33</v>
      </c>
      <c r="P6" s="38" t="str">
        <f>B10</f>
        <v>큰금액요율</v>
      </c>
      <c r="Q6" s="38" t="s">
        <v>1</v>
      </c>
      <c r="R6" s="36"/>
    </row>
    <row r="7" spans="1:18" ht="24" customHeight="1">
      <c r="A7" s="37"/>
      <c r="B7" s="2"/>
      <c r="C7" s="2"/>
      <c r="D7" s="2"/>
      <c r="E7" s="56"/>
      <c r="F7" s="56"/>
      <c r="G7" s="2"/>
      <c r="H7" s="2"/>
      <c r="I7" s="2"/>
      <c r="J7" s="65" t="str">
        <f>B5</f>
        <v>큰금액</v>
      </c>
      <c r="K7" s="56"/>
      <c r="L7" s="38" t="s">
        <v>33</v>
      </c>
      <c r="M7" s="65" t="str">
        <f>B6</f>
        <v>작은금액</v>
      </c>
      <c r="N7" s="56"/>
      <c r="O7" s="2"/>
      <c r="P7" s="2"/>
      <c r="Q7" s="2"/>
      <c r="R7" s="36"/>
    </row>
    <row r="8" spans="1:18" ht="24" customHeight="1">
      <c r="A8" s="37" t="s">
        <v>35</v>
      </c>
      <c r="B8" s="38" t="s">
        <v>36</v>
      </c>
      <c r="C8" s="40">
        <f>ROUNDDOWN(H10-J10,2)</f>
        <v>6.16</v>
      </c>
      <c r="D8" s="2"/>
      <c r="E8" s="2"/>
      <c r="F8" s="2"/>
      <c r="G8" s="2"/>
      <c r="H8" s="2"/>
      <c r="I8" s="2"/>
      <c r="J8" s="2"/>
      <c r="K8" s="2"/>
      <c r="L8" s="2"/>
      <c r="M8" s="2"/>
      <c r="N8" s="2"/>
      <c r="O8" s="2"/>
      <c r="P8" s="2"/>
      <c r="Q8" s="2"/>
      <c r="R8" s="36"/>
    </row>
    <row r="9" spans="1:18" ht="24" customHeight="1">
      <c r="A9" s="37" t="s">
        <v>37</v>
      </c>
      <c r="B9" s="38" t="s">
        <v>38</v>
      </c>
      <c r="C9" s="38">
        <f>L27</f>
        <v>6.16</v>
      </c>
      <c r="D9" s="2"/>
      <c r="E9" s="2"/>
      <c r="F9" s="38" t="s">
        <v>39</v>
      </c>
      <c r="G9" s="2"/>
      <c r="H9" s="38">
        <f>C9</f>
        <v>6.16</v>
      </c>
      <c r="I9" s="38" t="s">
        <v>33</v>
      </c>
      <c r="J9" s="67">
        <f>(C4-C6)*(C9-C10)</f>
        <v>-8.2254409790039109E-8</v>
      </c>
      <c r="K9" s="56"/>
      <c r="L9" s="38" t="s">
        <v>40</v>
      </c>
      <c r="M9" s="67">
        <f>C5-C6</f>
        <v>1000000000</v>
      </c>
      <c r="N9" s="56"/>
      <c r="O9" s="2"/>
      <c r="P9" s="2"/>
      <c r="Q9" s="2"/>
      <c r="R9" s="36"/>
    </row>
    <row r="10" spans="1:18" ht="24" customHeight="1">
      <c r="A10" s="37" t="s">
        <v>41</v>
      </c>
      <c r="B10" s="38" t="s">
        <v>42</v>
      </c>
      <c r="C10" s="38">
        <f>L28</f>
        <v>5.47</v>
      </c>
      <c r="D10" s="2"/>
      <c r="E10" s="2"/>
      <c r="F10" s="38" t="s">
        <v>39</v>
      </c>
      <c r="G10" s="2"/>
      <c r="H10" s="38">
        <f>C9</f>
        <v>6.16</v>
      </c>
      <c r="I10" s="38" t="s">
        <v>33</v>
      </c>
      <c r="J10" s="38">
        <f>J9/M9</f>
        <v>-8.2254409790039111E-17</v>
      </c>
      <c r="K10" s="2"/>
      <c r="L10" s="2"/>
      <c r="M10" s="2"/>
      <c r="N10" s="2"/>
      <c r="O10" s="2"/>
      <c r="P10" s="2"/>
      <c r="Q10" s="2"/>
      <c r="R10" s="36"/>
    </row>
    <row r="11" spans="1:18" ht="24" customHeight="1">
      <c r="A11" s="33"/>
      <c r="B11" s="2"/>
      <c r="C11" s="2"/>
      <c r="D11" s="2"/>
      <c r="E11" s="2"/>
      <c r="F11" s="38" t="s">
        <v>39</v>
      </c>
      <c r="G11" s="2"/>
      <c r="H11" s="38">
        <f>H10-J10</f>
        <v>6.16</v>
      </c>
      <c r="I11" s="2"/>
      <c r="J11" s="2"/>
      <c r="K11" s="2"/>
      <c r="L11" s="2"/>
      <c r="M11" s="2"/>
      <c r="N11" s="2"/>
      <c r="O11" s="2"/>
      <c r="P11" s="2"/>
      <c r="Q11" s="2"/>
      <c r="R11" s="36"/>
    </row>
    <row r="12" spans="1:18" ht="24" customHeight="1">
      <c r="A12" s="33"/>
      <c r="B12" s="2"/>
      <c r="C12" s="2"/>
      <c r="D12" s="2"/>
      <c r="E12" s="2"/>
      <c r="F12" s="2"/>
      <c r="G12" s="2"/>
      <c r="H12" s="2"/>
      <c r="I12" s="2"/>
      <c r="J12" s="2"/>
      <c r="K12" s="2"/>
      <c r="L12" s="2"/>
      <c r="M12" s="2"/>
      <c r="N12" s="2"/>
      <c r="O12" s="2"/>
      <c r="P12" s="2"/>
      <c r="Q12" s="2"/>
      <c r="R12" s="36"/>
    </row>
    <row r="13" spans="1:18" ht="24" customHeight="1">
      <c r="A13" s="41"/>
      <c r="B13" s="34" t="s">
        <v>43</v>
      </c>
      <c r="C13" s="2"/>
      <c r="D13" s="34">
        <v>1.3</v>
      </c>
      <c r="E13" s="34">
        <v>1.45</v>
      </c>
      <c r="F13" s="68" t="s">
        <v>44</v>
      </c>
      <c r="G13" s="56"/>
      <c r="H13" s="34">
        <f>ROUNDDOWN(C8*E13,2)</f>
        <v>8.93</v>
      </c>
      <c r="I13" s="2"/>
      <c r="J13" s="34" t="s">
        <v>45</v>
      </c>
      <c r="K13" s="2"/>
      <c r="L13" s="2"/>
      <c r="M13" s="2"/>
      <c r="N13" s="2"/>
      <c r="O13" s="2"/>
      <c r="P13" s="2"/>
      <c r="Q13" s="2"/>
      <c r="R13" s="42"/>
    </row>
    <row r="14" spans="1:18" ht="24" customHeight="1">
      <c r="A14" s="33"/>
      <c r="B14" s="2"/>
      <c r="C14" s="2"/>
      <c r="D14" s="2"/>
      <c r="E14" s="43"/>
      <c r="F14" s="38"/>
      <c r="G14" s="38"/>
      <c r="H14" s="44"/>
      <c r="I14" s="2"/>
      <c r="J14" s="2"/>
      <c r="K14" s="2"/>
      <c r="L14" s="2"/>
      <c r="M14" s="2"/>
      <c r="N14" s="2"/>
      <c r="O14" s="2"/>
      <c r="P14" s="2"/>
      <c r="Q14" s="2"/>
      <c r="R14" s="36"/>
    </row>
    <row r="15" spans="1:18" ht="24" customHeight="1">
      <c r="A15" s="33"/>
      <c r="B15" s="45" t="s">
        <v>46</v>
      </c>
      <c r="C15" s="45" t="s">
        <v>47</v>
      </c>
      <c r="D15" s="45"/>
      <c r="E15" s="45" t="s">
        <v>48</v>
      </c>
      <c r="F15" s="2"/>
      <c r="G15" s="2"/>
      <c r="H15" s="2"/>
      <c r="I15" s="2"/>
      <c r="J15" s="2"/>
      <c r="K15" s="2"/>
      <c r="L15" s="2"/>
      <c r="M15" s="2"/>
      <c r="N15" s="65"/>
      <c r="O15" s="56"/>
      <c r="P15" s="56"/>
      <c r="Q15" s="2"/>
      <c r="R15" s="36"/>
    </row>
    <row r="16" spans="1:18" ht="24" customHeight="1">
      <c r="A16" s="33"/>
      <c r="B16" s="46" t="s">
        <v>49</v>
      </c>
      <c r="C16" s="47">
        <v>1100000000</v>
      </c>
      <c r="D16" s="45"/>
      <c r="E16" s="48"/>
      <c r="F16" s="2"/>
      <c r="G16" s="2"/>
      <c r="H16" s="2"/>
      <c r="I16" s="2"/>
      <c r="J16" s="2"/>
      <c r="K16" s="2"/>
      <c r="L16" s="2"/>
      <c r="M16" s="2"/>
      <c r="N16" s="65"/>
      <c r="O16" s="56"/>
      <c r="P16" s="56"/>
      <c r="Q16" s="2"/>
      <c r="R16" s="36"/>
    </row>
    <row r="17" spans="1:18" ht="24" customHeight="1">
      <c r="A17" s="33"/>
      <c r="B17" s="45"/>
      <c r="C17" s="49"/>
      <c r="D17" s="45"/>
      <c r="E17" s="48"/>
      <c r="F17" s="2"/>
      <c r="G17" s="2"/>
      <c r="H17" s="2"/>
      <c r="I17" s="2"/>
      <c r="J17" s="2"/>
      <c r="K17" s="2"/>
      <c r="L17" s="2"/>
      <c r="M17" s="2"/>
      <c r="N17" s="2"/>
      <c r="O17" s="2"/>
      <c r="P17" s="2"/>
      <c r="Q17" s="2"/>
      <c r="R17" s="36"/>
    </row>
    <row r="18" spans="1:18" ht="24" customHeight="1">
      <c r="A18" s="33"/>
      <c r="B18" s="45"/>
      <c r="C18" s="49"/>
      <c r="D18" s="45"/>
      <c r="E18" s="50"/>
      <c r="F18" s="2"/>
      <c r="G18" s="2"/>
      <c r="H18" s="2"/>
      <c r="I18" s="2"/>
      <c r="J18" s="2"/>
      <c r="K18" s="65"/>
      <c r="L18" s="57"/>
      <c r="M18" s="56"/>
      <c r="N18" s="65"/>
      <c r="O18" s="56"/>
      <c r="P18" s="56"/>
      <c r="Q18" s="2"/>
      <c r="R18" s="36"/>
    </row>
    <row r="19" spans="1:18" ht="26.25" customHeight="1">
      <c r="A19" s="33"/>
      <c r="B19" s="2"/>
      <c r="C19" s="39"/>
      <c r="D19" s="2"/>
      <c r="E19" s="2"/>
      <c r="F19" s="2"/>
      <c r="G19" s="2"/>
      <c r="H19" s="2"/>
      <c r="I19" s="2"/>
      <c r="J19" s="2"/>
      <c r="K19" s="2"/>
      <c r="L19" s="2"/>
      <c r="M19" s="2"/>
      <c r="N19" s="65"/>
      <c r="O19" s="56"/>
      <c r="P19" s="56"/>
      <c r="Q19" s="2"/>
      <c r="R19" s="36"/>
    </row>
    <row r="20" spans="1:18" ht="28.5" customHeight="1">
      <c r="A20" s="33"/>
      <c r="B20" s="2"/>
      <c r="C20" s="51"/>
      <c r="D20" s="2"/>
      <c r="E20" s="2"/>
      <c r="F20" s="2"/>
      <c r="G20" s="2"/>
      <c r="H20" s="2"/>
      <c r="I20" s="2"/>
      <c r="J20" s="2"/>
      <c r="K20" s="2"/>
      <c r="L20" s="2"/>
      <c r="M20" s="2"/>
      <c r="N20" s="65"/>
      <c r="O20" s="56"/>
      <c r="P20" s="56"/>
      <c r="Q20" s="2"/>
      <c r="R20" s="36"/>
    </row>
    <row r="21" spans="1:18" ht="28.5" customHeight="1">
      <c r="A21" s="33"/>
      <c r="B21" s="2"/>
      <c r="C21" s="2"/>
      <c r="D21" s="2"/>
      <c r="E21" s="2"/>
      <c r="F21" s="2"/>
      <c r="G21" s="2"/>
      <c r="H21" s="2"/>
      <c r="I21" s="2"/>
      <c r="J21" s="2"/>
      <c r="K21" s="2"/>
      <c r="L21" s="2"/>
      <c r="M21" s="2"/>
      <c r="N21" s="65"/>
      <c r="O21" s="56"/>
      <c r="P21" s="56"/>
      <c r="Q21" s="2"/>
      <c r="R21" s="36"/>
    </row>
    <row r="22" spans="1:18" ht="21.95" customHeight="1">
      <c r="A22" s="52"/>
      <c r="B22" s="53" t="s">
        <v>50</v>
      </c>
      <c r="C22" s="54"/>
      <c r="D22" s="54"/>
      <c r="E22" s="54"/>
      <c r="F22" s="54"/>
      <c r="G22" s="54"/>
      <c r="H22" s="54"/>
      <c r="I22" s="54"/>
      <c r="J22" s="54"/>
      <c r="K22" s="54"/>
      <c r="L22" s="54"/>
      <c r="M22" s="54"/>
      <c r="N22" s="54"/>
      <c r="O22" s="54"/>
      <c r="P22" s="54"/>
      <c r="Q22" s="54"/>
      <c r="R22" s="55"/>
    </row>
    <row r="23" spans="1:18" ht="21.95" customHeight="1">
      <c r="A23" s="30"/>
      <c r="B23" s="31"/>
      <c r="C23" s="31"/>
      <c r="D23" s="31"/>
      <c r="E23" s="31"/>
      <c r="F23" s="31"/>
      <c r="G23" s="31"/>
      <c r="H23" s="31"/>
      <c r="I23" s="31"/>
      <c r="J23" s="31"/>
      <c r="K23" s="31"/>
      <c r="L23" s="31"/>
      <c r="M23" s="31"/>
      <c r="N23" s="31"/>
      <c r="O23" s="31"/>
      <c r="P23" s="31"/>
      <c r="Q23" s="31"/>
      <c r="R23" s="32"/>
    </row>
    <row r="24" spans="1:18" ht="21.95" customHeight="1">
      <c r="A24" s="33"/>
      <c r="B24" s="34" t="s">
        <v>51</v>
      </c>
      <c r="C24" s="2"/>
      <c r="D24" s="2"/>
      <c r="E24" s="2"/>
      <c r="F24" s="2"/>
      <c r="G24" s="2"/>
      <c r="H24" s="34" t="s">
        <v>54</v>
      </c>
      <c r="I24" s="2"/>
      <c r="J24" s="2"/>
      <c r="K24" s="2"/>
      <c r="L24" s="2"/>
      <c r="M24" s="2"/>
      <c r="N24" s="2"/>
      <c r="O24" s="2"/>
      <c r="P24" s="2"/>
      <c r="Q24" s="2"/>
      <c r="R24" s="36"/>
    </row>
    <row r="25" spans="1:18" ht="21.95" customHeight="1">
      <c r="A25" s="33"/>
      <c r="B25" s="2"/>
      <c r="C25" s="2"/>
      <c r="D25" s="2"/>
      <c r="E25" s="2"/>
      <c r="F25" s="2"/>
      <c r="G25" s="2"/>
      <c r="H25" s="72" t="s">
        <v>55</v>
      </c>
      <c r="I25" s="72"/>
      <c r="J25" s="72"/>
      <c r="K25" s="72"/>
      <c r="L25" s="72" t="s">
        <v>56</v>
      </c>
      <c r="M25" s="72"/>
      <c r="N25" s="72"/>
      <c r="O25" s="2"/>
      <c r="P25" s="2"/>
      <c r="Q25" s="2"/>
      <c r="R25" s="36"/>
    </row>
    <row r="26" spans="1:18" ht="21.95" customHeight="1">
      <c r="A26" s="33"/>
      <c r="B26" s="69" t="s">
        <v>52</v>
      </c>
      <c r="C26" s="56"/>
      <c r="D26" s="56"/>
      <c r="E26" s="56"/>
      <c r="F26" s="2"/>
      <c r="G26" s="2"/>
      <c r="H26" s="72"/>
      <c r="I26" s="72"/>
      <c r="J26" s="72"/>
      <c r="K26" s="72"/>
      <c r="L26" s="72" t="s">
        <v>57</v>
      </c>
      <c r="M26" s="72"/>
      <c r="N26" s="72"/>
      <c r="O26" s="2"/>
      <c r="P26" s="2"/>
      <c r="Q26" s="2"/>
      <c r="R26" s="36"/>
    </row>
    <row r="27" spans="1:18" ht="21.95" customHeight="1">
      <c r="A27" s="33"/>
      <c r="B27" s="56"/>
      <c r="C27" s="56"/>
      <c r="D27" s="56"/>
      <c r="E27" s="56"/>
      <c r="F27" s="2"/>
      <c r="G27" s="2"/>
      <c r="H27" s="73" t="s">
        <v>58</v>
      </c>
      <c r="I27" s="74"/>
      <c r="J27" s="74"/>
      <c r="K27" s="74"/>
      <c r="L27" s="74">
        <v>6.16</v>
      </c>
      <c r="M27" s="74"/>
      <c r="N27" s="74"/>
      <c r="O27" s="2"/>
      <c r="P27" s="2"/>
      <c r="Q27" s="2"/>
      <c r="R27" s="36"/>
    </row>
    <row r="28" spans="1:18" ht="21.95" customHeight="1">
      <c r="A28" s="33"/>
      <c r="B28" s="56"/>
      <c r="C28" s="56"/>
      <c r="D28" s="56"/>
      <c r="E28" s="56"/>
      <c r="F28" s="2"/>
      <c r="G28" s="2"/>
      <c r="H28" s="73" t="s">
        <v>59</v>
      </c>
      <c r="I28" s="74"/>
      <c r="J28" s="74"/>
      <c r="K28" s="74"/>
      <c r="L28" s="74">
        <v>5.47</v>
      </c>
      <c r="M28" s="74"/>
      <c r="N28" s="74"/>
      <c r="O28" s="2"/>
      <c r="P28" s="2"/>
      <c r="Q28" s="2"/>
      <c r="R28" s="36"/>
    </row>
    <row r="29" spans="1:18" ht="21.95" customHeight="1">
      <c r="A29" s="33"/>
      <c r="B29" s="56"/>
      <c r="C29" s="56"/>
      <c r="D29" s="56"/>
      <c r="E29" s="56"/>
      <c r="F29" s="2"/>
      <c r="G29" s="2"/>
      <c r="H29" s="73" t="s">
        <v>60</v>
      </c>
      <c r="I29" s="74"/>
      <c r="J29" s="74"/>
      <c r="K29" s="74"/>
      <c r="L29" s="74">
        <v>5.0999999999999996</v>
      </c>
      <c r="M29" s="74"/>
      <c r="N29" s="74"/>
      <c r="O29" s="2"/>
      <c r="P29" s="2"/>
      <c r="Q29" s="2"/>
      <c r="R29" s="36"/>
    </row>
    <row r="30" spans="1:18" ht="21.95" customHeight="1">
      <c r="A30" s="33"/>
      <c r="B30" s="56"/>
      <c r="C30" s="56"/>
      <c r="D30" s="56"/>
      <c r="E30" s="56"/>
      <c r="F30" s="2"/>
      <c r="G30" s="2"/>
      <c r="H30" s="73" t="s">
        <v>61</v>
      </c>
      <c r="I30" s="74"/>
      <c r="J30" s="74"/>
      <c r="K30" s="74"/>
      <c r="L30" s="74">
        <v>4.67</v>
      </c>
      <c r="M30" s="74"/>
      <c r="N30" s="74"/>
      <c r="O30" s="2"/>
      <c r="P30" s="2"/>
      <c r="Q30" s="2"/>
      <c r="R30" s="36"/>
    </row>
    <row r="31" spans="1:18" ht="21.95" customHeight="1">
      <c r="A31" s="33"/>
      <c r="B31" s="56"/>
      <c r="C31" s="56"/>
      <c r="D31" s="56"/>
      <c r="E31" s="56"/>
      <c r="F31" s="2"/>
      <c r="G31" s="2"/>
      <c r="H31" s="73" t="s">
        <v>62</v>
      </c>
      <c r="I31" s="74"/>
      <c r="J31" s="74"/>
      <c r="K31" s="74"/>
      <c r="L31" s="74">
        <v>4.1500000000000004</v>
      </c>
      <c r="M31" s="74"/>
      <c r="N31" s="74"/>
      <c r="O31" s="2"/>
      <c r="P31" s="2"/>
      <c r="Q31" s="2"/>
      <c r="R31" s="36"/>
    </row>
    <row r="32" spans="1:18" ht="21.95" customHeight="1">
      <c r="A32" s="33"/>
      <c r="B32" s="56"/>
      <c r="C32" s="56"/>
      <c r="D32" s="56"/>
      <c r="E32" s="56"/>
      <c r="F32" s="2"/>
      <c r="G32" s="2"/>
      <c r="H32" s="73" t="s">
        <v>63</v>
      </c>
      <c r="I32" s="74"/>
      <c r="J32" s="74"/>
      <c r="K32" s="74"/>
      <c r="L32" s="74">
        <v>3.68</v>
      </c>
      <c r="M32" s="74"/>
      <c r="N32" s="74"/>
      <c r="O32" s="2"/>
      <c r="P32" s="2"/>
      <c r="Q32" s="2"/>
      <c r="R32" s="36"/>
    </row>
    <row r="33" spans="1:18" ht="21.95" customHeight="1">
      <c r="A33" s="33"/>
      <c r="B33" s="56"/>
      <c r="C33" s="56"/>
      <c r="D33" s="56"/>
      <c r="E33" s="56"/>
      <c r="F33" s="2"/>
      <c r="G33" s="2"/>
      <c r="H33" s="73" t="s">
        <v>64</v>
      </c>
      <c r="I33" s="74"/>
      <c r="J33" s="74"/>
      <c r="K33" s="74"/>
      <c r="L33" s="74">
        <v>3.43</v>
      </c>
      <c r="M33" s="74"/>
      <c r="N33" s="74"/>
      <c r="O33" s="2"/>
      <c r="P33" s="2"/>
      <c r="Q33" s="2"/>
      <c r="R33" s="36"/>
    </row>
    <row r="34" spans="1:18" ht="21.95" customHeight="1">
      <c r="A34" s="33"/>
      <c r="B34" s="56"/>
      <c r="C34" s="56"/>
      <c r="D34" s="56"/>
      <c r="E34" s="56"/>
      <c r="F34" s="2"/>
      <c r="G34" s="2"/>
      <c r="H34" s="73" t="s">
        <v>65</v>
      </c>
      <c r="I34" s="74"/>
      <c r="J34" s="74"/>
      <c r="K34" s="74"/>
      <c r="L34" s="74">
        <v>3.15</v>
      </c>
      <c r="M34" s="74"/>
      <c r="N34" s="74"/>
      <c r="O34" s="2"/>
      <c r="P34" s="2"/>
      <c r="Q34" s="2"/>
      <c r="R34" s="36"/>
    </row>
    <row r="35" spans="1:18" ht="21.95" customHeight="1">
      <c r="A35" s="33"/>
      <c r="B35" s="56"/>
      <c r="C35" s="56"/>
      <c r="D35" s="56"/>
      <c r="E35" s="56"/>
      <c r="F35" s="2"/>
      <c r="G35" s="2"/>
      <c r="H35" s="73" t="s">
        <v>66</v>
      </c>
      <c r="I35" s="73"/>
      <c r="J35" s="73"/>
      <c r="K35" s="73"/>
      <c r="L35" s="74">
        <v>2.79</v>
      </c>
      <c r="M35" s="74"/>
      <c r="N35" s="74"/>
      <c r="O35" s="2"/>
      <c r="P35" s="2"/>
      <c r="Q35" s="2"/>
      <c r="R35" s="36"/>
    </row>
    <row r="36" spans="1:18" ht="21.95" customHeight="1">
      <c r="A36" s="33"/>
      <c r="B36" s="56"/>
      <c r="C36" s="56"/>
      <c r="D36" s="56"/>
      <c r="E36" s="56"/>
      <c r="F36" s="2"/>
      <c r="G36" s="2"/>
      <c r="H36" s="73" t="s">
        <v>67</v>
      </c>
      <c r="I36" s="73"/>
      <c r="J36" s="73"/>
      <c r="K36" s="73"/>
      <c r="L36" s="74">
        <v>2.48</v>
      </c>
      <c r="M36" s="74"/>
      <c r="N36" s="74"/>
      <c r="O36" s="2"/>
      <c r="P36" s="2"/>
      <c r="Q36" s="2"/>
      <c r="R36" s="36"/>
    </row>
    <row r="37" spans="1:18" ht="21.95" customHeight="1">
      <c r="A37" s="33"/>
      <c r="B37" s="56"/>
      <c r="C37" s="56"/>
      <c r="D37" s="56"/>
      <c r="E37" s="56"/>
      <c r="F37" s="2"/>
      <c r="G37" s="2"/>
      <c r="H37" s="73" t="s">
        <v>68</v>
      </c>
      <c r="I37" s="74"/>
      <c r="J37" s="74"/>
      <c r="K37" s="74"/>
      <c r="L37" s="74">
        <v>2.31</v>
      </c>
      <c r="M37" s="74"/>
      <c r="N37" s="74"/>
      <c r="O37" s="2"/>
      <c r="P37" s="2"/>
      <c r="Q37" s="2"/>
      <c r="R37" s="36"/>
    </row>
    <row r="38" spans="1:18" ht="21.95" customHeight="1">
      <c r="A38" s="33"/>
      <c r="B38" s="56"/>
      <c r="C38" s="56"/>
      <c r="D38" s="56"/>
      <c r="E38" s="56"/>
      <c r="F38" s="2"/>
      <c r="G38" s="2"/>
      <c r="H38" s="73" t="s">
        <v>69</v>
      </c>
      <c r="I38" s="74"/>
      <c r="J38" s="74"/>
      <c r="K38" s="74"/>
      <c r="L38" s="74">
        <v>2.12</v>
      </c>
      <c r="M38" s="74"/>
      <c r="N38" s="74"/>
      <c r="O38" s="2"/>
      <c r="P38" s="2"/>
      <c r="Q38" s="2"/>
      <c r="R38" s="36"/>
    </row>
    <row r="39" spans="1:18" ht="21.95" customHeight="1">
      <c r="A39" s="33"/>
      <c r="B39" s="56"/>
      <c r="C39" s="56"/>
      <c r="D39" s="56"/>
      <c r="E39" s="56"/>
      <c r="F39" s="2"/>
      <c r="G39" s="2"/>
      <c r="H39" s="70"/>
      <c r="I39" s="71"/>
      <c r="J39" s="71"/>
      <c r="K39" s="71"/>
      <c r="L39" s="71"/>
      <c r="M39" s="71"/>
      <c r="N39" s="71"/>
      <c r="O39" s="2"/>
      <c r="P39" s="2"/>
      <c r="Q39" s="2"/>
      <c r="R39" s="36"/>
    </row>
    <row r="40" spans="1:18" ht="21.95" customHeight="1">
      <c r="A40" s="33"/>
      <c r="B40" s="56"/>
      <c r="C40" s="56"/>
      <c r="D40" s="56"/>
      <c r="E40" s="56"/>
      <c r="F40" s="2"/>
      <c r="G40" s="2"/>
      <c r="H40" s="70"/>
      <c r="I40" s="71"/>
      <c r="J40" s="71"/>
      <c r="K40" s="71"/>
      <c r="L40" s="71"/>
      <c r="M40" s="71"/>
      <c r="N40" s="71"/>
      <c r="O40" s="2"/>
      <c r="P40" s="2"/>
      <c r="Q40" s="2"/>
      <c r="R40" s="36"/>
    </row>
    <row r="41" spans="1:18" ht="21.95" customHeight="1">
      <c r="A41" s="33"/>
      <c r="B41" s="56"/>
      <c r="C41" s="56"/>
      <c r="D41" s="56"/>
      <c r="E41" s="56"/>
      <c r="F41" s="2"/>
      <c r="G41" s="2"/>
      <c r="H41" s="70"/>
      <c r="I41" s="71"/>
      <c r="J41" s="71"/>
      <c r="K41" s="71"/>
      <c r="L41" s="71"/>
      <c r="M41" s="71"/>
      <c r="N41" s="71"/>
      <c r="O41" s="2"/>
      <c r="P41" s="2"/>
      <c r="Q41" s="2"/>
      <c r="R41" s="36"/>
    </row>
    <row r="42" spans="1:18" ht="21.95" customHeight="1">
      <c r="A42" s="33"/>
      <c r="B42" s="56"/>
      <c r="C42" s="56"/>
      <c r="D42" s="56"/>
      <c r="E42" s="56"/>
      <c r="F42" s="2"/>
      <c r="G42" s="2"/>
      <c r="H42" s="71"/>
      <c r="I42" s="71"/>
      <c r="J42" s="71"/>
      <c r="K42" s="71"/>
      <c r="L42" s="2"/>
      <c r="M42" s="2"/>
      <c r="N42" s="2"/>
      <c r="O42" s="2"/>
      <c r="P42" s="2"/>
      <c r="Q42" s="2"/>
      <c r="R42" s="36"/>
    </row>
    <row r="43" spans="1:18" ht="21.95" customHeight="1">
      <c r="A43" s="33"/>
      <c r="B43" s="56"/>
      <c r="C43" s="56"/>
      <c r="D43" s="56"/>
      <c r="E43" s="56"/>
      <c r="F43" s="2"/>
      <c r="G43" s="2"/>
      <c r="H43" s="71"/>
      <c r="I43" s="71"/>
      <c r="J43" s="71"/>
      <c r="K43" s="71"/>
      <c r="L43" s="2"/>
      <c r="M43" s="2"/>
      <c r="N43" s="2"/>
      <c r="O43" s="2"/>
      <c r="P43" s="2"/>
      <c r="Q43" s="2"/>
      <c r="R43" s="36"/>
    </row>
    <row r="44" spans="1:18" ht="21.95" customHeight="1">
      <c r="A44" s="33"/>
      <c r="B44" s="56"/>
      <c r="C44" s="56"/>
      <c r="D44" s="56"/>
      <c r="E44" s="56"/>
      <c r="F44" s="2"/>
      <c r="G44" s="2"/>
      <c r="H44" s="38" t="s">
        <v>53</v>
      </c>
      <c r="I44" s="2"/>
      <c r="J44" s="2"/>
      <c r="K44" s="2"/>
      <c r="L44" s="2"/>
      <c r="M44" s="2"/>
      <c r="N44" s="2"/>
      <c r="O44" s="2"/>
      <c r="P44" s="2"/>
      <c r="Q44" s="2"/>
      <c r="R44" s="36"/>
    </row>
    <row r="45" spans="1:18" ht="21.95" customHeight="1">
      <c r="A45" s="52"/>
      <c r="B45" s="54"/>
      <c r="C45" s="54"/>
      <c r="D45" s="54"/>
      <c r="E45" s="54"/>
      <c r="F45" s="54"/>
      <c r="G45" s="54"/>
      <c r="H45" s="54"/>
      <c r="I45" s="54"/>
      <c r="J45" s="54"/>
      <c r="K45" s="54"/>
      <c r="L45" s="54"/>
      <c r="M45" s="54"/>
      <c r="N45" s="54"/>
      <c r="O45" s="54"/>
      <c r="P45" s="54"/>
      <c r="Q45" s="54"/>
      <c r="R45" s="55"/>
    </row>
  </sheetData>
  <mergeCells count="51">
    <mergeCell ref="H43:K43"/>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H38:K38"/>
    <mergeCell ref="H39:K39"/>
    <mergeCell ref="H40:K40"/>
    <mergeCell ref="H41:K41"/>
    <mergeCell ref="H42:K42"/>
    <mergeCell ref="B26:E44"/>
    <mergeCell ref="L25:N25"/>
    <mergeCell ref="L26:N26"/>
    <mergeCell ref="H25:K26"/>
    <mergeCell ref="H27:K27"/>
    <mergeCell ref="H28:K28"/>
    <mergeCell ref="H29:K29"/>
    <mergeCell ref="H30:K30"/>
    <mergeCell ref="H31:K31"/>
    <mergeCell ref="H32:K32"/>
    <mergeCell ref="H33:K33"/>
    <mergeCell ref="H34:K34"/>
    <mergeCell ref="H35:K35"/>
    <mergeCell ref="H36:K36"/>
    <mergeCell ref="H37:K37"/>
    <mergeCell ref="E6:E7"/>
    <mergeCell ref="F13:G13"/>
    <mergeCell ref="N20:P20"/>
    <mergeCell ref="F6:F7"/>
    <mergeCell ref="N21:P21"/>
    <mergeCell ref="F4:I4"/>
    <mergeCell ref="J7:K7"/>
    <mergeCell ref="J9:K9"/>
    <mergeCell ref="M9:N9"/>
    <mergeCell ref="K18:M18"/>
    <mergeCell ref="N15:P15"/>
    <mergeCell ref="M7:N7"/>
    <mergeCell ref="N19:P19"/>
    <mergeCell ref="N16:P16"/>
    <mergeCell ref="N18:P18"/>
  </mergeCells>
  <phoneticPr fontId="4" type="noConversion"/>
  <pageMargins left="0.74803149606299213" right="0.27559055118110237" top="0.70866141732283472" bottom="0.51181102362204722" header="0.51181102362204722" footer="0.51181102362204722"/>
  <pageSetup paperSize="9" scale="92" orientation="landscape" r:id="rId1"/>
  <rowBreaks count="1" manualBreakCount="1">
    <brk id="22"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2</vt:i4>
      </vt:variant>
    </vt:vector>
  </HeadingPairs>
  <TitlesOfParts>
    <vt:vector size="4" baseType="lpstr">
      <vt:lpstr>05. 기본 및 실시설계(조경,토목분야)</vt:lpstr>
      <vt:lpstr>05-1. 보간(조경,토목공사)</vt:lpstr>
      <vt:lpstr>'05. 기본 및 실시설계(조경,토목분야)'!Print_Area</vt:lpstr>
      <vt:lpstr>'05-1. 보간(조경,토목공사)'!Print_Area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dc:creator>
  <cp:lastModifiedBy>saman</cp:lastModifiedBy>
  <cp:lastPrinted>2026-05-27T07:33:35Z</cp:lastPrinted>
  <dcterms:created xsi:type="dcterms:W3CDTF">2026-01-27T02:53:41Z</dcterms:created>
  <dcterms:modified xsi:type="dcterms:W3CDTF">2026-05-27T07:47:44Z</dcterms:modified>
</cp:coreProperties>
</file>