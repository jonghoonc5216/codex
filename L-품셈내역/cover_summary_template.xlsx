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an\Desktop\"/>
    </mc:Choice>
  </mc:AlternateContent>
  <bookViews>
    <workbookView xWindow="0" yWindow="0" windowWidth="28800" windowHeight="11685"/>
  </bookViews>
  <sheets>
    <sheet name="갑지" sheetId="1" r:id="rId1"/>
    <sheet name="0.총괄" sheetId="2" r:id="rId2"/>
  </sheets>
  <externalReferences>
    <externalReference r:id="rId3"/>
  </externalReferences>
  <definedNames>
    <definedName name="_xlnm.Print_Area" localSheetId="1">'0.총괄'!$A$1:$L$24</definedName>
    <definedName name="_xlnm.Print_Area" localSheetId="0">갑지!$A$2:$P$53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8" i="2" l="1"/>
  <c r="B47" i="2"/>
  <c r="B46" i="2"/>
  <c r="B45" i="2"/>
  <c r="B44" i="2"/>
  <c r="B43" i="2"/>
  <c r="B42" i="2"/>
  <c r="B41" i="2"/>
  <c r="B40" i="2"/>
  <c r="B39" i="2"/>
  <c r="B38" i="2"/>
  <c r="B37" i="2"/>
  <c r="A7" i="2"/>
  <c r="A6" i="2"/>
  <c r="A5" i="2"/>
  <c r="A4" i="2"/>
  <c r="B50" i="1"/>
  <c r="B48" i="1"/>
  <c r="B47" i="1"/>
  <c r="B46" i="1"/>
  <c r="B45" i="1"/>
  <c r="B44" i="1"/>
  <c r="B43" i="1"/>
  <c r="B42" i="1"/>
  <c r="B41" i="1"/>
  <c r="Q40" i="1"/>
  <c r="B40" i="1" s="1"/>
  <c r="Q39" i="1"/>
  <c r="B39" i="1" s="1"/>
  <c r="Q38" i="1"/>
  <c r="B38" i="1" s="1"/>
  <c r="Q37" i="1"/>
  <c r="B37" i="1" s="1"/>
  <c r="B34" i="1"/>
  <c r="B33" i="1"/>
  <c r="A22" i="1"/>
  <c r="A9" i="1"/>
  <c r="A30" i="1" s="1"/>
  <c r="B4" i="1"/>
  <c r="G7" i="2" l="1"/>
  <c r="I7" i="2" l="1"/>
  <c r="E7" i="2"/>
  <c r="G4" i="2" l="1"/>
  <c r="G5" i="2"/>
  <c r="G6" i="2"/>
  <c r="E20" i="2" l="1"/>
  <c r="H4" i="2" s="1"/>
  <c r="I4" i="2"/>
  <c r="E4" i="2"/>
  <c r="I6" i="2"/>
  <c r="E6" i="2" s="1"/>
  <c r="H6" i="2"/>
  <c r="I5" i="2"/>
  <c r="H5" i="2"/>
  <c r="E5" i="2"/>
  <c r="E21" i="2" l="1"/>
  <c r="E23" i="2"/>
  <c r="E24" i="2" s="1"/>
  <c r="K52" i="1" s="1"/>
  <c r="B52" i="1" s="1"/>
  <c r="H7" i="2"/>
</calcChain>
</file>

<file path=xl/sharedStrings.xml><?xml version="1.0" encoding="utf-8"?>
<sst xmlns="http://schemas.openxmlformats.org/spreadsheetml/2006/main" count="42" uniqueCount="34">
  <si>
    <t>기준년도</t>
    <phoneticPr fontId="2" type="noConversion"/>
  </si>
  <si>
    <t>설  계  내  역  서</t>
  </si>
  <si>
    <t>용역명</t>
    <phoneticPr fontId="2" type="noConversion"/>
  </si>
  <si>
    <t>발주처</t>
    <phoneticPr fontId="2" type="noConversion"/>
  </si>
  <si>
    <t>작 성 자</t>
  </si>
  <si>
    <t>검 토 자</t>
  </si>
  <si>
    <t>결 재 자</t>
  </si>
  <si>
    <t>설계 년월</t>
  </si>
  <si>
    <t>2025년    월</t>
  </si>
  <si>
    <t>○ 과업범위</t>
  </si>
  <si>
    <t>사업위치</t>
    <phoneticPr fontId="2" type="noConversion"/>
  </si>
  <si>
    <t>도시자연공원계획</t>
  </si>
  <si>
    <t>면적</t>
    <phoneticPr fontId="2" type="noConversion"/>
  </si>
  <si>
    <t>㎢</t>
  </si>
  <si>
    <t>○ 과업내용</t>
  </si>
  <si>
    <t>과업기간</t>
    <phoneticPr fontId="2" type="noConversion"/>
  </si>
  <si>
    <t>(</t>
  </si>
  <si>
    <t>)</t>
  </si>
  <si>
    <t>공   종</t>
  </si>
  <si>
    <t>규격</t>
  </si>
  <si>
    <t>수량</t>
  </si>
  <si>
    <t>단위</t>
  </si>
  <si>
    <t>총  액</t>
  </si>
  <si>
    <t>노  무  비</t>
  </si>
  <si>
    <t>부가가치세</t>
  </si>
  <si>
    <t>비 고</t>
  </si>
  <si>
    <t>단 가</t>
  </si>
  <si>
    <t>금 액</t>
  </si>
  <si>
    <t>■ 총괄 내역서</t>
  </si>
  <si>
    <t>식</t>
  </si>
  <si>
    <t>소  계</t>
  </si>
  <si>
    <t>합  계</t>
  </si>
  <si>
    <t>≒</t>
  </si>
  <si>
    <t>(만단위이하 절사)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</si>
</sst>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_-* #,##0.0000_-;\-* #,##0.0000_-;_-* &quot;-&quot;_-;_-@_-"/>
    <numFmt numFmtId="177" formatCode="0.0%"/>
    <numFmt numFmtId="178" formatCode="_-* #,##0.0_-;\-* #,##0.0_-;_-* &quot;-&quot;?_-;_-@_-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6"/>
      <name val="나눔명조"/>
      <family val="1"/>
      <charset val="129"/>
    </font>
    <font>
      <sz val="10"/>
      <name val="굴림체"/>
      <family val="3"/>
      <charset val="129"/>
    </font>
    <font>
      <b/>
      <sz val="20"/>
      <name val="나눔명조"/>
      <family val="1"/>
      <charset val="129"/>
    </font>
    <font>
      <b/>
      <sz val="45"/>
      <name val="나눔명조"/>
      <family val="1"/>
      <charset val="129"/>
    </font>
    <font>
      <sz val="10"/>
      <name val="나눔명조"/>
      <family val="1"/>
      <charset val="129"/>
    </font>
    <font>
      <b/>
      <sz val="22"/>
      <name val="나눔명조"/>
      <family val="1"/>
      <charset val="129"/>
    </font>
    <font>
      <sz val="12"/>
      <name val="나눔명조"/>
      <family val="1"/>
      <charset val="129"/>
    </font>
    <font>
      <sz val="15"/>
      <name val="나눔명조"/>
      <family val="1"/>
      <charset val="129"/>
    </font>
    <font>
      <b/>
      <sz val="24"/>
      <name val="나눔명조"/>
      <family val="1"/>
      <charset val="129"/>
    </font>
    <font>
      <sz val="12"/>
      <color rgb="FFFF0000"/>
      <name val="나눔명조"/>
      <family val="1"/>
      <charset val="129"/>
    </font>
    <font>
      <b/>
      <sz val="15"/>
      <name val="나눔명조"/>
      <family val="1"/>
      <charset val="129"/>
    </font>
    <font>
      <b/>
      <sz val="12"/>
      <name val="나눔명조"/>
      <family val="1"/>
      <charset val="129"/>
    </font>
    <font>
      <b/>
      <sz val="13"/>
      <name val="나눔명조"/>
      <family val="1"/>
      <charset val="129"/>
    </font>
    <font>
      <sz val="13"/>
      <name val="나눔명조"/>
      <family val="1"/>
      <charset val="129"/>
    </font>
    <font>
      <sz val="13"/>
      <color rgb="FFFF0000"/>
      <name val="나눔명조"/>
      <family val="1"/>
      <charset val="129"/>
    </font>
    <font>
      <sz val="10"/>
      <color indexed="8"/>
      <name val="나눔명조"/>
      <family val="1"/>
      <charset val="129"/>
    </font>
    <font>
      <sz val="10"/>
      <color rgb="FFFF0000"/>
      <name val="나눔명조"/>
      <family val="1"/>
      <charset val="129"/>
    </font>
    <font>
      <b/>
      <sz val="10"/>
      <name val="나눔명조"/>
      <family val="1"/>
      <charset val="129"/>
    </font>
    <font>
      <b/>
      <sz val="10"/>
      <color rgb="FFFF0000"/>
      <name val="나눔명조"/>
      <family val="1"/>
      <charset val="129"/>
    </font>
    <font>
      <sz val="8"/>
      <name val="나눔명조"/>
      <family val="1"/>
      <charset val="129"/>
    </font>
    <font>
      <sz val="9"/>
      <name val="나눔명조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hair">
        <color auto="1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41" fontId="3" fillId="0" borderId="0">
      <alignment vertical="center"/>
    </xf>
    <xf numFmtId="0" fontId="3" fillId="0" borderId="0"/>
  </cellStyleXfs>
  <cellXfs count="118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4" fillId="0" borderId="1" xfId="3" applyNumberFormat="1" applyFont="1" applyBorder="1" applyAlignment="1">
      <alignment vertical="center"/>
    </xf>
    <xf numFmtId="0" fontId="4" fillId="0" borderId="2" xfId="3" applyNumberFormat="1" applyFont="1" applyBorder="1" applyAlignment="1">
      <alignment vertical="center"/>
    </xf>
    <xf numFmtId="0" fontId="4" fillId="0" borderId="3" xfId="3" applyNumberFormat="1" applyFont="1" applyBorder="1" applyAlignment="1">
      <alignment vertical="center"/>
    </xf>
    <xf numFmtId="0" fontId="5" fillId="0" borderId="0" xfId="0" applyFont="1" applyAlignment="1"/>
    <xf numFmtId="0" fontId="4" fillId="0" borderId="4" xfId="3" applyNumberFormat="1" applyFont="1" applyBorder="1" applyAlignment="1">
      <alignment vertical="center"/>
    </xf>
    <xf numFmtId="0" fontId="4" fillId="0" borderId="0" xfId="3" applyNumberFormat="1" applyFont="1" applyBorder="1" applyAlignment="1">
      <alignment vertical="center"/>
    </xf>
    <xf numFmtId="0" fontId="4" fillId="0" borderId="5" xfId="3" applyNumberFormat="1" applyFont="1" applyBorder="1" applyAlignment="1">
      <alignment vertical="center"/>
    </xf>
    <xf numFmtId="0" fontId="4" fillId="0" borderId="4" xfId="3" applyNumberFormat="1" applyFont="1" applyBorder="1" applyAlignment="1">
      <alignment horizontal="center" vertical="center"/>
    </xf>
    <xf numFmtId="0" fontId="6" fillId="0" borderId="0" xfId="3" applyNumberFormat="1" applyFont="1" applyBorder="1" applyAlignment="1">
      <alignment horizontal="left" vertical="center"/>
    </xf>
    <xf numFmtId="0" fontId="4" fillId="0" borderId="0" xfId="3" applyNumberFormat="1" applyFont="1" applyBorder="1" applyAlignment="1">
      <alignment horizontal="center" vertical="center"/>
    </xf>
    <xf numFmtId="0" fontId="7" fillId="0" borderId="4" xfId="3" applyNumberFormat="1" applyFont="1" applyBorder="1" applyAlignment="1">
      <alignment horizontal="center" vertical="center"/>
    </xf>
    <xf numFmtId="0" fontId="0" fillId="0" borderId="0" xfId="0" applyBorder="1" applyAlignment="1"/>
    <xf numFmtId="0" fontId="0" fillId="0" borderId="5" xfId="0" applyBorder="1" applyAlignment="1"/>
    <xf numFmtId="41" fontId="6" fillId="0" borderId="4" xfId="3" applyFont="1" applyBorder="1" applyAlignment="1">
      <alignment horizontal="center" vertical="center"/>
    </xf>
    <xf numFmtId="0" fontId="6" fillId="0" borderId="4" xfId="3" applyNumberFormat="1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9" fillId="0" borderId="4" xfId="3" applyNumberFormat="1" applyFont="1" applyBorder="1" applyAlignment="1">
      <alignment horizontal="center" vertical="center"/>
    </xf>
    <xf numFmtId="0" fontId="4" fillId="0" borderId="6" xfId="3" applyNumberFormat="1" applyFont="1" applyBorder="1" applyAlignment="1">
      <alignment vertical="center"/>
    </xf>
    <xf numFmtId="0" fontId="4" fillId="0" borderId="7" xfId="3" applyNumberFormat="1" applyFont="1" applyBorder="1" applyAlignment="1">
      <alignment horizontal="center" vertical="center"/>
    </xf>
    <xf numFmtId="0" fontId="4" fillId="0" borderId="7" xfId="3" applyNumberFormat="1" applyFont="1" applyBorder="1" applyAlignment="1">
      <alignment vertical="center"/>
    </xf>
    <xf numFmtId="0" fontId="4" fillId="0" borderId="8" xfId="3" applyNumberFormat="1" applyFont="1" applyBorder="1" applyAlignment="1">
      <alignment vertical="center"/>
    </xf>
    <xf numFmtId="0" fontId="10" fillId="2" borderId="9" xfId="3" applyNumberFormat="1" applyFont="1" applyFill="1" applyBorder="1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10" fillId="2" borderId="12" xfId="3" applyNumberFormat="1" applyFont="1" applyFill="1" applyBorder="1" applyAlignment="1">
      <alignment horizontal="center" vertical="center"/>
    </xf>
    <xf numFmtId="0" fontId="0" fillId="0" borderId="13" xfId="0" applyBorder="1" applyAlignment="1"/>
    <xf numFmtId="0" fontId="11" fillId="0" borderId="0" xfId="3" applyNumberFormat="1" applyFont="1" applyAlignment="1">
      <alignment vertical="center"/>
    </xf>
    <xf numFmtId="41" fontId="11" fillId="0" borderId="0" xfId="1" applyFont="1" applyAlignment="1">
      <alignment vertical="center"/>
    </xf>
    <xf numFmtId="0" fontId="11" fillId="0" borderId="14" xfId="3" applyNumberFormat="1" applyFont="1" applyBorder="1" applyAlignment="1">
      <alignment horizontal="center" vertical="center"/>
    </xf>
    <xf numFmtId="0" fontId="0" fillId="0" borderId="15" xfId="0" applyBorder="1" applyAlignment="1"/>
    <xf numFmtId="0" fontId="0" fillId="0" borderId="16" xfId="0" applyBorder="1" applyAlignment="1"/>
    <xf numFmtId="0" fontId="11" fillId="0" borderId="17" xfId="3" applyNumberFormat="1" applyFont="1" applyBorder="1" applyAlignment="1">
      <alignment horizontal="center" vertical="center"/>
    </xf>
    <xf numFmtId="0" fontId="10" fillId="0" borderId="17" xfId="3" applyNumberFormat="1" applyFont="1" applyBorder="1" applyAlignment="1">
      <alignment horizontal="center" vertical="center"/>
    </xf>
    <xf numFmtId="0" fontId="0" fillId="0" borderId="18" xfId="0" applyBorder="1" applyAlignment="1"/>
    <xf numFmtId="0" fontId="11" fillId="0" borderId="19" xfId="3" applyNumberFormat="1" applyFont="1" applyBorder="1" applyAlignment="1">
      <alignment vertical="center"/>
    </xf>
    <xf numFmtId="0" fontId="11" fillId="0" borderId="20" xfId="3" applyNumberFormat="1" applyFont="1" applyBorder="1" applyAlignment="1">
      <alignment vertical="center"/>
    </xf>
    <xf numFmtId="0" fontId="11" fillId="0" borderId="21" xfId="3" applyNumberFormat="1" applyFont="1" applyBorder="1" applyAlignment="1">
      <alignment vertical="center"/>
    </xf>
    <xf numFmtId="41" fontId="12" fillId="0" borderId="4" xfId="3" applyFont="1" applyBorder="1" applyAlignment="1">
      <alignment horizontal="center" vertical="center"/>
    </xf>
    <xf numFmtId="41" fontId="13" fillId="0" borderId="0" xfId="1" applyFont="1" applyAlignment="1">
      <alignment vertical="center"/>
    </xf>
    <xf numFmtId="0" fontId="14" fillId="0" borderId="0" xfId="3" applyNumberFormat="1" applyFont="1" applyAlignment="1">
      <alignment vertical="center"/>
    </xf>
    <xf numFmtId="41" fontId="14" fillId="0" borderId="0" xfId="1" applyFont="1" applyAlignment="1">
      <alignment vertical="center"/>
    </xf>
    <xf numFmtId="0" fontId="15" fillId="0" borderId="4" xfId="3" applyNumberFormat="1" applyFont="1" applyBorder="1" applyAlignment="1">
      <alignment vertical="center"/>
    </xf>
    <xf numFmtId="0" fontId="15" fillId="0" borderId="0" xfId="3" applyNumberFormat="1" applyFont="1" applyBorder="1" applyAlignment="1">
      <alignment horizontal="center" vertical="center"/>
    </xf>
    <xf numFmtId="0" fontId="15" fillId="0" borderId="5" xfId="3" applyNumberFormat="1" applyFont="1" applyBorder="1" applyAlignment="1">
      <alignment vertical="center"/>
    </xf>
    <xf numFmtId="0" fontId="16" fillId="0" borderId="0" xfId="3" applyNumberFormat="1" applyFont="1" applyAlignment="1">
      <alignment vertical="center"/>
    </xf>
    <xf numFmtId="41" fontId="16" fillId="0" borderId="0" xfId="1" applyFont="1" applyAlignment="1">
      <alignment vertical="center"/>
    </xf>
    <xf numFmtId="43" fontId="16" fillId="0" borderId="0" xfId="3" applyNumberFormat="1" applyFont="1" applyAlignment="1">
      <alignment vertical="center"/>
    </xf>
    <xf numFmtId="0" fontId="10" fillId="0" borderId="4" xfId="3" applyNumberFormat="1" applyFont="1" applyBorder="1" applyAlignment="1">
      <alignment vertical="center"/>
    </xf>
    <xf numFmtId="0" fontId="10" fillId="0" borderId="0" xfId="3" applyNumberFormat="1" applyFont="1" applyBorder="1" applyAlignment="1">
      <alignment vertical="center"/>
    </xf>
    <xf numFmtId="0" fontId="10" fillId="0" borderId="5" xfId="3" applyNumberFormat="1" applyFont="1" applyBorder="1" applyAlignment="1">
      <alignment vertical="center"/>
    </xf>
    <xf numFmtId="0" fontId="17" fillId="0" borderId="0" xfId="3" applyNumberFormat="1" applyFont="1" applyAlignment="1">
      <alignment vertical="center"/>
    </xf>
    <xf numFmtId="41" fontId="17" fillId="0" borderId="0" xfId="1" applyFont="1" applyAlignment="1">
      <alignment vertical="center"/>
    </xf>
    <xf numFmtId="0" fontId="18" fillId="0" borderId="0" xfId="3" applyNumberFormat="1" applyFont="1" applyAlignment="1">
      <alignment vertical="center"/>
    </xf>
    <xf numFmtId="41" fontId="18" fillId="0" borderId="0" xfId="1" applyFont="1" applyAlignment="1">
      <alignment vertical="center"/>
    </xf>
    <xf numFmtId="176" fontId="13" fillId="0" borderId="0" xfId="1" applyNumberFormat="1" applyFont="1" applyAlignment="1">
      <alignment vertical="center"/>
    </xf>
    <xf numFmtId="41" fontId="10" fillId="0" borderId="0" xfId="1" applyFont="1" applyAlignment="1">
      <alignment vertical="center"/>
    </xf>
    <xf numFmtId="176" fontId="10" fillId="0" borderId="0" xfId="1" applyNumberFormat="1" applyFont="1" applyAlignment="1">
      <alignment vertical="center"/>
    </xf>
    <xf numFmtId="0" fontId="5" fillId="0" borderId="0" xfId="0" applyFont="1" applyBorder="1" applyAlignment="1"/>
    <xf numFmtId="0" fontId="15" fillId="0" borderId="0" xfId="3" applyNumberFormat="1" applyFont="1" applyBorder="1" applyAlignment="1">
      <alignment horizontal="left" vertical="center"/>
    </xf>
    <xf numFmtId="0" fontId="15" fillId="0" borderId="0" xfId="3" applyNumberFormat="1" applyFont="1" applyBorder="1" applyAlignment="1">
      <alignment vertical="center"/>
    </xf>
    <xf numFmtId="0" fontId="15" fillId="0" borderId="0" xfId="3" applyNumberFormat="1" applyFont="1" applyBorder="1" applyAlignment="1">
      <alignment horizontal="right" vertical="center"/>
    </xf>
    <xf numFmtId="42" fontId="15" fillId="0" borderId="0" xfId="2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5" fillId="0" borderId="5" xfId="3" applyNumberFormat="1" applyFont="1" applyBorder="1" applyAlignment="1">
      <alignment horizontal="left" vertical="center"/>
    </xf>
    <xf numFmtId="0" fontId="10" fillId="0" borderId="6" xfId="3" applyNumberFormat="1" applyFont="1" applyBorder="1" applyAlignment="1">
      <alignment vertical="center"/>
    </xf>
    <xf numFmtId="0" fontId="10" fillId="0" borderId="7" xfId="3" applyNumberFormat="1" applyFont="1" applyBorder="1" applyAlignment="1">
      <alignment horizontal="right" vertical="center"/>
    </xf>
    <xf numFmtId="42" fontId="10" fillId="0" borderId="7" xfId="2" applyNumberFormat="1" applyFont="1" applyBorder="1" applyAlignment="1">
      <alignment horizontal="center" vertical="top"/>
    </xf>
    <xf numFmtId="0" fontId="10" fillId="0" borderId="7" xfId="3" applyNumberFormat="1" applyFont="1" applyBorder="1" applyAlignment="1">
      <alignment horizontal="left" vertical="center"/>
    </xf>
    <xf numFmtId="0" fontId="10" fillId="0" borderId="7" xfId="3" applyNumberFormat="1" applyFont="1" applyBorder="1" applyAlignment="1">
      <alignment vertical="center"/>
    </xf>
    <xf numFmtId="0" fontId="10" fillId="0" borderId="8" xfId="3" applyNumberFormat="1" applyFont="1" applyBorder="1" applyAlignment="1">
      <alignment vertical="center"/>
    </xf>
    <xf numFmtId="0" fontId="19" fillId="2" borderId="22" xfId="0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19" fillId="2" borderId="25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26" xfId="0" applyBorder="1" applyAlignment="1"/>
    <xf numFmtId="0" fontId="0" fillId="0" borderId="27" xfId="0" applyBorder="1" applyAlignment="1"/>
    <xf numFmtId="0" fontId="19" fillId="2" borderId="28" xfId="0" applyFont="1" applyFill="1" applyBorder="1" applyAlignment="1">
      <alignment horizontal="center" vertical="center"/>
    </xf>
    <xf numFmtId="0" fontId="0" fillId="0" borderId="29" xfId="0" applyBorder="1" applyAlignment="1"/>
    <xf numFmtId="0" fontId="21" fillId="0" borderId="30" xfId="0" applyFont="1" applyBorder="1" applyAlignment="1">
      <alignment vertical="center"/>
    </xf>
    <xf numFmtId="0" fontId="21" fillId="0" borderId="31" xfId="0" applyFont="1" applyBorder="1" applyAlignment="1">
      <alignment vertical="center"/>
    </xf>
    <xf numFmtId="0" fontId="21" fillId="0" borderId="32" xfId="0" applyFont="1" applyBorder="1" applyAlignment="1">
      <alignment horizontal="center" vertical="center"/>
    </xf>
    <xf numFmtId="0" fontId="21" fillId="0" borderId="32" xfId="0" applyFont="1" applyBorder="1" applyAlignment="1">
      <alignment vertical="center"/>
    </xf>
    <xf numFmtId="0" fontId="21" fillId="0" borderId="33" xfId="0" applyFont="1" applyBorder="1" applyAlignment="1">
      <alignment vertical="center"/>
    </xf>
    <xf numFmtId="0" fontId="22" fillId="0" borderId="0" xfId="0" applyFont="1" applyAlignment="1">
      <alignment vertical="center"/>
    </xf>
    <xf numFmtId="41" fontId="8" fillId="0" borderId="34" xfId="0" applyNumberFormat="1" applyFont="1" applyBorder="1" applyAlignment="1">
      <alignment vertical="center"/>
    </xf>
    <xf numFmtId="0" fontId="8" fillId="0" borderId="35" xfId="0" applyFont="1" applyBorder="1" applyAlignment="1">
      <alignment vertical="center"/>
    </xf>
    <xf numFmtId="0" fontId="8" fillId="0" borderId="36" xfId="0" applyFont="1" applyBorder="1" applyAlignment="1">
      <alignment horizontal="center" vertical="center"/>
    </xf>
    <xf numFmtId="41" fontId="8" fillId="0" borderId="36" xfId="0" applyNumberFormat="1" applyFont="1" applyBorder="1" applyAlignment="1">
      <alignment vertical="center"/>
    </xf>
    <xf numFmtId="0" fontId="8" fillId="0" borderId="36" xfId="0" applyFont="1" applyBorder="1" applyAlignment="1">
      <alignment vertical="center"/>
    </xf>
    <xf numFmtId="41" fontId="8" fillId="0" borderId="36" xfId="1" applyFont="1" applyBorder="1" applyAlignment="1">
      <alignment vertical="center"/>
    </xf>
    <xf numFmtId="177" fontId="8" fillId="0" borderId="36" xfId="4" applyNumberFormat="1" applyFont="1" applyBorder="1" applyAlignment="1">
      <alignment vertical="center"/>
    </xf>
    <xf numFmtId="0" fontId="23" fillId="0" borderId="37" xfId="0" applyFont="1" applyBorder="1" applyAlignment="1">
      <alignment horizontal="center" vertical="center"/>
    </xf>
    <xf numFmtId="10" fontId="20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34" xfId="0" applyFont="1" applyBorder="1" applyAlignment="1">
      <alignment vertical="center"/>
    </xf>
    <xf numFmtId="41" fontId="20" fillId="0" borderId="0" xfId="1" applyFont="1" applyAlignment="1">
      <alignment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Border="1" applyAlignment="1">
      <alignment vertical="center"/>
    </xf>
    <xf numFmtId="0" fontId="21" fillId="0" borderId="36" xfId="0" applyFont="1" applyBorder="1" applyAlignment="1">
      <alignment horizontal="center" vertical="center"/>
    </xf>
    <xf numFmtId="41" fontId="21" fillId="0" borderId="36" xfId="0" applyNumberFormat="1" applyFont="1" applyBorder="1" applyAlignment="1">
      <alignment vertical="center"/>
    </xf>
    <xf numFmtId="0" fontId="21" fillId="0" borderId="36" xfId="0" applyFont="1" applyBorder="1" applyAlignment="1">
      <alignment vertical="center"/>
    </xf>
    <xf numFmtId="178" fontId="21" fillId="0" borderId="36" xfId="0" applyNumberFormat="1" applyFont="1" applyBorder="1" applyAlignment="1">
      <alignment vertical="center"/>
    </xf>
    <xf numFmtId="0" fontId="21" fillId="0" borderId="37" xfId="0" applyFont="1" applyBorder="1" applyAlignment="1">
      <alignment vertical="center"/>
    </xf>
    <xf numFmtId="10" fontId="22" fillId="0" borderId="0" xfId="0" applyNumberFormat="1" applyFont="1" applyAlignment="1">
      <alignment vertical="center"/>
    </xf>
    <xf numFmtId="0" fontId="8" fillId="0" borderId="34" xfId="0" applyFont="1" applyBorder="1" applyAlignment="1">
      <alignment horizontal="center" vertical="center"/>
    </xf>
    <xf numFmtId="0" fontId="8" fillId="0" borderId="37" xfId="0" applyFont="1" applyBorder="1" applyAlignment="1">
      <alignment vertical="center"/>
    </xf>
    <xf numFmtId="0" fontId="21" fillId="0" borderId="38" xfId="0" applyFont="1" applyBorder="1" applyAlignment="1">
      <alignment horizontal="center" vertical="center"/>
    </xf>
    <xf numFmtId="0" fontId="21" fillId="0" borderId="39" xfId="0" applyFont="1" applyBorder="1" applyAlignment="1">
      <alignment vertical="center"/>
    </xf>
    <xf numFmtId="0" fontId="21" fillId="0" borderId="28" xfId="0" applyFont="1" applyBorder="1" applyAlignment="1">
      <alignment horizontal="center" vertical="center"/>
    </xf>
    <xf numFmtId="41" fontId="21" fillId="0" borderId="28" xfId="0" applyNumberFormat="1" applyFont="1" applyBorder="1" applyAlignment="1">
      <alignment vertical="center"/>
    </xf>
    <xf numFmtId="0" fontId="24" fillId="0" borderId="28" xfId="0" applyFont="1" applyBorder="1" applyAlignment="1">
      <alignment vertical="center"/>
    </xf>
    <xf numFmtId="0" fontId="21" fillId="0" borderId="28" xfId="0" applyFont="1" applyBorder="1" applyAlignment="1">
      <alignment vertical="center"/>
    </xf>
    <xf numFmtId="0" fontId="21" fillId="0" borderId="40" xfId="0" applyFont="1" applyBorder="1" applyAlignment="1">
      <alignment vertical="center"/>
    </xf>
  </cellXfs>
  <cellStyles count="5">
    <cellStyle name="백분율" xfId="2" builtinId="5"/>
    <cellStyle name="쉼표 [0]" xfId="1" builtinId="6"/>
    <cellStyle name="쉼표 [0] 2 2 2 2 2" xfId="3"/>
    <cellStyle name="표준" xfId="0" builtinId="0"/>
    <cellStyle name="표준_110000-00시 조성계획 및 실시설계 용역(기준)(rev-1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.&#44592;&#48376;&#49444;&#44228;%20(&#51312;&#44221;&#49444;&#44228;&#54408;&#49480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갑지"/>
      <sheetName val="0.총괄"/>
      <sheetName val="2.기본설계 (조경설계품셈)_금액"/>
      <sheetName val="2.기본설계 (조경설계품셈)_작업량"/>
      <sheetName val="3.실시설계 (조경설계품셈)_금액"/>
      <sheetName val="3.실시설계 (조경설계품셈)_작업량"/>
      <sheetName val="4.기본및실시설계 (조경설계품셈)_금액"/>
      <sheetName val="4.기본및실시설계 (조경설계품셈)_작업량"/>
      <sheetName val="5.BF예비인증 (조경설계품셈)_금액"/>
      <sheetName val="5.BF예비인증 (조경설계품셈)_작업량"/>
    </sheetNames>
    <sheetDataSet>
      <sheetData sheetId="0"/>
      <sheetData sheetId="1"/>
      <sheetData sheetId="2">
        <row r="1">
          <cell r="A1" t="str">
            <v>2.기본설계 (조경설계품셈)</v>
          </cell>
        </row>
        <row r="25">
          <cell r="F25">
            <v>98960000</v>
          </cell>
        </row>
      </sheetData>
      <sheetData sheetId="3" refreshError="1"/>
      <sheetData sheetId="4">
        <row r="1">
          <cell r="A1" t="str">
            <v>3.실시설계 (조경설계품셈)</v>
          </cell>
        </row>
        <row r="25">
          <cell r="F25">
            <v>179050000</v>
          </cell>
        </row>
      </sheetData>
      <sheetData sheetId="5" refreshError="1"/>
      <sheetData sheetId="6">
        <row r="1">
          <cell r="A1" t="str">
            <v>4.기본및실시설계 (조경설계품셈)</v>
          </cell>
        </row>
        <row r="25">
          <cell r="F25">
            <v>236490000</v>
          </cell>
        </row>
      </sheetData>
      <sheetData sheetId="7" refreshError="1"/>
      <sheetData sheetId="8">
        <row r="1">
          <cell r="A1" t="str">
            <v>5.BF예비인증 (조경설계품셈)</v>
          </cell>
        </row>
        <row r="25">
          <cell r="F25">
            <v>37400000</v>
          </cell>
        </row>
      </sheetData>
      <sheetData sheetId="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C53"/>
  <sheetViews>
    <sheetView tabSelected="1" view="pageBreakPreview" workbookViewId="0">
      <selection activeCell="F46" sqref="F46"/>
    </sheetView>
  </sheetViews>
  <sheetFormatPr defaultRowHeight="16.5"/>
  <cols>
    <col min="1" max="1" width="10" style="1" customWidth="1"/>
    <col min="2" max="16" width="10" style="2" customWidth="1"/>
    <col min="17" max="17" width="16.875" style="1" customWidth="1"/>
    <col min="18" max="18" width="15.375" style="1" customWidth="1"/>
    <col min="19" max="19" width="10.625" style="1" customWidth="1"/>
    <col min="20" max="20" width="8.75" style="1" customWidth="1"/>
    <col min="21" max="22" width="9" style="2"/>
    <col min="23" max="23" width="14.25" style="1" customWidth="1"/>
    <col min="24" max="24" width="16.125" style="1" customWidth="1"/>
    <col min="25" max="25" width="20.875" style="1" customWidth="1"/>
    <col min="26" max="26" width="18.375" style="1" customWidth="1"/>
    <col min="27" max="27" width="8.75" style="1" customWidth="1"/>
    <col min="28" max="28" width="9" style="2"/>
    <col min="29" max="29" width="8.75" style="1" customWidth="1"/>
    <col min="30" max="16384" width="9" style="2"/>
  </cols>
  <sheetData>
    <row r="2" spans="1:28" ht="23.1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 spans="1:28" ht="23.1" customHeight="1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ht="23.1" customHeight="1">
      <c r="A4" s="10"/>
      <c r="B4" s="11" t="str">
        <f>Q4</f>
        <v>기준년도</v>
      </c>
      <c r="C4" s="12"/>
      <c r="D4" s="12"/>
      <c r="E4" s="12"/>
      <c r="F4" s="12"/>
      <c r="G4" s="12"/>
      <c r="H4" s="12"/>
      <c r="I4" s="8"/>
      <c r="J4" s="8"/>
      <c r="K4" s="8"/>
      <c r="L4" s="8"/>
      <c r="M4" s="8"/>
      <c r="N4" s="8"/>
      <c r="O4" s="8"/>
      <c r="P4" s="9"/>
      <c r="Q4" s="6" t="s">
        <v>0</v>
      </c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 spans="1:28" ht="23.1" customHeight="1">
      <c r="A5" s="10"/>
      <c r="B5" s="11"/>
      <c r="C5" s="12"/>
      <c r="D5" s="12"/>
      <c r="E5" s="12"/>
      <c r="F5" s="12"/>
      <c r="G5" s="12"/>
      <c r="H5" s="12"/>
      <c r="I5" s="8"/>
      <c r="J5" s="8"/>
      <c r="K5" s="8"/>
      <c r="L5" s="8"/>
      <c r="M5" s="8"/>
      <c r="N5" s="8"/>
      <c r="O5" s="8"/>
      <c r="P5" s="9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ht="23.1" customHeight="1">
      <c r="A6" s="7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9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ht="50.1" customHeight="1">
      <c r="A7" s="13" t="s">
        <v>1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5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ht="23.1" customHeight="1">
      <c r="A8" s="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9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39" customHeight="1">
      <c r="A9" s="16" t="str">
        <f>Q9</f>
        <v>용역명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5"/>
      <c r="Q9" s="6" t="s">
        <v>2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ht="23.1" customHeight="1">
      <c r="A10" s="7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9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 spans="1:28" ht="23.1" customHeight="1">
      <c r="A11" s="7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9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ht="23.1" customHeight="1">
      <c r="A12" s="7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9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 spans="1:28" ht="23.1" customHeight="1">
      <c r="A13" s="7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9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ht="23.1" customHeight="1">
      <c r="A14" s="7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9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 spans="1:28" ht="23.1" customHeight="1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9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ht="23.1" customHeight="1">
      <c r="A16" s="17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5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 spans="1:28" ht="23.1" customHeight="1">
      <c r="A17" s="7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9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 spans="1:28" ht="23.1" customHeight="1">
      <c r="A18" s="7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9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 spans="1:28" ht="23.1" customHeight="1">
      <c r="A19" s="7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9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 spans="1:28" ht="23.1" customHeight="1">
      <c r="A20" s="7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9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 spans="1:28" ht="23.1" customHeight="1">
      <c r="A21" s="7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18"/>
      <c r="N21" s="8"/>
      <c r="O21" s="8"/>
      <c r="P21" s="9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 spans="1:28" ht="39.75" customHeight="1">
      <c r="A22" s="19" t="str">
        <f>Q22</f>
        <v>발주처</v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5"/>
      <c r="Q22" s="6" t="s">
        <v>3</v>
      </c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 spans="1:28" ht="23.1" customHeight="1">
      <c r="A23" s="7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9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 spans="1:28" ht="23.1" customHeight="1">
      <c r="A24" s="7"/>
      <c r="B24" s="12"/>
      <c r="C24" s="12"/>
      <c r="D24" s="12"/>
      <c r="E24" s="12"/>
      <c r="F24" s="12"/>
      <c r="G24" s="12"/>
      <c r="H24" s="8"/>
      <c r="I24" s="8"/>
      <c r="J24" s="8"/>
      <c r="K24" s="8"/>
      <c r="L24" s="8"/>
      <c r="M24" s="8"/>
      <c r="N24" s="8"/>
      <c r="O24" s="8"/>
      <c r="P24" s="9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 spans="1:28" ht="23.1" customHeight="1">
      <c r="A25" s="7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9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 spans="1:28" ht="23.1" customHeight="1">
      <c r="A26" s="20"/>
      <c r="B26" s="21"/>
      <c r="C26" s="21"/>
      <c r="D26" s="21"/>
      <c r="E26" s="21"/>
      <c r="F26" s="21"/>
      <c r="G26" s="21"/>
      <c r="H26" s="22"/>
      <c r="I26" s="22"/>
      <c r="J26" s="22"/>
      <c r="K26" s="22"/>
      <c r="L26" s="22"/>
      <c r="M26" s="22"/>
      <c r="N26" s="22"/>
      <c r="O26" s="22"/>
      <c r="P26" s="23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 spans="1:28" ht="22.5" customHeight="1" thickBot="1">
      <c r="A27" s="24" t="s">
        <v>4</v>
      </c>
      <c r="B27" s="25"/>
      <c r="C27" s="25"/>
      <c r="D27" s="26"/>
      <c r="E27" s="27" t="s">
        <v>5</v>
      </c>
      <c r="F27" s="25"/>
      <c r="G27" s="25"/>
      <c r="H27" s="26"/>
      <c r="I27" s="27" t="s">
        <v>6</v>
      </c>
      <c r="J27" s="25"/>
      <c r="K27" s="25"/>
      <c r="L27" s="26"/>
      <c r="M27" s="27" t="s">
        <v>7</v>
      </c>
      <c r="N27" s="25"/>
      <c r="O27" s="25"/>
      <c r="P27" s="28"/>
      <c r="Q27" s="29"/>
      <c r="R27" s="29"/>
      <c r="S27" s="29"/>
      <c r="T27" s="29"/>
      <c r="U27" s="29"/>
      <c r="V27" s="29"/>
      <c r="W27" s="29"/>
      <c r="X27" s="30"/>
      <c r="Y27" s="29"/>
      <c r="Z27" s="29"/>
      <c r="AA27" s="29"/>
      <c r="AB27" s="29"/>
    </row>
    <row r="28" spans="1:28" ht="42.75" customHeight="1" thickTop="1">
      <c r="A28" s="31"/>
      <c r="B28" s="32"/>
      <c r="C28" s="32"/>
      <c r="D28" s="33"/>
      <c r="E28" s="34"/>
      <c r="F28" s="32"/>
      <c r="G28" s="32"/>
      <c r="H28" s="33"/>
      <c r="I28" s="34"/>
      <c r="J28" s="32"/>
      <c r="K28" s="32"/>
      <c r="L28" s="33"/>
      <c r="M28" s="35" t="s">
        <v>8</v>
      </c>
      <c r="N28" s="32"/>
      <c r="O28" s="32"/>
      <c r="P28" s="36"/>
      <c r="Q28" s="29"/>
      <c r="R28" s="29"/>
      <c r="S28" s="29"/>
      <c r="T28" s="29"/>
      <c r="U28" s="29"/>
      <c r="V28" s="29"/>
      <c r="W28" s="29"/>
      <c r="X28" s="30"/>
      <c r="Y28" s="29"/>
      <c r="Z28" s="29"/>
      <c r="AA28" s="29"/>
      <c r="AB28" s="29"/>
    </row>
    <row r="29" spans="1:28" ht="21" customHeight="1">
      <c r="A29" s="37"/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9"/>
      <c r="Q29" s="29"/>
      <c r="R29" s="29"/>
      <c r="S29" s="29"/>
      <c r="T29" s="29"/>
      <c r="U29" s="29"/>
      <c r="V29" s="29"/>
      <c r="W29" s="29"/>
      <c r="X29" s="30"/>
      <c r="Y29" s="29"/>
      <c r="Z29" s="29"/>
      <c r="AA29" s="29"/>
      <c r="AB29" s="29"/>
    </row>
    <row r="30" spans="1:28" ht="49.5" customHeight="1">
      <c r="A30" s="40" t="str">
        <f>A9</f>
        <v>용역명</v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5"/>
      <c r="Q30" s="41"/>
      <c r="R30" s="42"/>
      <c r="S30" s="42"/>
      <c r="T30" s="42"/>
      <c r="U30" s="42"/>
      <c r="V30" s="42"/>
      <c r="W30" s="42"/>
      <c r="X30" s="43"/>
      <c r="Y30" s="42"/>
      <c r="Z30" s="42"/>
      <c r="AA30" s="42"/>
      <c r="AB30" s="42"/>
    </row>
    <row r="31" spans="1:28" ht="20.100000000000001" customHeight="1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6"/>
      <c r="Q31" s="47"/>
      <c r="R31" s="47"/>
      <c r="S31" s="47"/>
      <c r="T31" s="47"/>
      <c r="U31" s="47"/>
      <c r="V31" s="47"/>
      <c r="W31" s="47"/>
      <c r="X31" s="48"/>
      <c r="Y31" s="49"/>
      <c r="Z31" s="47"/>
      <c r="AA31" s="47"/>
      <c r="AB31" s="47"/>
    </row>
    <row r="32" spans="1:28" ht="20.100000000000001" customHeight="1">
      <c r="A32" s="50"/>
      <c r="B32" s="51" t="s">
        <v>9</v>
      </c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2"/>
      <c r="Q32" s="53"/>
      <c r="R32" s="53"/>
      <c r="S32" s="53"/>
      <c r="T32" s="53"/>
      <c r="U32" s="53"/>
      <c r="V32" s="53"/>
      <c r="W32" s="53"/>
      <c r="X32" s="54"/>
      <c r="Y32" s="53"/>
      <c r="Z32" s="53"/>
      <c r="AA32" s="53"/>
      <c r="AB32" s="53"/>
    </row>
    <row r="33" spans="1:28" ht="20.100000000000001" customHeight="1">
      <c r="A33" s="50"/>
      <c r="B33" s="51" t="str">
        <f>"  - 위    치 : "&amp;Q33&amp;" 일원"</f>
        <v xml:space="preserve">  - 위    치 : 사업위치 일원</v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2"/>
      <c r="Q33" s="55" t="s">
        <v>10</v>
      </c>
      <c r="R33" s="53"/>
      <c r="S33" s="53"/>
      <c r="T33" s="55"/>
      <c r="U33" s="55"/>
      <c r="V33" s="53"/>
      <c r="W33" s="55"/>
      <c r="X33" s="56"/>
      <c r="Y33" s="55" t="s">
        <v>11</v>
      </c>
      <c r="Z33" s="55"/>
      <c r="AA33" s="53"/>
      <c r="AB33" s="53"/>
    </row>
    <row r="34" spans="1:28" ht="20.100000000000001" customHeight="1">
      <c r="A34" s="50"/>
      <c r="B34" s="51" t="str">
        <f>"  - 면    적 : "&amp;TEXT(Q34,"#,#")&amp;"㎡"</f>
        <v xml:space="preserve">  - 면    적 : 면적㎡</v>
      </c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2"/>
      <c r="Q34" s="41" t="s">
        <v>12</v>
      </c>
      <c r="R34" s="57"/>
      <c r="S34" s="53"/>
      <c r="T34" s="55"/>
      <c r="U34" s="55"/>
      <c r="V34" s="53"/>
      <c r="W34" s="55"/>
      <c r="X34" s="56"/>
      <c r="Y34" s="55">
        <v>30</v>
      </c>
      <c r="Z34" s="55" t="s">
        <v>13</v>
      </c>
      <c r="AA34" s="53"/>
      <c r="AB34" s="53"/>
    </row>
    <row r="35" spans="1:28" ht="20.100000000000001" customHeight="1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2"/>
      <c r="Q35" s="58"/>
      <c r="R35" s="59"/>
      <c r="S35" s="53"/>
      <c r="T35" s="53"/>
      <c r="U35" s="53"/>
      <c r="V35" s="53"/>
      <c r="W35" s="53"/>
      <c r="X35" s="54"/>
      <c r="Y35" s="53"/>
      <c r="Z35" s="53"/>
      <c r="AA35" s="53"/>
      <c r="AB35" s="53"/>
    </row>
    <row r="36" spans="1:28" ht="20.100000000000001" customHeight="1">
      <c r="A36" s="50"/>
      <c r="B36" s="51" t="s">
        <v>14</v>
      </c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2"/>
      <c r="Q36" s="53"/>
      <c r="R36" s="53"/>
      <c r="S36" s="53"/>
      <c r="T36" s="53"/>
      <c r="U36" s="53"/>
      <c r="V36" s="53"/>
      <c r="W36" s="53"/>
      <c r="X36" s="54"/>
      <c r="Y36" s="53"/>
      <c r="Z36" s="53"/>
      <c r="AA36" s="53"/>
      <c r="AB36" s="53"/>
    </row>
    <row r="37" spans="1:28" ht="20.100000000000001" customHeight="1">
      <c r="A37" s="50"/>
      <c r="B37" s="51" t="str">
        <f>"     "&amp;Q37</f>
        <v xml:space="preserve">     2.기본설계 (조경설계품셈)</v>
      </c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2"/>
      <c r="Q37" s="55" t="str">
        <f>'[1]2.기본설계 (조경설계품셈)_금액'!A1</f>
        <v>2.기본설계 (조경설계품셈)</v>
      </c>
      <c r="R37" s="53"/>
      <c r="S37" s="53"/>
      <c r="T37" s="53"/>
      <c r="U37" s="53"/>
      <c r="V37" s="53"/>
      <c r="W37" s="53"/>
      <c r="X37" s="54"/>
      <c r="Y37" s="53"/>
      <c r="Z37" s="53"/>
      <c r="AA37" s="53"/>
      <c r="AB37" s="53"/>
    </row>
    <row r="38" spans="1:28" ht="20.100000000000001" customHeight="1">
      <c r="A38" s="50"/>
      <c r="B38" s="51" t="str">
        <f t="shared" ref="B38:B48" si="0">"     "&amp;Q38</f>
        <v xml:space="preserve">     3.실시설계 (조경설계품셈)</v>
      </c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2"/>
      <c r="Q38" s="55" t="str">
        <f>'[1]3.실시설계 (조경설계품셈)_금액'!A1</f>
        <v>3.실시설계 (조경설계품셈)</v>
      </c>
      <c r="R38" s="53"/>
      <c r="S38" s="53"/>
      <c r="T38" s="53"/>
      <c r="U38" s="53"/>
      <c r="V38" s="53"/>
      <c r="W38" s="53"/>
      <c r="X38" s="54"/>
      <c r="Y38" s="53"/>
      <c r="Z38" s="53"/>
      <c r="AA38" s="53"/>
      <c r="AB38" s="53"/>
    </row>
    <row r="39" spans="1:28" ht="20.100000000000001" customHeight="1">
      <c r="A39" s="50"/>
      <c r="B39" s="51" t="str">
        <f t="shared" si="0"/>
        <v xml:space="preserve">     4.기본및실시설계 (조경설계품셈)</v>
      </c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2"/>
      <c r="Q39" s="55" t="str">
        <f>'[1]4.기본및실시설계 (조경설계품셈)_금액'!A1</f>
        <v>4.기본및실시설계 (조경설계품셈)</v>
      </c>
      <c r="R39" s="53"/>
      <c r="S39" s="53"/>
      <c r="T39" s="53"/>
      <c r="U39" s="53"/>
      <c r="V39" s="53"/>
      <c r="W39" s="53"/>
      <c r="X39" s="54"/>
      <c r="Y39" s="53"/>
      <c r="Z39" s="53"/>
      <c r="AA39" s="53"/>
      <c r="AB39" s="53"/>
    </row>
    <row r="40" spans="1:28" ht="20.100000000000001" customHeight="1">
      <c r="A40" s="50"/>
      <c r="B40" s="51" t="str">
        <f t="shared" si="0"/>
        <v xml:space="preserve">     5.BF예비인증 (조경설계품셈)</v>
      </c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2"/>
      <c r="Q40" s="55" t="str">
        <f>'[1]5.BF예비인증 (조경설계품셈)_금액'!A1</f>
        <v>5.BF예비인증 (조경설계품셈)</v>
      </c>
      <c r="R40" s="53"/>
      <c r="S40" s="53"/>
      <c r="T40" s="53"/>
      <c r="U40" s="53"/>
      <c r="V40" s="53"/>
      <c r="W40" s="53"/>
      <c r="X40" s="54"/>
      <c r="Y40" s="53"/>
      <c r="Z40" s="53"/>
      <c r="AA40" s="53"/>
      <c r="AB40" s="53"/>
    </row>
    <row r="41" spans="1:28" ht="20.100000000000001" customHeight="1">
      <c r="A41" s="50"/>
      <c r="B41" s="51" t="str">
        <f t="shared" si="0"/>
        <v xml:space="preserve">     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2"/>
      <c r="Q41" s="55"/>
      <c r="R41" s="53"/>
      <c r="S41" s="53"/>
      <c r="T41" s="53"/>
      <c r="U41" s="53"/>
      <c r="V41" s="53"/>
      <c r="W41" s="53"/>
      <c r="X41" s="54"/>
      <c r="Y41" s="53"/>
      <c r="Z41" s="53"/>
      <c r="AA41" s="53"/>
      <c r="AB41" s="53"/>
    </row>
    <row r="42" spans="1:28" ht="20.100000000000001" customHeight="1">
      <c r="A42" s="50"/>
      <c r="B42" s="51" t="str">
        <f t="shared" si="0"/>
        <v xml:space="preserve">     </v>
      </c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2"/>
      <c r="Q42" s="55"/>
      <c r="R42" s="53"/>
      <c r="S42" s="53"/>
      <c r="T42" s="53"/>
      <c r="U42" s="53"/>
      <c r="V42" s="53"/>
      <c r="W42" s="53"/>
      <c r="X42" s="54"/>
      <c r="Y42" s="53"/>
      <c r="Z42" s="53"/>
      <c r="AA42" s="53"/>
      <c r="AB42" s="53"/>
    </row>
    <row r="43" spans="1:28" ht="20.100000000000001" customHeight="1">
      <c r="A43" s="50"/>
      <c r="B43" s="51" t="str">
        <f t="shared" si="0"/>
        <v xml:space="preserve">     </v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2"/>
      <c r="Q43" s="55"/>
      <c r="R43" s="53"/>
      <c r="S43" s="53"/>
      <c r="T43" s="53"/>
      <c r="U43" s="53"/>
      <c r="V43" s="53"/>
      <c r="W43" s="53"/>
      <c r="X43" s="54"/>
      <c r="Y43" s="53"/>
      <c r="Z43" s="53"/>
      <c r="AA43" s="53"/>
      <c r="AB43" s="53"/>
    </row>
    <row r="44" spans="1:28" ht="20.100000000000001" customHeight="1">
      <c r="A44" s="50"/>
      <c r="B44" s="51" t="str">
        <f t="shared" si="0"/>
        <v xml:space="preserve">     </v>
      </c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2"/>
      <c r="Q44" s="55"/>
      <c r="R44" s="53"/>
      <c r="S44" s="53"/>
      <c r="T44" s="53"/>
      <c r="U44" s="53"/>
      <c r="V44" s="53"/>
      <c r="W44" s="53"/>
      <c r="X44" s="54"/>
      <c r="Y44" s="53"/>
      <c r="Z44" s="53"/>
      <c r="AA44" s="53"/>
      <c r="AB44" s="53"/>
    </row>
    <row r="45" spans="1:28" ht="20.100000000000001" customHeight="1">
      <c r="A45" s="50"/>
      <c r="B45" s="51" t="str">
        <f t="shared" si="0"/>
        <v xml:space="preserve">     </v>
      </c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2"/>
      <c r="Q45" s="55"/>
      <c r="R45" s="53"/>
      <c r="S45" s="53"/>
      <c r="T45" s="53"/>
      <c r="U45" s="53"/>
      <c r="V45" s="53"/>
      <c r="W45" s="53"/>
      <c r="X45" s="54"/>
      <c r="Y45" s="53"/>
      <c r="Z45" s="53"/>
      <c r="AA45" s="53"/>
      <c r="AB45" s="53"/>
    </row>
    <row r="46" spans="1:28" ht="20.100000000000001" customHeight="1">
      <c r="A46" s="50"/>
      <c r="B46" s="51" t="str">
        <f t="shared" si="0"/>
        <v xml:space="preserve">     </v>
      </c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2"/>
      <c r="Q46" s="55"/>
      <c r="R46" s="53"/>
      <c r="S46" s="53"/>
      <c r="T46" s="53"/>
      <c r="U46" s="53"/>
      <c r="V46" s="53"/>
      <c r="W46" s="53"/>
      <c r="X46" s="54"/>
      <c r="Y46" s="53"/>
      <c r="Z46" s="53"/>
      <c r="AA46" s="53"/>
      <c r="AB46" s="53"/>
    </row>
    <row r="47" spans="1:28" ht="20.100000000000001" customHeight="1">
      <c r="A47" s="50"/>
      <c r="B47" s="51" t="str">
        <f t="shared" si="0"/>
        <v xml:space="preserve">     </v>
      </c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2"/>
      <c r="Q47" s="55"/>
      <c r="R47" s="53"/>
      <c r="S47" s="53"/>
      <c r="T47" s="53"/>
      <c r="U47" s="53"/>
      <c r="V47" s="53"/>
      <c r="W47" s="53"/>
      <c r="X47" s="54"/>
      <c r="Y47" s="53"/>
      <c r="Z47" s="53"/>
      <c r="AA47" s="53"/>
      <c r="AB47" s="53"/>
    </row>
    <row r="48" spans="1:28" ht="20.100000000000001" customHeight="1">
      <c r="A48" s="50"/>
      <c r="B48" s="51" t="str">
        <f t="shared" si="0"/>
        <v xml:space="preserve">     </v>
      </c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60"/>
      <c r="O48" s="51"/>
      <c r="P48" s="52"/>
      <c r="Q48" s="53"/>
      <c r="R48" s="59"/>
      <c r="S48" s="58"/>
      <c r="T48" s="53"/>
      <c r="U48" s="53"/>
      <c r="V48" s="53"/>
      <c r="W48" s="53"/>
      <c r="X48" s="54"/>
      <c r="Y48" s="53"/>
      <c r="Z48" s="53"/>
      <c r="AA48" s="53"/>
      <c r="AB48" s="53"/>
    </row>
    <row r="49" spans="1:28" ht="20.100000000000001" customHeight="1">
      <c r="A49" s="50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2"/>
      <c r="Q49" s="53"/>
      <c r="R49" s="53"/>
      <c r="S49" s="53"/>
      <c r="T49" s="53"/>
      <c r="U49" s="53"/>
      <c r="V49" s="53"/>
      <c r="W49" s="53"/>
      <c r="X49" s="54"/>
      <c r="Y49" s="53"/>
      <c r="Z49" s="53"/>
      <c r="AA49" s="53"/>
      <c r="AB49" s="53"/>
    </row>
    <row r="50" spans="1:28" ht="20.100000000000001" customHeight="1">
      <c r="A50" s="50"/>
      <c r="B50" s="51" t="str">
        <f>"○ 과업기간 : 착수일로부터"&amp;TEXT(Q50,"#,#")&amp;"개월"</f>
        <v>○ 과업기간 : 착수일로부터과업기간개월</v>
      </c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2"/>
      <c r="Q50" s="53" t="s">
        <v>15</v>
      </c>
      <c r="R50" s="53"/>
      <c r="S50" s="53"/>
      <c r="T50" s="53"/>
      <c r="U50" s="53"/>
      <c r="V50" s="53"/>
      <c r="W50" s="53"/>
      <c r="X50" s="54"/>
      <c r="Y50" s="53"/>
      <c r="Z50" s="53"/>
      <c r="AA50" s="53"/>
      <c r="AB50" s="53"/>
    </row>
    <row r="51" spans="1:28" ht="20.100000000000001" customHeight="1">
      <c r="A51" s="50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2"/>
      <c r="Q51" s="53"/>
      <c r="R51" s="53"/>
      <c r="S51" s="53"/>
      <c r="T51" s="53"/>
      <c r="U51" s="53"/>
      <c r="V51" s="53"/>
      <c r="W51" s="53"/>
      <c r="X51" s="54"/>
      <c r="Y51" s="53"/>
      <c r="Z51" s="53"/>
      <c r="AA51" s="53"/>
      <c r="AB51" s="53"/>
    </row>
    <row r="52" spans="1:28" ht="34.5" customHeight="1">
      <c r="A52" s="44"/>
      <c r="B52" s="61" t="str">
        <f>"○ 용역금액 : 일금 "&amp;TEXT(K52,"[dbnum4]g/표준"&amp;"원정")</f>
        <v>○ 용역금액 : 일금 육억칠백만원정</v>
      </c>
      <c r="C52" s="62"/>
      <c r="D52" s="62"/>
      <c r="E52" s="61"/>
      <c r="F52" s="62"/>
      <c r="G52" s="62"/>
      <c r="H52" s="61"/>
      <c r="I52" s="62"/>
      <c r="J52" s="63" t="s">
        <v>16</v>
      </c>
      <c r="K52" s="64">
        <f>'0.총괄'!E24</f>
        <v>607000000</v>
      </c>
      <c r="L52" s="65"/>
      <c r="M52" s="65"/>
      <c r="N52" s="62" t="s">
        <v>17</v>
      </c>
      <c r="O52" s="62"/>
      <c r="P52" s="66"/>
      <c r="Q52" s="47"/>
      <c r="R52" s="47"/>
      <c r="S52" s="47"/>
      <c r="T52" s="47"/>
      <c r="U52" s="47"/>
      <c r="V52" s="47"/>
      <c r="W52" s="47"/>
      <c r="X52" s="48"/>
      <c r="Y52" s="47"/>
      <c r="Z52" s="47"/>
      <c r="AA52" s="47"/>
      <c r="AB52" s="47"/>
    </row>
    <row r="53" spans="1:28" ht="20.100000000000001" customHeight="1">
      <c r="A53" s="67"/>
      <c r="B53" s="68"/>
      <c r="C53" s="69"/>
      <c r="D53" s="69"/>
      <c r="E53" s="70"/>
      <c r="F53" s="69"/>
      <c r="G53" s="69"/>
      <c r="H53" s="70"/>
      <c r="I53" s="71"/>
      <c r="J53" s="71"/>
      <c r="K53" s="71"/>
      <c r="L53" s="71"/>
      <c r="M53" s="71"/>
      <c r="N53" s="71"/>
      <c r="O53" s="71"/>
      <c r="P53" s="72"/>
      <c r="Q53" s="53"/>
      <c r="R53" s="53"/>
      <c r="S53" s="53"/>
      <c r="T53" s="53"/>
      <c r="U53" s="53"/>
      <c r="V53" s="53"/>
      <c r="W53" s="53"/>
      <c r="X53" s="54"/>
      <c r="Y53" s="53"/>
      <c r="Z53" s="53"/>
      <c r="AA53" s="53"/>
      <c r="AB53" s="53"/>
    </row>
  </sheetData>
  <mergeCells count="14">
    <mergeCell ref="A28:D28"/>
    <mergeCell ref="E28:H28"/>
    <mergeCell ref="I28:L28"/>
    <mergeCell ref="M28:P28"/>
    <mergeCell ref="A30:P30"/>
    <mergeCell ref="K52:M52"/>
    <mergeCell ref="A7:P7"/>
    <mergeCell ref="A9:P9"/>
    <mergeCell ref="A16:P16"/>
    <mergeCell ref="A22:P22"/>
    <mergeCell ref="A27:D27"/>
    <mergeCell ref="E27:H27"/>
    <mergeCell ref="I27:L27"/>
    <mergeCell ref="M27:P27"/>
  </mergeCells>
  <phoneticPr fontId="2" type="noConversion"/>
  <printOptions horizontalCentered="1"/>
  <pageMargins left="0.74803149606299213" right="0.74803149606299213" top="0.78740157480314965" bottom="0.78740157480314965" header="0.51181102362204722" footer="0.51181102362204722"/>
  <pageSetup paperSize="9" scale="7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view="pageBreakPreview" topLeftCell="A7" workbookViewId="0">
      <selection activeCell="F46" sqref="F46"/>
    </sheetView>
  </sheetViews>
  <sheetFormatPr defaultRowHeight="16.5"/>
  <cols>
    <col min="1" max="1" width="15.625" style="1" customWidth="1"/>
    <col min="2" max="2" width="9" style="2"/>
    <col min="3" max="3" width="7.625" style="1" customWidth="1"/>
    <col min="4" max="4" width="5.75" style="1" customWidth="1"/>
    <col min="5" max="5" width="16.75" style="1" customWidth="1"/>
    <col min="6" max="6" width="9.75" style="1" customWidth="1"/>
    <col min="7" max="7" width="16.75" style="1" customWidth="1"/>
    <col min="8" max="8" width="9.75" style="1" customWidth="1"/>
    <col min="9" max="9" width="14.75" style="1" customWidth="1"/>
    <col min="10" max="10" width="9.75" style="1" customWidth="1"/>
    <col min="11" max="11" width="14.75" style="1" customWidth="1"/>
    <col min="12" max="12" width="5.25" style="1" customWidth="1"/>
    <col min="13" max="13" width="3.25" style="1" customWidth="1"/>
    <col min="14" max="14" width="14.375" style="1" customWidth="1"/>
    <col min="15" max="15" width="9.125" style="1" customWidth="1"/>
    <col min="16" max="16" width="18.75" style="1" customWidth="1"/>
    <col min="17" max="17" width="9.125" style="1" customWidth="1"/>
    <col min="18" max="16384" width="9" style="2"/>
  </cols>
  <sheetData>
    <row r="1" spans="1:16" ht="21.95" customHeight="1">
      <c r="A1" s="73" t="s">
        <v>18</v>
      </c>
      <c r="B1" s="74" t="s">
        <v>19</v>
      </c>
      <c r="C1" s="74" t="s">
        <v>20</v>
      </c>
      <c r="D1" s="74" t="s">
        <v>21</v>
      </c>
      <c r="E1" s="74" t="s">
        <v>22</v>
      </c>
      <c r="F1" s="74" t="s">
        <v>23</v>
      </c>
      <c r="G1" s="75"/>
      <c r="H1" s="74" t="s">
        <v>24</v>
      </c>
      <c r="I1" s="75"/>
      <c r="J1" s="74"/>
      <c r="K1" s="75"/>
      <c r="L1" s="76" t="s">
        <v>25</v>
      </c>
      <c r="M1" s="77"/>
      <c r="N1" s="78"/>
      <c r="O1" s="6"/>
      <c r="P1" s="6"/>
    </row>
    <row r="2" spans="1:16" ht="21.95" customHeight="1">
      <c r="A2" s="79"/>
      <c r="B2" s="80"/>
      <c r="C2" s="80"/>
      <c r="D2" s="80"/>
      <c r="E2" s="80"/>
      <c r="F2" s="81" t="s">
        <v>26</v>
      </c>
      <c r="G2" s="81" t="s">
        <v>27</v>
      </c>
      <c r="H2" s="81" t="s">
        <v>26</v>
      </c>
      <c r="I2" s="81" t="s">
        <v>27</v>
      </c>
      <c r="J2" s="81" t="s">
        <v>26</v>
      </c>
      <c r="K2" s="81" t="s">
        <v>27</v>
      </c>
      <c r="L2" s="82"/>
      <c r="M2" s="6"/>
      <c r="N2" s="78"/>
      <c r="O2" s="6"/>
      <c r="P2" s="6"/>
    </row>
    <row r="3" spans="1:16" ht="21.95" customHeight="1">
      <c r="A3" s="83" t="s">
        <v>28</v>
      </c>
      <c r="B3" s="84"/>
      <c r="C3" s="85"/>
      <c r="D3" s="85"/>
      <c r="E3" s="86"/>
      <c r="F3" s="86"/>
      <c r="G3" s="86"/>
      <c r="H3" s="86"/>
      <c r="I3" s="86"/>
      <c r="J3" s="86"/>
      <c r="K3" s="86"/>
      <c r="L3" s="87"/>
      <c r="M3" s="6"/>
      <c r="N3" s="88"/>
      <c r="O3" s="6"/>
      <c r="P3" s="6"/>
    </row>
    <row r="4" spans="1:16" ht="21.95" customHeight="1">
      <c r="A4" s="89" t="str">
        <f>'[1]2.기본설계 (조경설계품셈)_금액'!A1</f>
        <v>2.기본설계 (조경설계품셈)</v>
      </c>
      <c r="B4" s="90"/>
      <c r="C4" s="91">
        <v>1</v>
      </c>
      <c r="D4" s="91" t="s">
        <v>29</v>
      </c>
      <c r="E4" s="92">
        <f>G4+I4</f>
        <v>108856000</v>
      </c>
      <c r="F4" s="93"/>
      <c r="G4" s="94">
        <f>'[1]2.기본설계 (조경설계품셈)_금액'!F25</f>
        <v>98960000</v>
      </c>
      <c r="H4" s="95">
        <f>G4/E20</f>
        <v>0.17930784562420729</v>
      </c>
      <c r="I4" s="94">
        <f>G4*0.1</f>
        <v>9896000</v>
      </c>
      <c r="J4" s="94"/>
      <c r="K4" s="94"/>
      <c r="L4" s="96"/>
      <c r="M4" s="6"/>
      <c r="N4" s="97"/>
      <c r="O4" s="98"/>
      <c r="P4" s="98"/>
    </row>
    <row r="5" spans="1:16" ht="21.95" customHeight="1">
      <c r="A5" s="89" t="str">
        <f>'[1]3.실시설계 (조경설계품셈)_금액'!A1</f>
        <v>3.실시설계 (조경설계품셈)</v>
      </c>
      <c r="B5" s="90"/>
      <c r="C5" s="91">
        <v>1</v>
      </c>
      <c r="D5" s="91" t="s">
        <v>29</v>
      </c>
      <c r="E5" s="92">
        <f>G5+I5</f>
        <v>196955000</v>
      </c>
      <c r="F5" s="93"/>
      <c r="G5" s="94">
        <f>'[1]3.실시설계 (조경설계품셈)_금액'!F25</f>
        <v>179050000</v>
      </c>
      <c r="H5" s="95">
        <f>G5/E20</f>
        <v>0.32442471462221417</v>
      </c>
      <c r="I5" s="94">
        <f>G5*0.1</f>
        <v>17905000</v>
      </c>
      <c r="J5" s="94"/>
      <c r="K5" s="94"/>
      <c r="L5" s="96"/>
      <c r="M5" s="6"/>
      <c r="N5" s="97"/>
      <c r="O5" s="98"/>
      <c r="P5" s="98"/>
    </row>
    <row r="6" spans="1:16" ht="21.95" customHeight="1">
      <c r="A6" s="89" t="str">
        <f>'[1]4.기본및실시설계 (조경설계품셈)_금액'!A1</f>
        <v>4.기본및실시설계 (조경설계품셈)</v>
      </c>
      <c r="B6" s="90"/>
      <c r="C6" s="91">
        <v>1</v>
      </c>
      <c r="D6" s="91" t="s">
        <v>29</v>
      </c>
      <c r="E6" s="92">
        <f>G6+I6</f>
        <v>260139000</v>
      </c>
      <c r="F6" s="93"/>
      <c r="G6" s="94">
        <f>'[1]4.기본및실시설계 (조경설계품셈)_금액'!F25</f>
        <v>236490000</v>
      </c>
      <c r="H6" s="95">
        <f>G6/E20</f>
        <v>0.42850154013408226</v>
      </c>
      <c r="I6" s="94">
        <f>G6*0.1</f>
        <v>23649000</v>
      </c>
      <c r="J6" s="94"/>
      <c r="K6" s="94"/>
      <c r="L6" s="96"/>
      <c r="M6" s="6"/>
      <c r="N6" s="97"/>
      <c r="O6" s="98"/>
      <c r="P6" s="98"/>
    </row>
    <row r="7" spans="1:16" ht="21.95" customHeight="1">
      <c r="A7" s="89" t="str">
        <f>'[1]5.BF예비인증 (조경설계품셈)_금액'!A1</f>
        <v>5.BF예비인증 (조경설계품셈)</v>
      </c>
      <c r="B7" s="90"/>
      <c r="C7" s="91">
        <v>1</v>
      </c>
      <c r="D7" s="91" t="s">
        <v>29</v>
      </c>
      <c r="E7" s="92">
        <f>G7+I7</f>
        <v>41140000</v>
      </c>
      <c r="F7" s="93"/>
      <c r="G7" s="94">
        <f>'[1]5.BF예비인증 (조경설계품셈)_금액'!F25</f>
        <v>37400000</v>
      </c>
      <c r="H7" s="95">
        <f>G7/E20</f>
        <v>6.7765899619496292E-2</v>
      </c>
      <c r="I7" s="94">
        <f>G7*0.1</f>
        <v>3740000</v>
      </c>
      <c r="J7" s="94"/>
      <c r="K7" s="94"/>
      <c r="L7" s="96"/>
      <c r="M7" s="6"/>
      <c r="N7" s="97"/>
      <c r="O7" s="98"/>
      <c r="P7" s="98"/>
    </row>
    <row r="8" spans="1:16" ht="21.95" customHeight="1">
      <c r="A8" s="89"/>
      <c r="B8" s="90"/>
      <c r="C8" s="91"/>
      <c r="D8" s="91"/>
      <c r="E8" s="92"/>
      <c r="F8" s="93"/>
      <c r="G8" s="94"/>
      <c r="H8" s="95"/>
      <c r="I8" s="94"/>
      <c r="J8" s="94"/>
      <c r="K8" s="94"/>
      <c r="L8" s="96"/>
      <c r="M8" s="6"/>
      <c r="N8" s="97"/>
      <c r="O8" s="98"/>
      <c r="P8" s="98"/>
    </row>
    <row r="9" spans="1:16" ht="21.95" customHeight="1">
      <c r="A9" s="89"/>
      <c r="B9" s="90"/>
      <c r="C9" s="91"/>
      <c r="D9" s="91"/>
      <c r="E9" s="92"/>
      <c r="F9" s="93"/>
      <c r="G9" s="94"/>
      <c r="H9" s="95"/>
      <c r="I9" s="94"/>
      <c r="J9" s="94"/>
      <c r="K9" s="94"/>
      <c r="L9" s="96"/>
      <c r="M9" s="6"/>
      <c r="N9" s="97"/>
      <c r="O9" s="98"/>
      <c r="P9" s="98"/>
    </row>
    <row r="10" spans="1:16" ht="21.95" customHeight="1">
      <c r="A10" s="89"/>
      <c r="B10" s="90"/>
      <c r="C10" s="91"/>
      <c r="D10" s="91"/>
      <c r="E10" s="92"/>
      <c r="F10" s="93"/>
      <c r="G10" s="94"/>
      <c r="H10" s="95"/>
      <c r="I10" s="94"/>
      <c r="J10" s="94"/>
      <c r="K10" s="94"/>
      <c r="L10" s="96"/>
      <c r="M10" s="6"/>
      <c r="N10" s="97"/>
      <c r="O10" s="98"/>
      <c r="P10" s="98"/>
    </row>
    <row r="11" spans="1:16" ht="21.95" customHeight="1">
      <c r="A11" s="89"/>
      <c r="B11" s="90"/>
      <c r="C11" s="91"/>
      <c r="D11" s="91"/>
      <c r="E11" s="92"/>
      <c r="F11" s="93"/>
      <c r="G11" s="94"/>
      <c r="H11" s="95"/>
      <c r="I11" s="94"/>
      <c r="J11" s="94"/>
      <c r="K11" s="94"/>
      <c r="L11" s="96"/>
      <c r="M11" s="6"/>
      <c r="N11" s="97"/>
      <c r="O11" s="98"/>
      <c r="P11" s="98"/>
    </row>
    <row r="12" spans="1:16" ht="21.95" customHeight="1">
      <c r="A12" s="89"/>
      <c r="B12" s="90"/>
      <c r="C12" s="91"/>
      <c r="D12" s="91"/>
      <c r="E12" s="92"/>
      <c r="F12" s="93"/>
      <c r="G12" s="94"/>
      <c r="H12" s="95"/>
      <c r="I12" s="94"/>
      <c r="J12" s="94"/>
      <c r="K12" s="94"/>
      <c r="L12" s="96"/>
      <c r="M12" s="6"/>
      <c r="N12" s="97"/>
      <c r="O12" s="98"/>
      <c r="P12" s="98"/>
    </row>
    <row r="13" spans="1:16" ht="21.95" customHeight="1">
      <c r="A13" s="89"/>
      <c r="B13" s="90"/>
      <c r="C13" s="91"/>
      <c r="D13" s="91"/>
      <c r="E13" s="92"/>
      <c r="F13" s="93"/>
      <c r="G13" s="94"/>
      <c r="H13" s="95"/>
      <c r="I13" s="94"/>
      <c r="J13" s="94"/>
      <c r="K13" s="94"/>
      <c r="L13" s="96"/>
      <c r="M13" s="6"/>
      <c r="N13" s="97"/>
      <c r="O13" s="98"/>
      <c r="P13" s="98"/>
    </row>
    <row r="14" spans="1:16" ht="21.95" customHeight="1">
      <c r="A14" s="89"/>
      <c r="B14" s="90"/>
      <c r="C14" s="91"/>
      <c r="D14" s="91"/>
      <c r="E14" s="92"/>
      <c r="F14" s="93"/>
      <c r="G14" s="94"/>
      <c r="H14" s="95"/>
      <c r="I14" s="94"/>
      <c r="J14" s="94"/>
      <c r="K14" s="94"/>
      <c r="L14" s="96"/>
      <c r="M14" s="6"/>
      <c r="N14" s="97"/>
      <c r="O14" s="98"/>
      <c r="P14" s="98"/>
    </row>
    <row r="15" spans="1:16" ht="21.95" customHeight="1">
      <c r="A15" s="89"/>
      <c r="B15" s="90"/>
      <c r="C15" s="91"/>
      <c r="D15" s="91"/>
      <c r="E15" s="92"/>
      <c r="F15" s="93"/>
      <c r="G15" s="94"/>
      <c r="H15" s="95"/>
      <c r="I15" s="94"/>
      <c r="J15" s="94"/>
      <c r="K15" s="94"/>
      <c r="L15" s="96"/>
      <c r="M15" s="6"/>
      <c r="N15" s="97"/>
      <c r="O15" s="98"/>
      <c r="P15" s="98"/>
    </row>
    <row r="16" spans="1:16" ht="21.95" customHeight="1">
      <c r="A16" s="89"/>
      <c r="B16" s="90"/>
      <c r="C16" s="91"/>
      <c r="D16" s="91"/>
      <c r="E16" s="92"/>
      <c r="F16" s="93"/>
      <c r="G16" s="94"/>
      <c r="H16" s="95"/>
      <c r="I16" s="94"/>
      <c r="J16" s="94"/>
      <c r="K16" s="94"/>
      <c r="L16" s="96"/>
      <c r="M16" s="6"/>
      <c r="N16" s="97"/>
      <c r="O16" s="98"/>
      <c r="P16" s="98"/>
    </row>
    <row r="17" spans="1:16" ht="21.95" customHeight="1">
      <c r="A17" s="89"/>
      <c r="B17" s="90"/>
      <c r="C17" s="91"/>
      <c r="D17" s="91"/>
      <c r="E17" s="92"/>
      <c r="F17" s="93"/>
      <c r="G17" s="94"/>
      <c r="H17" s="95"/>
      <c r="I17" s="94"/>
      <c r="J17" s="94"/>
      <c r="K17" s="94"/>
      <c r="L17" s="96"/>
      <c r="M17" s="6"/>
      <c r="N17" s="97"/>
      <c r="O17" s="98"/>
      <c r="P17" s="98"/>
    </row>
    <row r="18" spans="1:16" ht="21.95" customHeight="1">
      <c r="A18" s="89"/>
      <c r="B18" s="90"/>
      <c r="C18" s="91"/>
      <c r="D18" s="91"/>
      <c r="E18" s="92"/>
      <c r="F18" s="93"/>
      <c r="G18" s="94"/>
      <c r="H18" s="95"/>
      <c r="I18" s="94"/>
      <c r="J18" s="94"/>
      <c r="K18" s="94"/>
      <c r="L18" s="96"/>
      <c r="M18" s="6"/>
      <c r="N18" s="97"/>
      <c r="O18" s="98"/>
      <c r="P18" s="98"/>
    </row>
    <row r="19" spans="1:16" ht="21.95" customHeight="1">
      <c r="A19" s="99"/>
      <c r="B19" s="90"/>
      <c r="C19" s="91"/>
      <c r="D19" s="91"/>
      <c r="E19" s="92"/>
      <c r="F19" s="93"/>
      <c r="G19" s="94"/>
      <c r="H19" s="94"/>
      <c r="I19" s="94"/>
      <c r="J19" s="94"/>
      <c r="K19" s="94"/>
      <c r="L19" s="96"/>
      <c r="M19" s="6"/>
      <c r="N19" s="100"/>
      <c r="O19" s="98"/>
      <c r="P19" s="98"/>
    </row>
    <row r="20" spans="1:16" ht="21.95" customHeight="1">
      <c r="A20" s="101" t="s">
        <v>30</v>
      </c>
      <c r="B20" s="102"/>
      <c r="C20" s="103"/>
      <c r="D20" s="103"/>
      <c r="E20" s="104">
        <f>SUM(G4:G18)</f>
        <v>551900000</v>
      </c>
      <c r="F20" s="105"/>
      <c r="G20" s="106"/>
      <c r="H20" s="105"/>
      <c r="I20" s="105"/>
      <c r="J20" s="105"/>
      <c r="K20" s="105"/>
      <c r="L20" s="107"/>
      <c r="M20" s="6"/>
      <c r="N20" s="108"/>
      <c r="O20" s="6"/>
      <c r="P20" s="6"/>
    </row>
    <row r="21" spans="1:16" ht="21.95" customHeight="1">
      <c r="A21" s="109" t="s">
        <v>24</v>
      </c>
      <c r="B21" s="90"/>
      <c r="C21" s="91"/>
      <c r="D21" s="91"/>
      <c r="E21" s="94">
        <f>SUM(I4:I18)</f>
        <v>55190000</v>
      </c>
      <c r="F21" s="105"/>
      <c r="G21" s="104"/>
      <c r="H21" s="105"/>
      <c r="I21" s="105"/>
      <c r="J21" s="105"/>
      <c r="K21" s="105"/>
      <c r="L21" s="107"/>
      <c r="M21" s="6"/>
      <c r="N21" s="88"/>
      <c r="O21" s="6"/>
      <c r="P21" s="6"/>
    </row>
    <row r="22" spans="1:16" ht="21.95" customHeight="1">
      <c r="A22" s="109"/>
      <c r="B22" s="90"/>
      <c r="C22" s="91"/>
      <c r="D22" s="91"/>
      <c r="E22" s="94"/>
      <c r="F22" s="93"/>
      <c r="G22" s="92"/>
      <c r="H22" s="93"/>
      <c r="I22" s="93"/>
      <c r="J22" s="93"/>
      <c r="K22" s="93"/>
      <c r="L22" s="110"/>
      <c r="M22" s="6"/>
      <c r="N22" s="97"/>
      <c r="O22" s="6"/>
      <c r="P22" s="6"/>
    </row>
    <row r="23" spans="1:16" ht="21.95" customHeight="1">
      <c r="A23" s="101" t="s">
        <v>31</v>
      </c>
      <c r="B23" s="102"/>
      <c r="C23" s="103"/>
      <c r="D23" s="103"/>
      <c r="E23" s="104">
        <f>E20+E21</f>
        <v>607090000</v>
      </c>
      <c r="F23" s="105"/>
      <c r="G23" s="105"/>
      <c r="H23" s="105"/>
      <c r="I23" s="105"/>
      <c r="J23" s="105"/>
      <c r="K23" s="105"/>
      <c r="L23" s="107"/>
      <c r="M23" s="6"/>
      <c r="N23" s="88"/>
      <c r="O23" s="6"/>
      <c r="P23" s="6"/>
    </row>
    <row r="24" spans="1:16" ht="21.95" customHeight="1">
      <c r="A24" s="111"/>
      <c r="B24" s="112"/>
      <c r="C24" s="113"/>
      <c r="D24" s="113" t="s">
        <v>32</v>
      </c>
      <c r="E24" s="114">
        <f>ROUNDDOWN(E23,-5)</f>
        <v>607000000</v>
      </c>
      <c r="F24" s="115" t="s">
        <v>33</v>
      </c>
      <c r="G24" s="116"/>
      <c r="H24" s="116"/>
      <c r="I24" s="116"/>
      <c r="J24" s="116"/>
      <c r="K24" s="116"/>
      <c r="L24" s="117"/>
      <c r="M24" s="6"/>
      <c r="N24" s="88"/>
      <c r="O24" s="6"/>
      <c r="P24" s="6"/>
    </row>
    <row r="37" spans="2:2">
      <c r="B37" s="2" t="str">
        <f>"     "&amp;Q37</f>
        <v xml:space="preserve">     </v>
      </c>
    </row>
    <row r="38" spans="2:2">
      <c r="B38" s="2" t="str">
        <f t="shared" ref="B38:B48" si="0">"     "&amp;Q38</f>
        <v xml:space="preserve">     </v>
      </c>
    </row>
    <row r="39" spans="2:2">
      <c r="B39" s="2" t="str">
        <f t="shared" si="0"/>
        <v xml:space="preserve">     </v>
      </c>
    </row>
    <row r="40" spans="2:2">
      <c r="B40" s="2" t="str">
        <f t="shared" si="0"/>
        <v xml:space="preserve">     </v>
      </c>
    </row>
    <row r="41" spans="2:2">
      <c r="B41" s="2" t="str">
        <f t="shared" si="0"/>
        <v xml:space="preserve">     </v>
      </c>
    </row>
    <row r="42" spans="2:2">
      <c r="B42" s="2" t="str">
        <f t="shared" si="0"/>
        <v xml:space="preserve">     </v>
      </c>
    </row>
    <row r="43" spans="2:2">
      <c r="B43" s="2" t="str">
        <f t="shared" si="0"/>
        <v xml:space="preserve">     </v>
      </c>
    </row>
    <row r="44" spans="2:2">
      <c r="B44" s="2" t="str">
        <f t="shared" si="0"/>
        <v xml:space="preserve">     </v>
      </c>
    </row>
    <row r="45" spans="2:2">
      <c r="B45" s="2" t="str">
        <f t="shared" si="0"/>
        <v xml:space="preserve">     </v>
      </c>
    </row>
    <row r="46" spans="2:2">
      <c r="B46" s="2" t="str">
        <f t="shared" si="0"/>
        <v xml:space="preserve">     </v>
      </c>
    </row>
    <row r="47" spans="2:2">
      <c r="B47" s="2" t="str">
        <f t="shared" si="0"/>
        <v xml:space="preserve">     </v>
      </c>
    </row>
    <row r="48" spans="2:2">
      <c r="B48" s="2" t="str">
        <f t="shared" si="0"/>
        <v xml:space="preserve">     </v>
      </c>
    </row>
  </sheetData>
  <mergeCells count="9">
    <mergeCell ref="H1:I1"/>
    <mergeCell ref="J1:K1"/>
    <mergeCell ref="L1:L2"/>
    <mergeCell ref="A1:A2"/>
    <mergeCell ref="B1:B2"/>
    <mergeCell ref="C1:C2"/>
    <mergeCell ref="D1:D2"/>
    <mergeCell ref="E1:E2"/>
    <mergeCell ref="F1:G1"/>
  </mergeCells>
  <phoneticPr fontId="2" type="noConversion"/>
  <printOptions horizontalCentered="1" gridLines="1"/>
  <pageMargins left="0.74803149606299213" right="0.74803149606299213" top="0.78740157480314965" bottom="0.78740157480314965" header="0.51181102362204722" footer="0.51181102362204722"/>
  <pageSetup paperSize="9" scale="8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2</vt:i4>
      </vt:variant>
    </vt:vector>
  </HeadingPairs>
  <TitlesOfParts>
    <vt:vector size="4" baseType="lpstr">
      <vt:lpstr>갑지</vt:lpstr>
      <vt:lpstr>0.총괄</vt:lpstr>
      <vt:lpstr>'0.총괄'!Print_Area</vt:lpstr>
      <vt:lpstr>갑지!Print_Area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</dc:creator>
  <cp:lastModifiedBy>saman</cp:lastModifiedBy>
  <dcterms:created xsi:type="dcterms:W3CDTF">2026-05-27T04:48:05Z</dcterms:created>
  <dcterms:modified xsi:type="dcterms:W3CDTF">2026-05-27T04:49:57Z</dcterms:modified>
</cp:coreProperties>
</file>