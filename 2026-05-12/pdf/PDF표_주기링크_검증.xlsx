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7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0" fontId="8" fillId="0" borderId="27" applyAlignment="1" pivotButton="0" quotePrefix="0" xfId="3">
      <alignment vertical="center" wrapText="1"/>
    </xf>
    <xf numFmtId="0" fontId="7" fillId="0" borderId="14" applyAlignment="1" pivotButton="0" quotePrefix="0" xfId="3">
      <alignment vertical="center" wrapText="1"/>
    </xf>
    <xf numFmtId="166" fontId="6" fillId="0" borderId="14" applyAlignment="1" pivotButton="0" quotePrefix="0" xfId="3">
      <alignment vertical="center"/>
    </xf>
    <xf numFmtId="0" fontId="7" fillId="0" borderId="0" applyAlignment="1" pivotButton="0" quotePrefix="0" xfId="3">
      <alignment vertical="center" wrapText="1"/>
    </xf>
    <xf numFmtId="0" fontId="12" fillId="0" borderId="25" applyAlignment="1" pivotButton="0" quotePrefix="0" xfId="3">
      <alignment vertical="center" wrapText="1"/>
    </xf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16:07:50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54" customHeight="1" s="140">
      <c r="A6" s="150">
        <f>'실시계획인가_PDF'!A6&amp;CHAR(10)&amp;'실시계획인가_PDF'!A7&amp;CHAR(10)&amp;'실시계획인가_PDF'!A8</f>
        <v/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151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2">
        <f>$G$3</f>
        <v/>
      </c>
    </row>
    <row r="8" ht="24" customHeight="1" s="140">
      <c r="A8" s="58" t="n"/>
      <c r="B8" s="151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2">
        <f>$G$3</f>
        <v/>
      </c>
    </row>
    <row r="9" ht="24" customHeight="1" s="140">
      <c r="A9" s="58" t="n"/>
      <c r="B9" s="151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2">
        <f>$G$3</f>
        <v/>
      </c>
    </row>
    <row r="10" ht="24" customHeight="1" s="140">
      <c r="A10" s="58" t="n"/>
      <c r="B10" s="151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2" t="n">
        <v>1</v>
      </c>
    </row>
    <row r="11" ht="24" customHeight="1" s="140">
      <c r="A11" s="58" t="n"/>
      <c r="B11" s="151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2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153">
        <f>'실시계획인가_PDF'!A20</f>
        <v/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153">
        <f>'실시계획인가_PDF'!A21</f>
        <v/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  <row r="15" ht="24" customHeight="1" s="140">
      <c r="A15" s="60" t="n"/>
      <c r="B15" s="154">
        <f>'실시계획인가_PDF'!A22</f>
        <v/>
      </c>
      <c r="C15" s="135" t="n"/>
      <c r="D15" s="136" t="n"/>
      <c r="E15" s="136" t="n"/>
      <c r="F15" s="136" t="n"/>
      <c r="G15" s="136" t="n"/>
      <c r="H15" s="20" t="n"/>
      <c r="I15" s="20" t="n"/>
      <c r="J15" s="20" t="n"/>
      <c r="K15" s="20" t="n"/>
      <c r="L15" s="20" t="n"/>
      <c r="M15" s="20" t="n"/>
      <c r="N15" s="20" t="n"/>
      <c r="O15" s="61" t="n"/>
      <c r="P15" s="155" t="n"/>
      <c r="Q15" s="155" t="n"/>
    </row>
    <row r="16" ht="24" customHeight="1" s="140">
      <c r="A16" s="60" t="n"/>
      <c r="B16" s="154">
        <f>'실시계획인가_PDF'!A23</f>
        <v/>
      </c>
      <c r="C16" s="135" t="n"/>
      <c r="D16" s="136" t="n"/>
      <c r="E16" s="136" t="n"/>
      <c r="F16" s="136" t="n"/>
      <c r="G16" s="136" t="n"/>
      <c r="H16" s="20" t="n"/>
      <c r="I16" s="20" t="n"/>
      <c r="J16" s="20" t="n"/>
      <c r="K16" s="20" t="n"/>
      <c r="L16" s="20" t="n"/>
      <c r="M16" s="20" t="n"/>
      <c r="N16" s="20" t="n"/>
      <c r="O16" s="61" t="n"/>
      <c r="P16" s="155" t="n"/>
      <c r="Q16" s="155" t="n"/>
    </row>
    <row r="17" ht="24" customHeight="1" s="140">
      <c r="A17" s="60" t="n"/>
      <c r="B17" s="154">
        <f>'실시계획인가_PDF'!A24</f>
        <v/>
      </c>
      <c r="C17" s="135" t="n"/>
      <c r="D17" s="136" t="n"/>
      <c r="E17" s="136" t="n"/>
      <c r="F17" s="136" t="n"/>
      <c r="G17" s="136" t="n"/>
      <c r="H17" s="20" t="n"/>
      <c r="I17" s="20" t="n"/>
      <c r="J17" s="20" t="n"/>
      <c r="K17" s="20" t="n"/>
      <c r="L17" s="20" t="n"/>
      <c r="M17" s="20" t="n"/>
      <c r="N17" s="20" t="n"/>
      <c r="O17" s="61" t="n"/>
      <c r="P17" s="155" t="n"/>
      <c r="Q17" s="155" t="n"/>
    </row>
    <row r="18" ht="24" customHeight="1" s="140">
      <c r="A18" s="60" t="n"/>
      <c r="B18" s="154">
        <f>'실시계획인가_PDF'!A25</f>
        <v/>
      </c>
      <c r="C18" s="135" t="n"/>
      <c r="D18" s="136" t="n"/>
      <c r="E18" s="136" t="n"/>
      <c r="F18" s="136" t="n"/>
      <c r="G18" s="136" t="n"/>
      <c r="H18" s="20" t="n"/>
      <c r="I18" s="20" t="n"/>
      <c r="J18" s="20" t="n"/>
      <c r="K18" s="20" t="n"/>
      <c r="L18" s="20" t="n"/>
      <c r="M18" s="20" t="n"/>
      <c r="N18" s="20" t="n"/>
      <c r="O18" s="61" t="n"/>
      <c r="P18" s="155" t="n"/>
      <c r="Q18" s="155" t="n"/>
    </row>
    <row r="19" ht="24" customHeight="1" s="140">
      <c r="A19" s="60" t="n"/>
      <c r="B19" s="154">
        <f>'실시계획인가_PDF'!A26</f>
        <v/>
      </c>
      <c r="C19" s="135" t="n"/>
      <c r="D19" s="136" t="n"/>
      <c r="E19" s="136" t="n"/>
      <c r="F19" s="136" t="n"/>
      <c r="G19" s="136" t="n"/>
      <c r="H19" s="20" t="n"/>
      <c r="I19" s="20" t="n"/>
      <c r="J19" s="20" t="n"/>
      <c r="K19" s="20" t="n"/>
      <c r="L19" s="20" t="n"/>
      <c r="M19" s="20" t="n"/>
      <c r="N19" s="20" t="n"/>
      <c r="O19" s="61" t="n"/>
      <c r="P19" s="155" t="n"/>
      <c r="Q19" s="155" t="n"/>
    </row>
    <row r="20" ht="24" customHeight="1" s="140">
      <c r="A20" s="60" t="n"/>
      <c r="B20" s="154">
        <f>'실시계획인가_PDF'!A27</f>
        <v/>
      </c>
      <c r="C20" s="135" t="n"/>
      <c r="D20" s="136" t="n"/>
      <c r="E20" s="136" t="n"/>
      <c r="F20" s="136" t="n"/>
      <c r="G20" s="136" t="n"/>
      <c r="H20" s="20" t="n"/>
      <c r="I20" s="20" t="n"/>
      <c r="J20" s="20" t="n"/>
      <c r="K20" s="20" t="n"/>
      <c r="L20" s="20" t="n"/>
      <c r="M20" s="20" t="n"/>
      <c r="N20" s="20" t="n"/>
      <c r="O20" s="61" t="n"/>
      <c r="P20" s="155" t="n"/>
      <c r="Q20" s="155" t="n"/>
    </row>
    <row r="21" ht="24" customHeight="1" s="140">
      <c r="A21" s="60" t="n"/>
      <c r="B21" s="154">
        <f>'실시계획인가_PDF'!A28</f>
        <v/>
      </c>
      <c r="C21" s="135" t="n"/>
      <c r="D21" s="136" t="n"/>
      <c r="E21" s="136" t="n"/>
      <c r="F21" s="136" t="n"/>
      <c r="G21" s="136" t="n"/>
      <c r="H21" s="20" t="n"/>
      <c r="I21" s="20" t="n"/>
      <c r="J21" s="20" t="n"/>
      <c r="K21" s="20" t="n"/>
      <c r="L21" s="20" t="n"/>
      <c r="M21" s="20" t="n"/>
      <c r="N21" s="20" t="n"/>
      <c r="O21" s="61" t="n"/>
      <c r="P21" s="155" t="n"/>
      <c r="Q21" s="155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6" t="inlineStr">
        <is>
          <t>종   별</t>
        </is>
      </c>
      <c r="B2" s="157" t="inlineStr">
        <is>
          <t>규 격</t>
        </is>
      </c>
      <c r="C2" s="157" t="inlineStr">
        <is>
          <t>수  량</t>
        </is>
      </c>
      <c r="D2" s="157" t="inlineStr">
        <is>
          <t>단위</t>
        </is>
      </c>
      <c r="E2" s="158" t="inlineStr">
        <is>
          <t>총      계</t>
        </is>
      </c>
      <c r="F2" s="147" t="n"/>
      <c r="G2" s="158" t="inlineStr">
        <is>
          <t>재     료     비</t>
        </is>
      </c>
      <c r="H2" s="147" t="n"/>
      <c r="I2" s="158" t="inlineStr">
        <is>
          <t>노     무     비</t>
        </is>
      </c>
      <c r="J2" s="147" t="n"/>
      <c r="K2" s="158" t="inlineStr">
        <is>
          <t>경          비</t>
        </is>
      </c>
      <c r="L2" s="147" t="n"/>
      <c r="M2" s="159" t="inlineStr">
        <is>
          <t>비 고</t>
        </is>
      </c>
    </row>
    <row r="3" ht="18" customHeight="1" s="140">
      <c r="A3" s="160" t="n"/>
      <c r="B3" s="161" t="n"/>
      <c r="C3" s="161" t="n"/>
      <c r="D3" s="161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62" t="n"/>
    </row>
    <row r="4" ht="18" customHeight="1" s="140">
      <c r="A4" s="111" t="inlineStr">
        <is>
          <t xml:space="preserve"> 가. 직접인건비</t>
        </is>
      </c>
      <c r="B4" s="163" t="n"/>
      <c r="C4" s="104" t="n"/>
      <c r="D4" s="104" t="n"/>
      <c r="E4" s="105" t="n"/>
      <c r="F4" s="164" t="n"/>
      <c r="G4" s="104" t="n"/>
      <c r="H4" s="104" t="n"/>
      <c r="I4" s="104" t="n"/>
      <c r="J4" s="165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63" t="n"/>
      <c r="C5" s="95" t="n">
        <v>1</v>
      </c>
      <c r="D5" s="104" t="inlineStr">
        <is>
          <t>식</t>
        </is>
      </c>
      <c r="E5" s="105" t="n"/>
      <c r="F5" s="164" t="n"/>
      <c r="G5" s="104" t="n"/>
      <c r="H5" s="104" t="n"/>
      <c r="I5" s="104" t="n"/>
      <c r="J5" s="165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63" t="n"/>
      <c r="C6" s="104" t="n"/>
      <c r="D6" s="104" t="n"/>
      <c r="E6" s="105" t="n"/>
      <c r="F6" s="164" t="n"/>
      <c r="G6" s="105" t="n"/>
      <c r="H6" s="105" t="n"/>
      <c r="I6" s="105" t="n"/>
      <c r="J6" s="165">
        <f>SUM(J5:J5)</f>
        <v/>
      </c>
      <c r="K6" s="105" t="n"/>
      <c r="L6" s="105" t="n"/>
      <c r="M6" s="92" t="n"/>
    </row>
    <row r="7" ht="18" customHeight="1" s="140">
      <c r="A7" s="103" t="n"/>
      <c r="B7" s="163" t="n"/>
      <c r="C7" s="104" t="n"/>
      <c r="D7" s="104" t="n"/>
      <c r="E7" s="105" t="n"/>
      <c r="F7" s="164" t="n"/>
      <c r="G7" s="104" t="n"/>
      <c r="H7" s="104" t="n"/>
      <c r="I7" s="104" t="n"/>
      <c r="J7" s="165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63" t="n"/>
      <c r="C8" s="112" t="n"/>
      <c r="D8" s="18" t="n"/>
      <c r="E8" s="105" t="inlineStr">
        <is>
          <t xml:space="preserve">(직접인건비)x </t>
        </is>
      </c>
      <c r="F8" s="164" t="n"/>
      <c r="G8" s="31">
        <f>P8</f>
        <v/>
      </c>
      <c r="H8" s="32" t="n"/>
      <c r="I8" s="18" t="n"/>
      <c r="J8" s="165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63" t="n"/>
      <c r="C9" s="112" t="n"/>
      <c r="D9" s="18" t="n"/>
      <c r="E9" s="105" t="inlineStr">
        <is>
          <t>(직접인건비+제경비)x</t>
        </is>
      </c>
      <c r="F9" s="164" t="n"/>
      <c r="G9" s="31">
        <f>P9</f>
        <v/>
      </c>
      <c r="H9" s="32" t="n"/>
      <c r="I9" s="33" t="n"/>
      <c r="J9" s="165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63" t="n"/>
      <c r="C10" s="104" t="n"/>
      <c r="D10" s="104" t="n"/>
      <c r="E10" s="105" t="n"/>
      <c r="F10" s="164" t="n"/>
      <c r="G10" s="104" t="n"/>
      <c r="H10" s="104" t="n"/>
      <c r="I10" s="104" t="n"/>
      <c r="J10" s="165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63" t="n"/>
      <c r="C11" s="93" t="n"/>
      <c r="D11" s="104" t="n"/>
      <c r="E11" s="105" t="n"/>
      <c r="F11" s="164" t="n"/>
      <c r="G11" s="104" t="n"/>
      <c r="H11" s="104" t="n"/>
      <c r="I11" s="104" t="n"/>
      <c r="J11" s="165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63" t="n"/>
      <c r="C12" s="37" t="n"/>
      <c r="D12" s="37" t="n"/>
      <c r="E12" s="105" t="n"/>
      <c r="F12" s="164" t="n"/>
      <c r="G12" s="37" t="n"/>
      <c r="H12" s="37" t="n"/>
      <c r="I12" s="37" t="n"/>
      <c r="J12" s="166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63" t="n"/>
      <c r="C13" s="131" t="n"/>
      <c r="D13" s="131" t="n"/>
      <c r="E13" s="132" t="n"/>
      <c r="F13" s="164" t="n"/>
      <c r="G13" s="131" t="n"/>
      <c r="H13" s="131" t="n"/>
      <c r="I13" s="131" t="n"/>
      <c r="J13" s="167">
        <f>ROUNDDOWN(J12,-5)</f>
        <v/>
      </c>
      <c r="K13" s="131" t="n"/>
      <c r="L13" s="131" t="n"/>
      <c r="M13" s="134" t="n"/>
      <c r="N13" s="87" t="n"/>
      <c r="O13" s="168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9" t="n"/>
      <c r="C14" s="94" t="n"/>
      <c r="D14" s="40" t="n"/>
      <c r="E14" s="108" t="n"/>
      <c r="F14" s="170" t="n"/>
      <c r="G14" s="107" t="n"/>
      <c r="H14" s="107" t="n"/>
      <c r="I14" s="107" t="n"/>
      <c r="J14" s="171" t="n"/>
      <c r="K14" s="107" t="n"/>
      <c r="L14" s="107" t="n"/>
      <c r="M14" s="41" t="n"/>
      <c r="N14" s="87" t="n"/>
      <c r="O14" s="172" t="inlineStr">
        <is>
          <t>구   분</t>
        </is>
      </c>
      <c r="P14" s="173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74" t="inlineStr">
        <is>
          <t>기술사</t>
        </is>
      </c>
      <c r="P15" s="175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5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6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7" t="n"/>
      <c r="F18" s="177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6" t="n">
        <v>295138</v>
      </c>
      <c r="Q18" s="178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7" t="n"/>
      <c r="F19" s="177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6" t="n">
        <v>235459</v>
      </c>
      <c r="Q19" s="178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7" t="n"/>
      <c r="F20" s="177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9" t="n">
        <v>281075</v>
      </c>
      <c r="Q20" s="178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7" t="n"/>
      <c r="F21" s="177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9" t="n">
        <v>250087</v>
      </c>
      <c r="Q21" s="178" t="n"/>
      <c r="R21" s="87" t="n"/>
    </row>
    <row r="22" ht="18" customHeight="1" s="140" thickBot="1">
      <c r="A22" s="103" t="n"/>
      <c r="B22" s="18" t="n"/>
      <c r="C22" s="48" t="n"/>
      <c r="D22" s="104" t="n"/>
      <c r="E22" s="177" t="n"/>
      <c r="F22" s="177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80" t="n">
        <v>218142</v>
      </c>
      <c r="Q22" s="181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82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83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83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83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84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84" t="inlineStr">
        <is>
          <t>쪽수</t>
        </is>
      </c>
      <c r="B2" s="0" t="n">
        <v>1</v>
      </c>
    </row>
    <row r="3">
      <c r="A3" s="184" t="inlineStr">
        <is>
          <t>추출일시</t>
        </is>
      </c>
      <c r="B3" s="0" t="inlineStr">
        <is>
          <t>2026-05-12 16:07:50</t>
        </is>
      </c>
    </row>
    <row r="4"/>
    <row r="5">
      <c r="A5" s="185" t="inlineStr">
        <is>
          <t>상단 머릿글</t>
        </is>
      </c>
    </row>
    <row r="6">
      <c r="A6" s="186" t="inlineStr">
        <is>
          <t>국토계획 제12장 사업관리</t>
        </is>
      </c>
    </row>
    <row r="7">
      <c r="A7" s="186" t="inlineStr">
        <is>
          <t>라. 투입인원수 산정기준</t>
        </is>
      </c>
    </row>
    <row r="8">
      <c r="A8" s="186" t="inlineStr">
        <is>
          <t>(1) 도시ㆍ군계획시설사업 실시계획인가</t>
        </is>
      </c>
    </row>
    <row r="9"/>
    <row r="10">
      <c r="A10" s="185" t="inlineStr">
        <is>
          <t>표 1</t>
        </is>
      </c>
    </row>
    <row r="11">
      <c r="A11" s="186" t="inlineStr">
        <is>
          <t>기본업무</t>
        </is>
      </c>
      <c r="B11" s="186" t="inlineStr">
        <is>
          <t>단 위</t>
        </is>
      </c>
      <c r="C11" s="186" t="inlineStr">
        <is>
          <t>기준인원수(인ㆍ일/단위)</t>
        </is>
      </c>
      <c r="D11" s="186" t="inlineStr"/>
      <c r="E11" s="186" t="inlineStr"/>
      <c r="F11" s="186" t="inlineStr"/>
      <c r="G11" s="186" t="inlineStr"/>
      <c r="H11" s="186" t="inlineStr">
        <is>
          <t>환산
계수</t>
        </is>
      </c>
    </row>
    <row r="12">
      <c r="A12" s="186" t="inlineStr"/>
      <c r="B12" s="186" t="inlineStr"/>
      <c r="C12" s="186" t="inlineStr">
        <is>
          <t>기술사</t>
        </is>
      </c>
      <c r="D12" s="186" t="inlineStr">
        <is>
          <t>특 급
기술자</t>
        </is>
      </c>
      <c r="E12" s="186" t="inlineStr">
        <is>
          <t>고 급
기술자</t>
        </is>
      </c>
      <c r="F12" s="186" t="inlineStr">
        <is>
          <t>중 급
기술자</t>
        </is>
      </c>
      <c r="G12" s="186" t="inlineStr">
        <is>
          <t>초 급
기술자</t>
        </is>
      </c>
      <c r="H12" s="186" t="inlineStr"/>
    </row>
    <row r="13">
      <c r="A13" s="186" t="inlineStr">
        <is>
          <t>1. 실시계획 승인도서 작성</t>
        </is>
      </c>
      <c r="B13" s="186" t="inlineStr">
        <is>
          <t>1만㎡</t>
        </is>
      </c>
      <c r="C13" s="186" t="inlineStr">
        <is>
          <t>0.7</t>
        </is>
      </c>
      <c r="D13" s="186" t="inlineStr">
        <is>
          <t>0.6</t>
        </is>
      </c>
      <c r="E13" s="186" t="inlineStr">
        <is>
          <t>1.3</t>
        </is>
      </c>
      <c r="F13" s="186" t="inlineStr">
        <is>
          <t>1.3</t>
        </is>
      </c>
      <c r="G13" s="186" t="inlineStr">
        <is>
          <t>3.5</t>
        </is>
      </c>
      <c r="H13" s="186" t="inlineStr">
        <is>
          <t>①</t>
        </is>
      </c>
    </row>
    <row r="14">
      <c r="A14" s="186" t="inlineStr">
        <is>
          <t>2. 보고서 작성 및 편집</t>
        </is>
      </c>
      <c r="B14" s="186" t="inlineStr">
        <is>
          <t>1만㎡</t>
        </is>
      </c>
      <c r="C14" s="186" t="inlineStr">
        <is>
          <t>0.4</t>
        </is>
      </c>
      <c r="D14" s="186" t="inlineStr">
        <is>
          <t>0.9</t>
        </is>
      </c>
      <c r="E14" s="186" t="inlineStr">
        <is>
          <t>1.8</t>
        </is>
      </c>
      <c r="F14" s="186" t="inlineStr">
        <is>
          <t>1.6</t>
        </is>
      </c>
      <c r="G14" s="186" t="inlineStr">
        <is>
          <t>2.8</t>
        </is>
      </c>
      <c r="H14" s="186" t="inlineStr">
        <is>
          <t>①</t>
        </is>
      </c>
    </row>
    <row r="15">
      <c r="A15" s="186" t="inlineStr">
        <is>
          <t>3. 관련도서 작성</t>
        </is>
      </c>
      <c r="B15" s="186" t="inlineStr">
        <is>
          <t>1만㎡</t>
        </is>
      </c>
      <c r="C15" s="186" t="inlineStr">
        <is>
          <t>0.6</t>
        </is>
      </c>
      <c r="D15" s="186" t="inlineStr">
        <is>
          <t>0.8</t>
        </is>
      </c>
      <c r="E15" s="186" t="inlineStr">
        <is>
          <t>1.4</t>
        </is>
      </c>
      <c r="F15" s="186" t="inlineStr">
        <is>
          <t>1.6</t>
        </is>
      </c>
      <c r="G15" s="186" t="inlineStr">
        <is>
          <t>4.2</t>
        </is>
      </c>
      <c r="H15" s="186" t="inlineStr">
        <is>
          <t>①</t>
        </is>
      </c>
    </row>
    <row r="16">
      <c r="A16" s="186" t="inlineStr">
        <is>
          <t>4. 주민공람</t>
        </is>
      </c>
      <c r="B16" s="186" t="inlineStr">
        <is>
          <t>식</t>
        </is>
      </c>
      <c r="C16" s="186" t="inlineStr">
        <is>
          <t>2.4</t>
        </is>
      </c>
      <c r="D16" s="186" t="inlineStr">
        <is>
          <t>2.5</t>
        </is>
      </c>
      <c r="E16" s="186" t="inlineStr">
        <is>
          <t>2.6</t>
        </is>
      </c>
      <c r="F16" s="186" t="inlineStr">
        <is>
          <t>4.7</t>
        </is>
      </c>
      <c r="G16" s="186" t="inlineStr">
        <is>
          <t>5.1</t>
        </is>
      </c>
      <c r="H16" s="186" t="inlineStr">
        <is>
          <t>②</t>
        </is>
      </c>
    </row>
    <row r="17">
      <c r="A17" s="186" t="inlineStr">
        <is>
          <t>5. 관계기관 협의</t>
        </is>
      </c>
      <c r="B17" s="186" t="inlineStr">
        <is>
          <t>식</t>
        </is>
      </c>
      <c r="C17" s="186" t="inlineStr">
        <is>
          <t>2.4</t>
        </is>
      </c>
      <c r="D17" s="186" t="inlineStr">
        <is>
          <t>2.5</t>
        </is>
      </c>
      <c r="E17" s="186" t="inlineStr">
        <is>
          <t>2.6</t>
        </is>
      </c>
      <c r="F17" s="186" t="inlineStr">
        <is>
          <t>4.7</t>
        </is>
      </c>
      <c r="G17" s="186" t="inlineStr">
        <is>
          <t>5.1</t>
        </is>
      </c>
      <c r="H17" s="186" t="inlineStr">
        <is>
          <t>②</t>
        </is>
      </c>
    </row>
    <row r="18"/>
    <row r="19">
      <c r="A19" s="185" t="inlineStr">
        <is>
          <t>주기</t>
        </is>
      </c>
    </row>
    <row r="20">
      <c r="A20" s="186" t="inlineStr">
        <is>
          <t>주 1) 토지적성평가, 사업인정의제협의, 농지ㆍ산지전용협의, 국공유지무상귀속 등은 별도 산정한다.</t>
        </is>
      </c>
    </row>
    <row r="21">
      <c r="A21" s="186" t="inlineStr">
        <is>
          <t>2) 지하안전영향평가 등 각종 영향성검토 및 각종 영향평가업무는 별도 산정한다.</t>
        </is>
      </c>
    </row>
    <row r="22">
      <c r="A22" s="186" t="inlineStr">
        <is>
          <t>3) 기본설계 및 실시설계, 측량, 토질조사 등 설계 및 조사, 시험은 별도 산정한다.</t>
        </is>
      </c>
    </row>
    <row r="23">
      <c r="A23" s="186" t="inlineStr">
        <is>
          <t>3) 실시계획인가는 도시ㆍ군관리계획 결정 이후 도시ㆍ군계획시설사업 시행 시 적용한다.</t>
        </is>
      </c>
    </row>
    <row r="24">
      <c r="A24" s="186" t="inlineStr">
        <is>
          <t>4) 실시계획인가 업무내용 중 보고서 작성 및 편집은 필요시 적용한다.</t>
        </is>
      </c>
    </row>
    <row r="25">
      <c r="A25" s="186" t="inlineStr">
        <is>
          <t>5) 해당 시설의 종류에 따라 면적(面的)시설 또는 선적(線的)시설로 구분하고, 구분에 따라 규모를 산정하며 기준면적(거리)은</t>
        </is>
      </c>
    </row>
    <row r="26">
      <c r="A26" s="186" t="inlineStr">
        <is>
          <t>1만㎡(1.0km)를 원칙으로 한다.</t>
        </is>
      </c>
    </row>
    <row r="27">
      <c r="A27" s="186" t="inlineStr">
        <is>
          <t>6) 기술협의 단위‘식’이란 인허가 신청 후 승인 고시까지의 업무이며, 고시 이후에는 별도 산정한다.</t>
        </is>
      </c>
    </row>
    <row r="28">
      <c r="A28" s="186" t="inlineStr">
        <is>
          <t>7) 위원회 자문ㆍ심의지원 중 공동심의, 통합심의일 경우 50%를 가산한다.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2026-05-12T07:07:50Z</dcterms:modified>
  <cp:lastModifiedBy>saman</cp:lastModifiedBy>
</cp:coreProperties>
</file>