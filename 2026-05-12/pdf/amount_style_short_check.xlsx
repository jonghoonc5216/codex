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2-6 실시계획인가_금액" sheetId="2" state="visible" r:id="rId2"/>
    <sheet name="12-6 실시계획인가_작업량" sheetId="3" state="visible" r:id="rId3"/>
    <sheet name="12-6 실시계획인가_PDF" sheetId="4" state="visible" r:id="rId4"/>
  </sheets>
  <definedNames>
    <definedName name="_xlnm.Print_Area" localSheetId="1">'12-6 실시계획인가_금액'!$A$1:$M$66</definedName>
    <definedName name="_xlnm.Print_Area" localSheetId="2">'12-6 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9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0" fontId="27" fillId="5" borderId="0" pivotButton="0" quotePrefix="0" xfId="0"/>
    <xf numFmtId="0" fontId="8" fillId="2" borderId="89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77" pivotButton="0" quotePrefix="0" xfId="0"/>
    <xf numFmtId="0" fontId="0" fillId="0" borderId="80" pivotButton="0" quotePrefix="0" xfId="0"/>
    <xf numFmtId="0" fontId="12" fillId="2" borderId="91" applyAlignment="1" pivotButton="0" quotePrefix="0" xfId="3">
      <alignment horizontal="center" vertical="center"/>
    </xf>
    <xf numFmtId="0" fontId="12" fillId="2" borderId="86" applyAlignment="1" pivotButton="0" quotePrefix="0" xfId="3">
      <alignment horizontal="center" vertical="center"/>
    </xf>
    <xf numFmtId="0" fontId="0" fillId="0" borderId="90" pivotButton="0" quotePrefix="0" xfId="0"/>
    <xf numFmtId="0" fontId="7" fillId="2" borderId="82" applyAlignment="1" pivotButton="0" quotePrefix="0" xfId="3">
      <alignment horizontal="center" vertical="center"/>
    </xf>
    <xf numFmtId="0" fontId="7" fillId="2" borderId="83" applyAlignment="1" pivotButton="0" quotePrefix="0" xfId="3">
      <alignment horizontal="center" vertical="center"/>
    </xf>
    <xf numFmtId="0" fontId="7" fillId="2" borderId="87" applyAlignment="1" pivotButton="0" quotePrefix="0" xfId="3">
      <alignment horizontal="center" vertical="center"/>
    </xf>
    <xf numFmtId="0" fontId="7" fillId="6" borderId="14" applyAlignment="1" pivotButton="0" quotePrefix="0" xfId="3">
      <alignment vertical="center"/>
    </xf>
    <xf numFmtId="2" fontId="6" fillId="6" borderId="31" applyAlignment="1" pivotButton="0" quotePrefix="0" xfId="3">
      <alignment vertical="center"/>
    </xf>
    <xf numFmtId="2" fontId="6" fillId="6" borderId="12" applyAlignment="1" pivotButton="0" quotePrefix="0" xfId="3">
      <alignment vertical="center"/>
    </xf>
    <xf numFmtId="2" fontId="6" fillId="6" borderId="84" applyAlignment="1" pivotButton="0" quotePrefix="0" xfId="3">
      <alignment vertical="center"/>
    </xf>
    <xf numFmtId="2" fontId="6" fillId="6" borderId="85" applyAlignment="1" pivotButton="0" quotePrefix="0" xfId="3">
      <alignment vertical="center"/>
    </xf>
    <xf numFmtId="166" fontId="6" fillId="6" borderId="88" applyAlignment="1" pivotButton="0" quotePrefix="0" xfId="3">
      <alignment vertical="center"/>
    </xf>
    <xf numFmtId="0" fontId="12" fillId="0" borderId="92" applyAlignment="1" pivotButton="0" quotePrefix="0" xfId="3">
      <alignment vertical="center" wrapText="1"/>
    </xf>
    <xf numFmtId="2" fontId="6" fillId="0" borderId="93" applyAlignment="1" pivotButton="0" quotePrefix="0" xfId="3">
      <alignment vertical="center"/>
    </xf>
    <xf numFmtId="2" fontId="6" fillId="0" borderId="94" applyAlignment="1" pivotButton="0" quotePrefix="0" xfId="3">
      <alignment vertical="center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166" fontId="28" fillId="0" borderId="97" applyAlignment="1" pivotButton="0" quotePrefix="0" xfId="3">
      <alignment vertical="center"/>
    </xf>
    <xf numFmtId="2" fontId="8" fillId="0" borderId="82" applyAlignment="1" pivotButton="0" quotePrefix="0" xfId="3">
      <alignment vertical="center"/>
    </xf>
    <xf numFmtId="2" fontId="8" fillId="0" borderId="83" applyAlignment="1" pivotButton="0" quotePrefix="0" xfId="3">
      <alignment vertical="center"/>
    </xf>
    <xf numFmtId="0" fontId="6" fillId="0" borderId="87" applyAlignment="1" pivotButton="0" quotePrefix="0" xfId="3">
      <alignment vertical="center"/>
    </xf>
    <xf numFmtId="0" fontId="7" fillId="0" borderId="74" applyAlignment="1" pivotButton="0" quotePrefix="0" xfId="3">
      <alignment vertical="center"/>
    </xf>
    <xf numFmtId="0" fontId="13" fillId="0" borderId="74" applyAlignment="1" pivotButton="0" quotePrefix="0" xfId="3">
      <alignment vertical="center"/>
    </xf>
    <xf numFmtId="0" fontId="10" fillId="0" borderId="74" pivotButton="0" quotePrefix="0" xfId="3"/>
    <xf numFmtId="0" fontId="14" fillId="0" borderId="74" pivotButton="0" quotePrefix="0" xfId="3"/>
    <xf numFmtId="0" fontId="1" fillId="0" borderId="74" pivotButton="0" quotePrefix="0" xfId="0"/>
    <xf numFmtId="2" fontId="6" fillId="0" borderId="74" applyAlignment="1" pivotButton="0" quotePrefix="0" xfId="3">
      <alignment vertical="center"/>
    </xf>
    <xf numFmtId="0" fontId="6" fillId="0" borderId="74" applyAlignment="1" pivotButton="0" quotePrefix="0" xfId="3">
      <alignment vertical="center"/>
    </xf>
    <xf numFmtId="0" fontId="27" fillId="5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4" applyAlignment="1" pivotButton="0" quotePrefix="0" xfId="0">
      <alignment vertical="top"/>
    </xf>
    <xf numFmtId="0" fontId="0" fillId="0" borderId="74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2" customWidth="1" style="140" min="2" max="2"/>
  </cols>
  <sheetData>
    <row r="1">
      <c r="A1" s="254" t="inlineStr">
        <is>
          <t>항목</t>
        </is>
      </c>
      <c r="B1" s="254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 t="inlineStr"/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17:30:27</t>
        </is>
      </c>
    </row>
    <row r="8"/>
    <row r="9">
      <c r="A9" t="inlineStr">
        <is>
          <t>PDF</t>
        </is>
      </c>
      <c r="B9" t="inlineStr">
        <is>
          <t>C:\Users\saman\Desktop\Ai 실습\_새 폴더\12-6 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6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10.625" customWidth="1" style="140" min="9" max="9"/>
    <col width="13" customWidth="1" style="140" min="10" max="10"/>
    <col width="13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12-6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179" t="inlineStr">
        <is>
          <t>■ 엔지니어링 노임단가(2026년_건설)</t>
        </is>
      </c>
      <c r="P3" s="180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189" t="inlineStr">
        <is>
          <t>구   분</t>
        </is>
      </c>
      <c r="P4" s="189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실시계획인가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H16</f>
        <v/>
      </c>
      <c r="I5" s="104" t="n"/>
      <c r="J5" s="104" t="n"/>
      <c r="K5" s="104" t="n"/>
      <c r="L5" s="104" t="n"/>
      <c r="M5" s="92" t="n"/>
      <c r="N5" s="141" t="n"/>
      <c r="O5" s="198" t="inlineStr">
        <is>
          <t>기술사</t>
        </is>
      </c>
      <c r="P5" s="198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190" t="inlineStr">
        <is>
          <t>특급기술자</t>
        </is>
      </c>
      <c r="P6" s="189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190" t="inlineStr">
        <is>
          <t>고급기술자</t>
        </is>
      </c>
      <c r="P7" s="189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152" t="n"/>
      <c r="D8" s="31" t="n">
        <v>1.1</v>
      </c>
      <c r="E8" s="161" t="n"/>
      <c r="F8" s="161">
        <f>ROUNDDOWN(F6*D8,0)</f>
        <v/>
      </c>
      <c r="G8" s="18" t="n"/>
      <c r="H8" s="153" t="n"/>
      <c r="I8" s="162" t="n"/>
      <c r="J8" s="32" t="n"/>
      <c r="K8" s="33" t="n"/>
      <c r="L8" s="34" t="n"/>
      <c r="M8" s="92" t="n"/>
      <c r="N8" s="141" t="n"/>
      <c r="O8" s="190" t="inlineStr">
        <is>
          <t>중급기술자</t>
        </is>
      </c>
      <c r="P8" s="189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164" t="n"/>
      <c r="J9" s="32" t="n"/>
      <c r="K9" s="18" t="n"/>
      <c r="L9" s="18" t="n"/>
      <c r="M9" s="92" t="n"/>
      <c r="N9" s="141" t="n"/>
      <c r="O9" s="190" t="inlineStr">
        <is>
          <t>초급기술자</t>
        </is>
      </c>
      <c r="P9" s="189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190" t="inlineStr">
        <is>
          <t>고급숙련기술자</t>
        </is>
      </c>
      <c r="P10" s="189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00" t="inlineStr">
        <is>
          <t>중급숙련기술자</t>
        </is>
      </c>
      <c r="P11" s="203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00" t="inlineStr">
        <is>
          <t>초급숙련기술자</t>
        </is>
      </c>
      <c r="P12" s="203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181" t="n"/>
      <c r="B14" s="182" t="n"/>
      <c r="C14" s="183" t="n"/>
      <c r="D14" s="184" t="n"/>
      <c r="E14" s="185" t="n"/>
      <c r="F14" s="182" t="n"/>
      <c r="G14" s="186" t="n"/>
      <c r="H14" s="187" t="n"/>
      <c r="I14" s="186" t="n"/>
      <c r="J14" s="186" t="n"/>
      <c r="K14" s="186" t="n"/>
      <c r="L14" s="186" t="n"/>
      <c r="M14" s="188" t="n"/>
      <c r="N14" s="87" t="n"/>
      <c r="O14" s="189" t="n"/>
      <c r="P14" s="189" t="n"/>
      <c r="Q14" s="190" t="n"/>
      <c r="R14" s="87" t="n"/>
    </row>
    <row r="15" ht="24" customHeight="1" s="140">
      <c r="A15" s="213" t="n"/>
      <c r="B15" s="214" t="n"/>
      <c r="C15" s="215" t="n"/>
      <c r="D15" s="216" t="n"/>
      <c r="E15" s="217" t="n"/>
      <c r="F15" s="214" t="n"/>
      <c r="G15" s="218" t="n"/>
      <c r="H15" s="219" t="n"/>
      <c r="I15" s="218" t="n"/>
      <c r="J15" s="218" t="n"/>
      <c r="K15" s="218" t="n"/>
      <c r="L15" s="218" t="n"/>
      <c r="M15" s="220" t="n"/>
      <c r="N15" s="87" t="n"/>
      <c r="O15" s="189" t="n"/>
      <c r="P15" s="189" t="n"/>
      <c r="Q15" s="190" t="n"/>
      <c r="R15" s="87" t="n"/>
    </row>
    <row r="16" ht="24" customHeight="1" s="140">
      <c r="A16" s="221">
        <f>A5</f>
        <v/>
      </c>
      <c r="B16" s="222" t="n"/>
      <c r="C16" s="223" t="n"/>
      <c r="D16" s="224" t="n"/>
      <c r="E16" s="225" t="n"/>
      <c r="F16" s="222" t="n"/>
      <c r="G16" s="226" t="n"/>
      <c r="H16" s="227">
        <f>H17+H18+H19+H20+H21</f>
        <v/>
      </c>
      <c r="I16" s="226" t="n"/>
      <c r="J16" s="226" t="n"/>
      <c r="K16" s="226" t="n"/>
      <c r="L16" s="226" t="n"/>
      <c r="M16" s="228" t="n"/>
      <c r="N16" s="87" t="n"/>
      <c r="O16" s="189" t="n"/>
      <c r="P16" s="189" t="n"/>
      <c r="Q16" s="190" t="n"/>
      <c r="R16" s="87" t="n"/>
    </row>
    <row r="17" ht="18" customHeight="1" s="140">
      <c r="A17" s="236">
        <f>A30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H30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A37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H37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A44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H44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36">
        <f>A51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H51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A58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H58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44" t="n"/>
      <c r="B22" s="245" t="n"/>
      <c r="C22" s="94" t="n"/>
      <c r="D22" s="40" t="n"/>
      <c r="E22" s="108" t="n"/>
      <c r="F22" s="245" t="n"/>
      <c r="G22" s="107" t="n"/>
      <c r="H22" s="102" t="n"/>
      <c r="I22" s="107" t="n"/>
      <c r="J22" s="107" t="n"/>
      <c r="K22" s="107" t="n"/>
      <c r="L22" s="107" t="n"/>
      <c r="M22" s="41" t="n"/>
      <c r="N22" s="87" t="n"/>
      <c r="O22" s="189" t="n"/>
      <c r="P22" s="189" t="n"/>
      <c r="Q22" s="190" t="n"/>
      <c r="R22" s="87" t="n"/>
    </row>
    <row r="23" ht="18" customHeight="1" s="140">
      <c r="A23" s="244" t="n"/>
      <c r="B23" s="245" t="n"/>
      <c r="C23" s="94" t="n"/>
      <c r="D23" s="40" t="n"/>
      <c r="E23" s="108" t="n"/>
      <c r="F23" s="245" t="n"/>
      <c r="G23" s="107" t="n"/>
      <c r="H23" s="102" t="n"/>
      <c r="I23" s="107" t="n"/>
      <c r="J23" s="107" t="n"/>
      <c r="K23" s="107" t="n"/>
      <c r="L23" s="107" t="n"/>
      <c r="M23" s="41" t="n"/>
      <c r="N23" s="87" t="n"/>
      <c r="O23" s="189" t="n"/>
      <c r="P23" s="189" t="n"/>
      <c r="Q23" s="190" t="n"/>
      <c r="R23" s="87" t="n"/>
    </row>
    <row r="24" ht="18" customHeight="1" s="140">
      <c r="A24" s="244" t="n"/>
      <c r="B24" s="245" t="n"/>
      <c r="C24" s="94" t="n"/>
      <c r="D24" s="40" t="n"/>
      <c r="E24" s="108" t="n"/>
      <c r="F24" s="245" t="n"/>
      <c r="G24" s="107" t="n"/>
      <c r="H24" s="102" t="n"/>
      <c r="I24" s="107" t="n"/>
      <c r="J24" s="107" t="n"/>
      <c r="K24" s="107" t="n"/>
      <c r="L24" s="107" t="n"/>
      <c r="M24" s="41" t="n"/>
      <c r="N24" s="87" t="n"/>
      <c r="O24" s="189" t="n"/>
      <c r="P24" s="189" t="n"/>
      <c r="Q24" s="190" t="n"/>
      <c r="R24" s="87" t="n"/>
    </row>
    <row r="25" ht="18" customHeight="1" s="140">
      <c r="A25" s="244" t="n"/>
      <c r="B25" s="245" t="n"/>
      <c r="C25" s="94" t="n"/>
      <c r="D25" s="40" t="n"/>
      <c r="E25" s="108" t="n"/>
      <c r="F25" s="245" t="n"/>
      <c r="G25" s="107" t="n"/>
      <c r="H25" s="102" t="n"/>
      <c r="I25" s="107" t="n"/>
      <c r="J25" s="107" t="n"/>
      <c r="K25" s="107" t="n"/>
      <c r="L25" s="107" t="n"/>
      <c r="M25" s="41" t="n"/>
      <c r="N25" s="87" t="n"/>
      <c r="O25" s="189" t="n"/>
      <c r="P25" s="189" t="n"/>
      <c r="Q25" s="190" t="n"/>
      <c r="R25" s="87" t="n"/>
    </row>
    <row r="26" ht="18" customHeight="1" s="140">
      <c r="A26" s="244" t="n"/>
      <c r="B26" s="245" t="n"/>
      <c r="C26" s="94" t="n"/>
      <c r="D26" s="40" t="n"/>
      <c r="E26" s="108" t="n"/>
      <c r="F26" s="245" t="n"/>
      <c r="G26" s="107" t="n"/>
      <c r="H26" s="102" t="n"/>
      <c r="I26" s="107" t="n"/>
      <c r="J26" s="107" t="n"/>
      <c r="K26" s="107" t="n"/>
      <c r="L26" s="107" t="n"/>
      <c r="M26" s="41" t="n"/>
      <c r="N26" s="87" t="n"/>
      <c r="O26" s="189" t="n"/>
      <c r="P26" s="189" t="n"/>
      <c r="Q26" s="190" t="n"/>
      <c r="R26" s="87" t="n"/>
    </row>
    <row r="27" ht="18" customHeight="1" s="140">
      <c r="A27" s="244" t="n"/>
      <c r="B27" s="245" t="n"/>
      <c r="C27" s="94" t="n"/>
      <c r="D27" s="40" t="n"/>
      <c r="E27" s="108" t="n"/>
      <c r="F27" s="245" t="n"/>
      <c r="G27" s="107" t="n"/>
      <c r="H27" s="102" t="n"/>
      <c r="I27" s="107" t="n"/>
      <c r="J27" s="107" t="n"/>
      <c r="K27" s="107" t="n"/>
      <c r="L27" s="107" t="n"/>
      <c r="M27" s="41" t="n"/>
      <c r="N27" s="87" t="n"/>
      <c r="O27" s="189" t="n"/>
      <c r="P27" s="189" t="n"/>
      <c r="Q27" s="190" t="n"/>
      <c r="R27" s="87" t="n"/>
    </row>
    <row r="28" ht="18" customHeight="1" s="140">
      <c r="A28" s="244" t="n"/>
      <c r="B28" s="245" t="n"/>
      <c r="C28" s="94" t="n"/>
      <c r="D28" s="40" t="n"/>
      <c r="E28" s="108" t="n"/>
      <c r="F28" s="245" t="n"/>
      <c r="G28" s="107" t="n"/>
      <c r="H28" s="102" t="n"/>
      <c r="I28" s="107" t="n"/>
      <c r="J28" s="107" t="n"/>
      <c r="K28" s="107" t="n"/>
      <c r="L28" s="107" t="n"/>
      <c r="M28" s="41" t="n"/>
      <c r="N28" s="87" t="n"/>
      <c r="O28" s="189" t="n"/>
      <c r="P28" s="189" t="n"/>
      <c r="Q28" s="190" t="n"/>
      <c r="R28" s="87" t="n"/>
    </row>
    <row r="29" ht="24" customHeight="1" s="140">
      <c r="A29" s="221">
        <f>A5</f>
        <v/>
      </c>
      <c r="B29" s="246" t="n"/>
      <c r="C29" s="247" t="n"/>
      <c r="D29" s="247" t="n"/>
      <c r="E29" s="248" t="n"/>
      <c r="F29" s="246" t="n"/>
      <c r="G29" s="247" t="n"/>
      <c r="H29" s="227">
        <f>H30+H37+H44+H51+H58</f>
        <v/>
      </c>
      <c r="I29" s="247" t="n"/>
      <c r="J29" s="247" t="n"/>
      <c r="K29" s="247" t="n"/>
      <c r="L29" s="247" t="n"/>
      <c r="M29" s="249" t="n"/>
      <c r="N29" s="141" t="n"/>
      <c r="O29" s="198" t="n"/>
      <c r="P29" s="198" t="n"/>
      <c r="Q29" s="199" t="n"/>
      <c r="R29" s="141" t="n"/>
    </row>
    <row r="30" ht="18" customHeight="1" s="140">
      <c r="A30" s="47">
        <f>'12-6 실시계획인가_작업량'!A9</f>
        <v/>
      </c>
      <c r="B30" s="18" t="n"/>
      <c r="C30" s="48" t="n"/>
      <c r="D30" s="18" t="n"/>
      <c r="E30" s="18" t="n"/>
      <c r="F30" s="18" t="n"/>
      <c r="G30" s="18" t="n"/>
      <c r="H30" s="95">
        <f>SUM(H31:H35)</f>
        <v/>
      </c>
      <c r="I30" s="18" t="n"/>
      <c r="J30" s="18" t="n"/>
      <c r="K30" s="18" t="n"/>
      <c r="L30" s="18" t="n"/>
      <c r="M30" s="36" t="n"/>
      <c r="N30" s="87" t="n"/>
      <c r="O30" s="190" t="n"/>
      <c r="P30" s="189" t="n"/>
      <c r="Q30" s="200" t="n"/>
      <c r="R30" s="87" t="n"/>
    </row>
    <row r="31" ht="18" customHeight="1" s="140">
      <c r="A31" s="103" t="inlineStr">
        <is>
          <t>기  술  사</t>
        </is>
      </c>
      <c r="B31" s="18" t="n"/>
      <c r="C31" s="48">
        <f>'12-6 실시계획인가_작업량'!H9</f>
        <v/>
      </c>
      <c r="D31" s="104" t="inlineStr">
        <is>
          <t>인</t>
        </is>
      </c>
      <c r="E31" s="18" t="n"/>
      <c r="F31" s="18" t="n"/>
      <c r="G31" s="95">
        <f>$P$5</f>
        <v/>
      </c>
      <c r="H31" s="95">
        <f>ROUNDDOWN(G31*C31,0)</f>
        <v/>
      </c>
      <c r="I31" s="18" t="n"/>
      <c r="J31" s="18" t="n"/>
      <c r="K31" s="18" t="n"/>
      <c r="L31" s="18" t="n"/>
      <c r="M31" s="36" t="n"/>
      <c r="N31" s="87" t="n"/>
      <c r="O31" s="190" t="n"/>
      <c r="P31" s="189" t="n"/>
      <c r="Q31" s="200" t="n"/>
      <c r="R31" s="87" t="n"/>
    </row>
    <row r="32" ht="18" customHeight="1" s="140">
      <c r="A32" s="103" t="inlineStr">
        <is>
          <t>특급기술자</t>
        </is>
      </c>
      <c r="B32" s="18" t="n"/>
      <c r="C32" s="48">
        <f>'12-6 실시계획인가_작업량'!I9</f>
        <v/>
      </c>
      <c r="D32" s="104" t="inlineStr">
        <is>
          <t>인</t>
        </is>
      </c>
      <c r="E32" s="201" t="n"/>
      <c r="F32" s="201" t="n"/>
      <c r="G32" s="95">
        <f>$P$6</f>
        <v/>
      </c>
      <c r="H32" s="95">
        <f>ROUNDDOWN(G32*C32,0)</f>
        <v/>
      </c>
      <c r="I32" s="18" t="n"/>
      <c r="J32" s="18" t="n"/>
      <c r="K32" s="18" t="n"/>
      <c r="L32" s="18" t="n"/>
      <c r="M32" s="36" t="n"/>
      <c r="N32" s="87" t="n"/>
      <c r="O32" s="190" t="n"/>
      <c r="P32" s="189" t="n"/>
      <c r="Q32" s="202" t="n"/>
      <c r="R32" s="87" t="n"/>
    </row>
    <row r="33" ht="18" customHeight="1" s="140">
      <c r="A33" s="103" t="inlineStr">
        <is>
          <t>고급기술자</t>
        </is>
      </c>
      <c r="B33" s="18" t="n"/>
      <c r="C33" s="48">
        <f>'12-6 실시계획인가_작업량'!J9</f>
        <v/>
      </c>
      <c r="D33" s="104" t="inlineStr">
        <is>
          <t>인</t>
        </is>
      </c>
      <c r="E33" s="201" t="n"/>
      <c r="F33" s="201" t="n"/>
      <c r="G33" s="95">
        <f>$P$7</f>
        <v/>
      </c>
      <c r="H33" s="95">
        <f>ROUNDDOWN(G33*C33,0)</f>
        <v/>
      </c>
      <c r="I33" s="18" t="n"/>
      <c r="J33" s="18" t="n"/>
      <c r="K33" s="18" t="n"/>
      <c r="L33" s="18" t="n"/>
      <c r="M33" s="36" t="n"/>
      <c r="N33" s="87" t="n"/>
      <c r="O33" s="190" t="n"/>
      <c r="P33" s="189" t="n"/>
      <c r="Q33" s="202" t="n"/>
      <c r="R33" s="87" t="n"/>
    </row>
    <row r="34" ht="18" customHeight="1" s="140">
      <c r="A34" s="103" t="inlineStr">
        <is>
          <t>중급기술자</t>
        </is>
      </c>
      <c r="B34" s="18" t="n"/>
      <c r="C34" s="48">
        <f>'12-6 실시계획인가_작업량'!K9</f>
        <v/>
      </c>
      <c r="D34" s="104" t="inlineStr">
        <is>
          <t>인</t>
        </is>
      </c>
      <c r="E34" s="201" t="n"/>
      <c r="F34" s="201" t="n"/>
      <c r="G34" s="95">
        <f>$P$8</f>
        <v/>
      </c>
      <c r="H34" s="95">
        <f>ROUNDDOWN(G34*C34,0)</f>
        <v/>
      </c>
      <c r="I34" s="18" t="n"/>
      <c r="J34" s="18" t="n"/>
      <c r="K34" s="18" t="n"/>
      <c r="L34" s="18" t="n"/>
      <c r="M34" s="36" t="n"/>
      <c r="N34" s="87" t="n"/>
      <c r="O34" s="200" t="n"/>
      <c r="P34" s="203" t="n"/>
      <c r="Q34" s="202" t="n"/>
      <c r="R34" s="87" t="n"/>
    </row>
    <row r="35" ht="18" customHeight="1" s="140">
      <c r="A35" s="103" t="inlineStr">
        <is>
          <t>초급기술자</t>
        </is>
      </c>
      <c r="B35" s="18" t="n"/>
      <c r="C35" s="48">
        <f>'12-6 실시계획인가_작업량'!L9</f>
        <v/>
      </c>
      <c r="D35" s="104" t="inlineStr">
        <is>
          <t>인</t>
        </is>
      </c>
      <c r="E35" s="201" t="n"/>
      <c r="F35" s="201" t="n"/>
      <c r="G35" s="95">
        <f>$P$9</f>
        <v/>
      </c>
      <c r="H35" s="95">
        <f>ROUNDDOWN(G35*C35,0)</f>
        <v/>
      </c>
      <c r="I35" s="18" t="n"/>
      <c r="J35" s="18" t="n"/>
      <c r="K35" s="18" t="n"/>
      <c r="L35" s="18" t="n"/>
      <c r="M35" s="36" t="n"/>
      <c r="N35" s="87" t="n"/>
      <c r="O35" s="200" t="n"/>
      <c r="P35" s="203" t="n"/>
      <c r="Q35" s="202" t="n"/>
      <c r="R35" s="87" t="n"/>
    </row>
    <row r="36" ht="18" customHeight="1" s="140">
      <c r="A36" s="244" t="n"/>
      <c r="B36" s="245" t="n"/>
      <c r="C36" s="94" t="n"/>
      <c r="D36" s="40" t="n"/>
      <c r="E36" s="108" t="n"/>
      <c r="F36" s="245" t="n"/>
      <c r="G36" s="107" t="n"/>
      <c r="H36" s="102" t="n"/>
      <c r="I36" s="107" t="n"/>
      <c r="J36" s="107" t="n"/>
      <c r="K36" s="107" t="n"/>
      <c r="L36" s="107" t="n"/>
      <c r="M36" s="41" t="n"/>
      <c r="N36" s="87" t="n"/>
      <c r="O36" s="189" t="n"/>
      <c r="P36" s="189" t="n"/>
      <c r="Q36" s="190" t="n"/>
      <c r="R36" s="87" t="n"/>
    </row>
    <row r="37" ht="18" customHeight="1" s="140">
      <c r="A37" s="47">
        <f>'12-6 실시계획인가_작업량'!A10</f>
        <v/>
      </c>
      <c r="B37" s="18" t="n"/>
      <c r="C37" s="48" t="n"/>
      <c r="D37" s="18" t="n"/>
      <c r="E37" s="18" t="n"/>
      <c r="F37" s="18" t="n"/>
      <c r="G37" s="18" t="n"/>
      <c r="H37" s="95">
        <f>SUM(H38:H42)</f>
        <v/>
      </c>
      <c r="I37" s="18" t="n"/>
      <c r="J37" s="18" t="n"/>
      <c r="K37" s="18" t="n"/>
      <c r="L37" s="18" t="n"/>
      <c r="M37" s="36" t="n"/>
      <c r="N37" s="87" t="n"/>
      <c r="O37" s="190" t="n"/>
      <c r="P37" s="189" t="n"/>
      <c r="Q37" s="200" t="n"/>
      <c r="R37" s="87" t="n"/>
    </row>
    <row r="38" ht="18" customHeight="1" s="140">
      <c r="A38" s="103" t="inlineStr">
        <is>
          <t>기  술  사</t>
        </is>
      </c>
      <c r="B38" s="18" t="n"/>
      <c r="C38" s="48">
        <f>'12-6 실시계획인가_작업량'!H10</f>
        <v/>
      </c>
      <c r="D38" s="104" t="inlineStr">
        <is>
          <t>인</t>
        </is>
      </c>
      <c r="E38" s="18" t="n"/>
      <c r="F38" s="18" t="n"/>
      <c r="G38" s="95">
        <f>$P$5</f>
        <v/>
      </c>
      <c r="H38" s="95">
        <f>ROUNDDOWN(G38*C38,0)</f>
        <v/>
      </c>
      <c r="I38" s="18" t="n"/>
      <c r="J38" s="18" t="n"/>
      <c r="K38" s="18" t="n"/>
      <c r="L38" s="18" t="n"/>
      <c r="M38" s="36" t="n"/>
      <c r="N38" s="87" t="n"/>
      <c r="O38" s="190" t="n"/>
      <c r="P38" s="189" t="n"/>
      <c r="Q38" s="200" t="n"/>
      <c r="R38" s="87" t="n"/>
    </row>
    <row r="39" ht="18" customHeight="1" s="140">
      <c r="A39" s="103" t="inlineStr">
        <is>
          <t>특급기술자</t>
        </is>
      </c>
      <c r="B39" s="18" t="n"/>
      <c r="C39" s="48">
        <f>'12-6 실시계획인가_작업량'!I10</f>
        <v/>
      </c>
      <c r="D39" s="104" t="inlineStr">
        <is>
          <t>인</t>
        </is>
      </c>
      <c r="E39" s="201" t="n"/>
      <c r="F39" s="201" t="n"/>
      <c r="G39" s="95">
        <f>$P$6</f>
        <v/>
      </c>
      <c r="H39" s="95">
        <f>ROUNDDOWN(G39*C39,0)</f>
        <v/>
      </c>
      <c r="I39" s="18" t="n"/>
      <c r="J39" s="18" t="n"/>
      <c r="K39" s="18" t="n"/>
      <c r="L39" s="18" t="n"/>
      <c r="M39" s="36" t="n"/>
      <c r="N39" s="87" t="n"/>
      <c r="O39" s="190" t="n"/>
      <c r="P39" s="189" t="n"/>
      <c r="Q39" s="202" t="n"/>
      <c r="R39" s="87" t="n"/>
    </row>
    <row r="40" ht="18" customHeight="1" s="140">
      <c r="A40" s="103" t="inlineStr">
        <is>
          <t>고급기술자</t>
        </is>
      </c>
      <c r="B40" s="18" t="n"/>
      <c r="C40" s="48">
        <f>'12-6 실시계획인가_작업량'!J10</f>
        <v/>
      </c>
      <c r="D40" s="104" t="inlineStr">
        <is>
          <t>인</t>
        </is>
      </c>
      <c r="E40" s="201" t="n"/>
      <c r="F40" s="201" t="n"/>
      <c r="G40" s="95">
        <f>$P$7</f>
        <v/>
      </c>
      <c r="H40" s="95">
        <f>ROUNDDOWN(G40*C40,0)</f>
        <v/>
      </c>
      <c r="I40" s="18" t="n"/>
      <c r="J40" s="18" t="n"/>
      <c r="K40" s="18" t="n"/>
      <c r="L40" s="18" t="n"/>
      <c r="M40" s="36" t="n"/>
      <c r="N40" s="87" t="n"/>
      <c r="O40" s="190" t="n"/>
      <c r="P40" s="189" t="n"/>
      <c r="Q40" s="202" t="n"/>
      <c r="R40" s="87" t="n"/>
    </row>
    <row r="41" ht="18" customHeight="1" s="140">
      <c r="A41" s="103" t="inlineStr">
        <is>
          <t>중급기술자</t>
        </is>
      </c>
      <c r="B41" s="18" t="n"/>
      <c r="C41" s="48">
        <f>'12-6 실시계획인가_작업량'!K10</f>
        <v/>
      </c>
      <c r="D41" s="104" t="inlineStr">
        <is>
          <t>인</t>
        </is>
      </c>
      <c r="E41" s="201" t="n"/>
      <c r="F41" s="201" t="n"/>
      <c r="G41" s="95">
        <f>$P$8</f>
        <v/>
      </c>
      <c r="H41" s="95">
        <f>ROUNDDOWN(G41*C41,0)</f>
        <v/>
      </c>
      <c r="I41" s="18" t="n"/>
      <c r="J41" s="18" t="n"/>
      <c r="K41" s="18" t="n"/>
      <c r="L41" s="18" t="n"/>
      <c r="M41" s="36" t="n"/>
      <c r="N41" s="87" t="n"/>
      <c r="O41" s="200" t="n"/>
      <c r="P41" s="203" t="n"/>
      <c r="Q41" s="202" t="n"/>
      <c r="R41" s="87" t="n"/>
    </row>
    <row r="42" ht="18" customHeight="1" s="140">
      <c r="A42" s="103" t="inlineStr">
        <is>
          <t>초급기술자</t>
        </is>
      </c>
      <c r="B42" s="18" t="n"/>
      <c r="C42" s="48">
        <f>'12-6 실시계획인가_작업량'!L10</f>
        <v/>
      </c>
      <c r="D42" s="104" t="inlineStr">
        <is>
          <t>인</t>
        </is>
      </c>
      <c r="E42" s="201" t="n"/>
      <c r="F42" s="201" t="n"/>
      <c r="G42" s="95">
        <f>$P$9</f>
        <v/>
      </c>
      <c r="H42" s="95">
        <f>ROUNDDOWN(G42*C42,0)</f>
        <v/>
      </c>
      <c r="I42" s="18" t="n"/>
      <c r="J42" s="18" t="n"/>
      <c r="K42" s="18" t="n"/>
      <c r="L42" s="18" t="n"/>
      <c r="M42" s="36" t="n"/>
      <c r="N42" s="87" t="n"/>
      <c r="O42" s="200" t="n"/>
      <c r="P42" s="203" t="n"/>
      <c r="Q42" s="202" t="n"/>
      <c r="R42" s="87" t="n"/>
    </row>
    <row r="43" ht="18" customHeight="1" s="140">
      <c r="A43" s="244" t="n"/>
      <c r="B43" s="245" t="n"/>
      <c r="C43" s="94" t="n"/>
      <c r="D43" s="40" t="n"/>
      <c r="E43" s="108" t="n"/>
      <c r="F43" s="245" t="n"/>
      <c r="G43" s="107" t="n"/>
      <c r="H43" s="102" t="n"/>
      <c r="I43" s="107" t="n"/>
      <c r="J43" s="107" t="n"/>
      <c r="K43" s="107" t="n"/>
      <c r="L43" s="107" t="n"/>
      <c r="M43" s="41" t="n"/>
      <c r="N43" s="87" t="n"/>
      <c r="O43" s="189" t="n"/>
      <c r="P43" s="189" t="n"/>
      <c r="Q43" s="190" t="n"/>
      <c r="R43" s="87" t="n"/>
    </row>
    <row r="44" ht="18" customHeight="1" s="140">
      <c r="A44" s="47">
        <f>'12-6 실시계획인가_작업량'!A11</f>
        <v/>
      </c>
      <c r="B44" s="18" t="n"/>
      <c r="C44" s="48" t="n"/>
      <c r="D44" s="18" t="n"/>
      <c r="E44" s="18" t="n"/>
      <c r="F44" s="18" t="n"/>
      <c r="G44" s="18" t="n"/>
      <c r="H44" s="95">
        <f>SUM(H45:H49)</f>
        <v/>
      </c>
      <c r="I44" s="18" t="n"/>
      <c r="J44" s="18" t="n"/>
      <c r="K44" s="18" t="n"/>
      <c r="L44" s="18" t="n"/>
      <c r="M44" s="36" t="n"/>
      <c r="N44" s="87" t="n"/>
      <c r="O44" s="190" t="n"/>
      <c r="P44" s="189" t="n"/>
      <c r="Q44" s="200" t="n"/>
      <c r="R44" s="87" t="n"/>
    </row>
    <row r="45" ht="18" customHeight="1" s="140">
      <c r="A45" s="103" t="inlineStr">
        <is>
          <t>기  술  사</t>
        </is>
      </c>
      <c r="B45" s="18" t="n"/>
      <c r="C45" s="48">
        <f>'12-6 실시계획인가_작업량'!H11</f>
        <v/>
      </c>
      <c r="D45" s="104" t="inlineStr">
        <is>
          <t>인</t>
        </is>
      </c>
      <c r="E45" s="18" t="n"/>
      <c r="F45" s="18" t="n"/>
      <c r="G45" s="95">
        <f>$P$5</f>
        <v/>
      </c>
      <c r="H45" s="95">
        <f>ROUNDDOWN(G45*C45,0)</f>
        <v/>
      </c>
      <c r="I45" s="18" t="n"/>
      <c r="J45" s="18" t="n"/>
      <c r="K45" s="18" t="n"/>
      <c r="L45" s="18" t="n"/>
      <c r="M45" s="36" t="n"/>
      <c r="N45" s="87" t="n"/>
      <c r="O45" s="190" t="n"/>
      <c r="P45" s="189" t="n"/>
      <c r="Q45" s="200" t="n"/>
      <c r="R45" s="87" t="n"/>
    </row>
    <row r="46" ht="18" customHeight="1" s="140">
      <c r="A46" s="103" t="inlineStr">
        <is>
          <t>특급기술자</t>
        </is>
      </c>
      <c r="B46" s="18" t="n"/>
      <c r="C46" s="48">
        <f>'12-6 실시계획인가_작업량'!I11</f>
        <v/>
      </c>
      <c r="D46" s="104" t="inlineStr">
        <is>
          <t>인</t>
        </is>
      </c>
      <c r="E46" s="201" t="n"/>
      <c r="F46" s="201" t="n"/>
      <c r="G46" s="95">
        <f>$P$6</f>
        <v/>
      </c>
      <c r="H46" s="95">
        <f>ROUNDDOWN(G46*C46,0)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2" t="n"/>
      <c r="R46" s="87" t="n"/>
    </row>
    <row r="47" ht="18" customHeight="1" s="140">
      <c r="A47" s="103" t="inlineStr">
        <is>
          <t>고급기술자</t>
        </is>
      </c>
      <c r="B47" s="18" t="n"/>
      <c r="C47" s="48">
        <f>'12-6 실시계획인가_작업량'!J11</f>
        <v/>
      </c>
      <c r="D47" s="104" t="inlineStr">
        <is>
          <t>인</t>
        </is>
      </c>
      <c r="E47" s="201" t="n"/>
      <c r="F47" s="201" t="n"/>
      <c r="G47" s="95">
        <f>$P$7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2" t="n"/>
      <c r="R47" s="87" t="n"/>
    </row>
    <row r="48" ht="18" customHeight="1" s="140">
      <c r="A48" s="103" t="inlineStr">
        <is>
          <t>중급기술자</t>
        </is>
      </c>
      <c r="B48" s="18" t="n"/>
      <c r="C48" s="48">
        <f>'12-6 실시계획인가_작업량'!K11</f>
        <v/>
      </c>
      <c r="D48" s="104" t="inlineStr">
        <is>
          <t>인</t>
        </is>
      </c>
      <c r="E48" s="201" t="n"/>
      <c r="F48" s="201" t="n"/>
      <c r="G48" s="95">
        <f>$P$8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200" t="n"/>
      <c r="P48" s="203" t="n"/>
      <c r="Q48" s="202" t="n"/>
      <c r="R48" s="87" t="n"/>
    </row>
    <row r="49" ht="18" customHeight="1" s="140">
      <c r="A49" s="103" t="inlineStr">
        <is>
          <t>초급기술자</t>
        </is>
      </c>
      <c r="B49" s="18" t="n"/>
      <c r="C49" s="48">
        <f>'12-6 실시계획인가_작업량'!L11</f>
        <v/>
      </c>
      <c r="D49" s="104" t="inlineStr">
        <is>
          <t>인</t>
        </is>
      </c>
      <c r="E49" s="201" t="n"/>
      <c r="F49" s="201" t="n"/>
      <c r="G49" s="95">
        <f>$P$9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200" t="n"/>
      <c r="P49" s="203" t="n"/>
      <c r="Q49" s="202" t="n"/>
      <c r="R49" s="87" t="n"/>
    </row>
    <row r="50" ht="18" customHeight="1" s="140">
      <c r="A50" s="244" t="n"/>
      <c r="B50" s="245" t="n"/>
      <c r="C50" s="94" t="n"/>
      <c r="D50" s="40" t="n"/>
      <c r="E50" s="108" t="n"/>
      <c r="F50" s="245" t="n"/>
      <c r="G50" s="107" t="n"/>
      <c r="H50" s="102" t="n"/>
      <c r="I50" s="107" t="n"/>
      <c r="J50" s="107" t="n"/>
      <c r="K50" s="107" t="n"/>
      <c r="L50" s="107" t="n"/>
      <c r="M50" s="41" t="n"/>
      <c r="N50" s="87" t="n"/>
      <c r="O50" s="189" t="n"/>
      <c r="P50" s="189" t="n"/>
      <c r="Q50" s="190" t="n"/>
      <c r="R50" s="87" t="n"/>
    </row>
    <row r="51" ht="18" customHeight="1" s="140">
      <c r="A51" s="47">
        <f>'12-6 실시계획인가_작업량'!A12</f>
        <v/>
      </c>
      <c r="B51" s="18" t="n"/>
      <c r="C51" s="48" t="n"/>
      <c r="D51" s="18" t="n"/>
      <c r="E51" s="18" t="n"/>
      <c r="F51" s="18" t="n"/>
      <c r="G51" s="18" t="n"/>
      <c r="H51" s="95">
        <f>SUM(H52:H56)</f>
        <v/>
      </c>
      <c r="I51" s="18" t="n"/>
      <c r="J51" s="18" t="n"/>
      <c r="K51" s="18" t="n"/>
      <c r="L51" s="18" t="n"/>
      <c r="M51" s="36" t="n"/>
      <c r="N51" s="87" t="n"/>
      <c r="O51" s="190" t="n"/>
      <c r="P51" s="189" t="n"/>
      <c r="Q51" s="200" t="n"/>
      <c r="R51" s="87" t="n"/>
    </row>
    <row r="52" ht="18" customHeight="1" s="140">
      <c r="A52" s="103" t="inlineStr">
        <is>
          <t>기  술  사</t>
        </is>
      </c>
      <c r="B52" s="18" t="n"/>
      <c r="C52" s="48">
        <f>'12-6 실시계획인가_작업량'!H12</f>
        <v/>
      </c>
      <c r="D52" s="104" t="inlineStr">
        <is>
          <t>인</t>
        </is>
      </c>
      <c r="E52" s="18" t="n"/>
      <c r="F52" s="18" t="n"/>
      <c r="G52" s="95">
        <f>$P$5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0" t="n"/>
      <c r="R52" s="87" t="n"/>
    </row>
    <row r="53" ht="18" customHeight="1" s="140">
      <c r="A53" s="103" t="inlineStr">
        <is>
          <t>특급기술자</t>
        </is>
      </c>
      <c r="B53" s="18" t="n"/>
      <c r="C53" s="48">
        <f>'12-6 실시계획인가_작업량'!I12</f>
        <v/>
      </c>
      <c r="D53" s="104" t="inlineStr">
        <is>
          <t>인</t>
        </is>
      </c>
      <c r="E53" s="201" t="n"/>
      <c r="F53" s="201" t="n"/>
      <c r="G53" s="95">
        <f>$P$6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2" t="n"/>
      <c r="R53" s="87" t="n"/>
    </row>
    <row r="54" ht="18" customHeight="1" s="140">
      <c r="A54" s="103" t="inlineStr">
        <is>
          <t>고급기술자</t>
        </is>
      </c>
      <c r="B54" s="18" t="n"/>
      <c r="C54" s="48">
        <f>'12-6 실시계획인가_작업량'!J12</f>
        <v/>
      </c>
      <c r="D54" s="104" t="inlineStr">
        <is>
          <t>인</t>
        </is>
      </c>
      <c r="E54" s="201" t="n"/>
      <c r="F54" s="201" t="n"/>
      <c r="G54" s="95">
        <f>$P$7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2" t="n"/>
      <c r="R54" s="87" t="n"/>
    </row>
    <row r="55" ht="18" customHeight="1" s="140">
      <c r="A55" s="103" t="inlineStr">
        <is>
          <t>중급기술자</t>
        </is>
      </c>
      <c r="B55" s="18" t="n"/>
      <c r="C55" s="48">
        <f>'12-6 실시계획인가_작업량'!K12</f>
        <v/>
      </c>
      <c r="D55" s="104" t="inlineStr">
        <is>
          <t>인</t>
        </is>
      </c>
      <c r="E55" s="201" t="n"/>
      <c r="F55" s="201" t="n"/>
      <c r="G55" s="95">
        <f>$P$8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200" t="n"/>
      <c r="P55" s="203" t="n"/>
      <c r="Q55" s="202" t="n"/>
      <c r="R55" s="87" t="n"/>
    </row>
    <row r="56" ht="18" customHeight="1" s="140">
      <c r="A56" s="103" t="inlineStr">
        <is>
          <t>초급기술자</t>
        </is>
      </c>
      <c r="B56" s="18" t="n"/>
      <c r="C56" s="48">
        <f>'12-6 실시계획인가_작업량'!L12</f>
        <v/>
      </c>
      <c r="D56" s="104" t="inlineStr">
        <is>
          <t>인</t>
        </is>
      </c>
      <c r="E56" s="201" t="n"/>
      <c r="F56" s="201" t="n"/>
      <c r="G56" s="95">
        <f>$P$9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200" t="n"/>
      <c r="P56" s="203" t="n"/>
      <c r="Q56" s="202" t="n"/>
      <c r="R56" s="87" t="n"/>
    </row>
    <row r="57" ht="18" customHeight="1" s="140">
      <c r="A57" s="244" t="n"/>
      <c r="B57" s="245" t="n"/>
      <c r="C57" s="94" t="n"/>
      <c r="D57" s="40" t="n"/>
      <c r="E57" s="108" t="n"/>
      <c r="F57" s="245" t="n"/>
      <c r="G57" s="107" t="n"/>
      <c r="H57" s="102" t="n"/>
      <c r="I57" s="107" t="n"/>
      <c r="J57" s="107" t="n"/>
      <c r="K57" s="107" t="n"/>
      <c r="L57" s="107" t="n"/>
      <c r="M57" s="41" t="n"/>
      <c r="N57" s="87" t="n"/>
      <c r="O57" s="189" t="n"/>
      <c r="P57" s="189" t="n"/>
      <c r="Q57" s="190" t="n"/>
      <c r="R57" s="87" t="n"/>
    </row>
    <row r="58" ht="18" customHeight="1" s="140">
      <c r="A58" s="47">
        <f>'12-6 실시계획인가_작업량'!A13</f>
        <v/>
      </c>
      <c r="B58" s="18" t="n"/>
      <c r="C58" s="48" t="n"/>
      <c r="D58" s="18" t="n"/>
      <c r="E58" s="18" t="n"/>
      <c r="F58" s="18" t="n"/>
      <c r="G58" s="18" t="n"/>
      <c r="H58" s="95">
        <f>SUM(H59:H63)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기  술  사</t>
        </is>
      </c>
      <c r="B59" s="18" t="n"/>
      <c r="C59" s="48">
        <f>'12-6 실시계획인가_작업량'!H13</f>
        <v/>
      </c>
      <c r="D59" s="104" t="inlineStr">
        <is>
          <t>인</t>
        </is>
      </c>
      <c r="E59" s="18" t="n"/>
      <c r="F59" s="18" t="n"/>
      <c r="G59" s="95">
        <f>$P$5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특급기술자</t>
        </is>
      </c>
      <c r="B60" s="18" t="n"/>
      <c r="C60" s="48">
        <f>'12-6 실시계획인가_작업량'!I13</f>
        <v/>
      </c>
      <c r="D60" s="104" t="inlineStr">
        <is>
          <t>인</t>
        </is>
      </c>
      <c r="E60" s="201" t="n"/>
      <c r="F60" s="201" t="n"/>
      <c r="G60" s="95">
        <f>$P$6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고급기술자</t>
        </is>
      </c>
      <c r="B61" s="18" t="n"/>
      <c r="C61" s="48">
        <f>'12-6 실시계획인가_작업량'!J13</f>
        <v/>
      </c>
      <c r="D61" s="104" t="inlineStr">
        <is>
          <t>인</t>
        </is>
      </c>
      <c r="E61" s="201" t="n"/>
      <c r="F61" s="201" t="n"/>
      <c r="G61" s="95">
        <f>$P$7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중급기술자</t>
        </is>
      </c>
      <c r="B62" s="18" t="n"/>
      <c r="C62" s="48">
        <f>'12-6 실시계획인가_작업량'!K13</f>
        <v/>
      </c>
      <c r="D62" s="104" t="inlineStr">
        <is>
          <t>인</t>
        </is>
      </c>
      <c r="E62" s="201" t="n"/>
      <c r="F62" s="201" t="n"/>
      <c r="G62" s="95">
        <f>$P$8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103" t="inlineStr">
        <is>
          <t>초급기술자</t>
        </is>
      </c>
      <c r="B63" s="18" t="n"/>
      <c r="C63" s="48">
        <f>'12-6 실시계획인가_작업량'!L13</f>
        <v/>
      </c>
      <c r="D63" s="104" t="inlineStr">
        <is>
          <t>인</t>
        </is>
      </c>
      <c r="E63" s="201" t="n"/>
      <c r="F63" s="201" t="n"/>
      <c r="G63" s="95">
        <f>$P$9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244" t="n"/>
      <c r="B64" s="245" t="n"/>
      <c r="C64" s="94" t="n"/>
      <c r="D64" s="40" t="n"/>
      <c r="E64" s="108" t="n"/>
      <c r="F64" s="245" t="n"/>
      <c r="G64" s="107" t="n"/>
      <c r="H64" s="102" t="n"/>
      <c r="I64" s="107" t="n"/>
      <c r="J64" s="107" t="n"/>
      <c r="K64" s="107" t="n"/>
      <c r="L64" s="107" t="n"/>
      <c r="M64" s="41" t="n"/>
      <c r="N64" s="87" t="n"/>
      <c r="O64" s="189" t="n"/>
      <c r="P64" s="189" t="n"/>
      <c r="Q64" s="190" t="n"/>
      <c r="R64" s="87" t="n"/>
    </row>
    <row r="65" ht="18" customHeight="1" s="140">
      <c r="A65" s="244" t="n"/>
      <c r="B65" s="245" t="n"/>
      <c r="C65" s="94" t="n"/>
      <c r="D65" s="40" t="n"/>
      <c r="E65" s="108" t="n"/>
      <c r="F65" s="245" t="n"/>
      <c r="G65" s="107" t="n"/>
      <c r="H65" s="102" t="n"/>
      <c r="I65" s="107" t="n"/>
      <c r="J65" s="107" t="n"/>
      <c r="K65" s="107" t="n"/>
      <c r="L65" s="107" t="n"/>
      <c r="M65" s="41" t="n"/>
      <c r="N65" s="87" t="n"/>
      <c r="O65" s="189" t="n"/>
      <c r="P65" s="189" t="n"/>
      <c r="Q65" s="190" t="n"/>
      <c r="R65" s="87" t="n"/>
    </row>
    <row r="66" ht="18" customHeight="1" s="140">
      <c r="A66" s="244" t="n"/>
      <c r="B66" s="245" t="n"/>
      <c r="C66" s="94" t="n"/>
      <c r="D66" s="40" t="n"/>
      <c r="E66" s="108" t="n"/>
      <c r="F66" s="245" t="n"/>
      <c r="G66" s="107" t="n"/>
      <c r="H66" s="102" t="n"/>
      <c r="I66" s="107" t="n"/>
      <c r="J66" s="107" t="n"/>
      <c r="K66" s="107" t="n"/>
      <c r="L66" s="107" t="n"/>
      <c r="M66" s="41" t="n"/>
      <c r="N66" s="87" t="n"/>
      <c r="O66" s="189" t="n"/>
      <c r="P66" s="189" t="n"/>
      <c r="Q66" s="190" t="n"/>
      <c r="R66" s="87" t="n"/>
    </row>
    <row r="67" ht="18" customHeight="1" s="140"/>
    <row r="68" ht="18" customHeight="1" s="140"/>
    <row r="69" ht="18" customHeight="1" s="140"/>
    <row r="70" ht="18" customHeight="1" s="140"/>
    <row r="71" ht="18" customHeight="1" s="140"/>
    <row r="72" ht="18" customHeight="1" s="140"/>
    <row r="73" ht="18" customHeight="1" s="140"/>
    <row r="74" ht="18" customHeight="1" s="140"/>
    <row r="75" ht="18" customHeight="1" s="140"/>
    <row r="76" ht="18" customHeight="1" s="140"/>
    <row r="77" ht="18" customHeight="1" s="140"/>
    <row r="78" ht="18" customHeight="1" s="140"/>
    <row r="79" ht="18" customHeight="1" s="140"/>
    <row r="80" ht="18" customHeight="1" s="140"/>
    <row r="81" ht="18" customHeight="1" s="140"/>
    <row r="82" ht="18" customHeight="1" s="140"/>
    <row r="83" ht="18" customHeight="1" s="140"/>
    <row r="84" ht="18" customHeight="1" s="140"/>
    <row r="85" ht="18" customHeight="1" s="140"/>
    <row r="86" ht="18" customHeight="1" s="140"/>
    <row r="87" ht="18" customHeight="1" s="140"/>
    <row r="88" ht="18" customHeight="1" s="140"/>
    <row r="89" ht="18" customHeight="1" s="140"/>
    <row r="90" ht="18" customHeight="1" s="140"/>
    <row r="91" ht="18" customHeight="1" s="140"/>
    <row r="92" ht="18" customHeight="1" s="140"/>
    <row r="93" ht="18" customHeight="1" s="140"/>
    <row r="94" ht="18" customHeight="1" s="140"/>
    <row r="95" ht="18" customHeight="1" s="140"/>
    <row r="96" ht="18" customHeight="1" s="140"/>
    <row r="97" ht="18" customHeight="1" s="140"/>
    <row r="98" ht="18" customHeight="1" s="140"/>
    <row r="99" ht="18" customHeight="1" s="140"/>
    <row r="100" ht="18" customHeight="1" s="140"/>
    <row r="101" ht="18" customHeight="1" s="140"/>
    <row r="102" ht="18" customHeight="1" s="140"/>
    <row r="103" ht="18" customHeight="1" s="140"/>
    <row r="104" ht="18" customHeight="1" s="140"/>
    <row r="105" ht="18" customHeight="1" s="140"/>
    <row r="106" ht="18" customHeight="1" s="140"/>
    <row r="107" ht="18" customHeight="1" s="140"/>
    <row r="108" ht="18" customHeight="1" s="140"/>
    <row r="109" ht="18" customHeight="1" s="140"/>
    <row r="110" ht="18" customHeight="1" s="140"/>
    <row r="111" ht="18" customHeight="1" s="140"/>
    <row r="112" ht="18" customHeight="1" s="140"/>
    <row r="113" ht="18" customHeight="1" s="140"/>
    <row r="114" ht="18" customHeight="1" s="140"/>
    <row r="115" ht="18" customHeight="1" s="140"/>
    <row r="116" ht="18" customHeight="1" s="140"/>
    <row r="117" ht="18" customHeight="1" s="140"/>
    <row r="118" ht="18" customHeight="1" s="140"/>
    <row r="119" ht="18" customHeight="1" s="140"/>
    <row r="120" ht="18" customHeight="1" s="140"/>
    <row r="121" ht="18" customHeight="1" s="140"/>
    <row r="122" ht="18" customHeight="1" s="140"/>
    <row r="123" ht="18" customHeight="1" s="140"/>
    <row r="124" ht="18" customHeight="1" s="140"/>
    <row r="125" ht="18" customHeight="1" s="140"/>
    <row r="126" ht="18" customHeight="1" s="140"/>
    <row r="127" ht="18" customHeight="1" s="140"/>
    <row r="128" ht="18" customHeight="1" s="140"/>
    <row r="129" ht="18" customHeight="1" s="140"/>
    <row r="130" ht="18" customHeight="1" s="140"/>
    <row r="131" ht="18" customHeight="1" s="140"/>
    <row r="132" ht="18" customHeight="1" s="140"/>
    <row r="133" ht="18" customHeight="1" s="140"/>
    <row r="134" ht="18" customHeight="1" s="140"/>
    <row r="135" ht="18" customHeight="1" s="140"/>
    <row r="136" ht="18" customHeight="1" s="140"/>
    <row r="137" ht="18" customHeight="1" s="140"/>
    <row r="138" ht="18" customHeight="1" s="140"/>
    <row r="139" ht="18" customHeight="1" s="140"/>
    <row r="140" ht="18" customHeight="1" s="140"/>
    <row r="141" ht="18" customHeight="1" s="140"/>
    <row r="142" ht="18" customHeight="1" s="140"/>
    <row r="143" ht="18" customHeight="1" s="140"/>
    <row r="144" ht="18" customHeight="1" s="140"/>
    <row r="145" ht="18" customHeight="1" s="140"/>
    <row r="146" ht="18" customHeight="1" s="140"/>
    <row r="147" ht="18" customHeight="1" s="140"/>
    <row r="148" ht="18" customHeight="1" s="140"/>
    <row r="149" ht="18" customHeight="1" s="140"/>
    <row r="150" ht="18" customHeight="1" s="140"/>
    <row r="151" ht="18" customHeight="1" s="140"/>
    <row r="152" ht="18" customHeight="1" s="140"/>
    <row r="153" ht="18" customHeight="1" s="140"/>
    <row r="154" ht="18" customHeight="1" s="140"/>
    <row r="155" ht="18" customHeight="1" s="140"/>
    <row r="156" ht="18" customHeight="1" s="140"/>
    <row r="157" ht="18" customHeight="1" s="140"/>
    <row r="158" ht="18" customHeight="1" s="140"/>
    <row r="159" ht="18" customHeight="1" s="140"/>
    <row r="160" ht="18" customHeight="1" s="140"/>
    <row r="161" ht="18" customHeight="1" s="140"/>
    <row r="162" ht="18" customHeight="1" s="140"/>
    <row r="163" ht="18" customHeight="1" s="140"/>
    <row r="164" ht="18" customHeight="1" s="140"/>
    <row r="165" ht="18" customHeight="1" s="140"/>
    <row r="166" ht="18" customHeight="1" s="140"/>
    <row r="167" ht="18" customHeight="1" s="140"/>
    <row r="168" ht="18" customHeight="1" s="140"/>
    <row r="169" ht="18" customHeight="1" s="140"/>
    <row r="170" ht="18" customHeight="1" s="140"/>
    <row r="171" ht="18" customHeight="1" s="140"/>
    <row r="172" ht="18" customHeight="1" s="140"/>
    <row r="173" ht="18" customHeight="1" s="140"/>
    <row r="174" ht="18" customHeight="1" s="140"/>
    <row r="175" ht="18" customHeight="1" s="140"/>
    <row r="176" ht="18" customHeight="1" s="140"/>
    <row r="177" ht="18" customHeight="1" s="140"/>
    <row r="178" ht="18" customHeight="1" s="140"/>
    <row r="179" ht="18" customHeight="1" s="140"/>
    <row r="180" ht="18" customHeight="1" s="140"/>
    <row r="181" ht="18" customHeight="1" s="140"/>
    <row r="182" ht="18" customHeight="1" s="140"/>
    <row r="183" ht="18" customHeight="1" s="140"/>
    <row r="184" ht="18" customHeight="1" s="140"/>
    <row r="185" ht="18" customHeight="1" s="140"/>
    <row r="186" ht="18" customHeight="1" s="140"/>
    <row r="187" ht="18" customHeight="1" s="140"/>
  </sheetData>
  <mergeCells count="19">
    <mergeCell ref="G2:H2"/>
    <mergeCell ref="A11:B11"/>
    <mergeCell ref="I2:J2"/>
    <mergeCell ref="M2:M3"/>
    <mergeCell ref="B2:B3"/>
    <mergeCell ref="E14:F14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14:B14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&lt;12-6 실시계획인가 직접인력 소요작업량 산정&gt;</t>
        </is>
      </c>
    </row>
    <row r="2">
      <c r="A2" s="205" t="n">
        <v>10000</v>
      </c>
      <c r="B2" s="3" t="inlineStr">
        <is>
          <t>(</t>
        </is>
      </c>
      <c r="C2" s="20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207">
        <f>ROUND((C2/1)^(0.6),3)*G3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255" t="inlineStr">
        <is>
          <t>구분</t>
        </is>
      </c>
      <c r="B4" s="256" t="inlineStr">
        <is>
          <t>보 정 전</t>
        </is>
      </c>
      <c r="C4" s="257" t="n"/>
      <c r="D4" s="257" t="n"/>
      <c r="E4" s="257" t="n"/>
      <c r="F4" s="257" t="n"/>
      <c r="G4" s="258" t="n"/>
      <c r="H4" s="259" t="inlineStr">
        <is>
          <t>보 정 후</t>
        </is>
      </c>
      <c r="I4" s="257" t="n"/>
      <c r="J4" s="257" t="n"/>
      <c r="K4" s="257" t="n"/>
      <c r="L4" s="257" t="n"/>
      <c r="M4" s="258" t="n"/>
      <c r="N4" s="260" t="inlineStr">
        <is>
          <t>비   고</t>
        </is>
      </c>
    </row>
    <row r="5" ht="24" customHeight="1" s="140">
      <c r="A5" s="26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62" t="inlineStr">
        <is>
          <t>보조원</t>
        </is>
      </c>
      <c r="H5" s="26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62" t="inlineStr">
        <is>
          <t>보조원</t>
        </is>
      </c>
      <c r="N5" s="264" t="inlineStr">
        <is>
          <t>보정계수</t>
        </is>
      </c>
    </row>
    <row r="6" ht="24" customHeight="1" s="140">
      <c r="A6" s="265">
        <f>'12-6 실시계획인가_PDF'!A6</f>
        <v/>
      </c>
      <c r="B6" s="266" t="n"/>
      <c r="C6" s="267" t="n"/>
      <c r="D6" s="267" t="n"/>
      <c r="E6" s="267" t="n"/>
      <c r="F6" s="267" t="n"/>
      <c r="G6" s="268" t="n"/>
      <c r="H6" s="269" t="n"/>
      <c r="I6" s="267" t="n"/>
      <c r="J6" s="267" t="n"/>
      <c r="K6" s="267" t="n"/>
      <c r="L6" s="267" t="n"/>
      <c r="M6" s="268" t="n"/>
      <c r="N6" s="270" t="n"/>
      <c r="O6" s="141" t="n"/>
      <c r="P6" s="141" t="n"/>
    </row>
    <row r="7" ht="24" customHeight="1" s="140">
      <c r="A7" s="265">
        <f>'12-6 실시계획인가_PDF'!A7</f>
        <v/>
      </c>
      <c r="B7" s="266" t="n"/>
      <c r="C7" s="267" t="n"/>
      <c r="D7" s="267" t="n"/>
      <c r="E7" s="267" t="n"/>
      <c r="F7" s="267" t="n"/>
      <c r="G7" s="268" t="n"/>
      <c r="H7" s="269" t="n"/>
      <c r="I7" s="267" t="n"/>
      <c r="J7" s="267" t="n"/>
      <c r="K7" s="267" t="n"/>
      <c r="L7" s="267" t="n"/>
      <c r="M7" s="268" t="n"/>
      <c r="N7" s="270" t="n"/>
      <c r="O7" s="141" t="n"/>
      <c r="P7" s="141" t="n"/>
    </row>
    <row r="8" ht="24" customHeight="1" s="140">
      <c r="A8" s="265">
        <f>'12-6 실시계획인가_PDF'!A8</f>
        <v/>
      </c>
      <c r="B8" s="266" t="n"/>
      <c r="C8" s="267" t="n"/>
      <c r="D8" s="267" t="n"/>
      <c r="E8" s="267" t="n"/>
      <c r="F8" s="267" t="n"/>
      <c r="G8" s="268" t="n"/>
      <c r="H8" s="269" t="n"/>
      <c r="I8" s="267" t="n"/>
      <c r="J8" s="267" t="n"/>
      <c r="K8" s="267" t="n"/>
      <c r="L8" s="267" t="n"/>
      <c r="M8" s="268" t="n"/>
      <c r="N8" s="270" t="n"/>
      <c r="O8" s="141" t="n"/>
      <c r="P8" s="141" t="n"/>
    </row>
    <row r="9" ht="24" customHeight="1" s="140">
      <c r="A9" s="271" t="inlineStr">
        <is>
          <t>1. 실시계획 승인도서 작성</t>
        </is>
      </c>
      <c r="B9" s="272" t="n">
        <v>0.7</v>
      </c>
      <c r="C9" s="273" t="n">
        <v>0.6</v>
      </c>
      <c r="D9" s="273" t="n">
        <v>1.3</v>
      </c>
      <c r="E9" s="273" t="n">
        <v>1.3</v>
      </c>
      <c r="F9" s="273" t="n">
        <v>3.5</v>
      </c>
      <c r="G9" s="274" t="n"/>
      <c r="H9" s="275">
        <f>ROUND(B9*N9,2)</f>
        <v/>
      </c>
      <c r="I9" s="273">
        <f>ROUND(C9*N9,2)</f>
        <v/>
      </c>
      <c r="J9" s="273">
        <f>ROUND(D9*N9,2)</f>
        <v/>
      </c>
      <c r="K9" s="273">
        <f>ROUND(E9*N9,2)</f>
        <v/>
      </c>
      <c r="L9" s="273">
        <f>ROUND(F9*N9,2)</f>
        <v/>
      </c>
      <c r="M9" s="274" t="n"/>
      <c r="N9" s="276">
        <f>$F$3</f>
        <v/>
      </c>
    </row>
    <row r="10" ht="24" customHeight="1" s="140">
      <c r="A10" s="271" t="inlineStr">
        <is>
          <t>2. 보고서 작성 및 편집</t>
        </is>
      </c>
      <c r="B10" s="272" t="n">
        <v>0.4</v>
      </c>
      <c r="C10" s="273" t="n">
        <v>0.9</v>
      </c>
      <c r="D10" s="273" t="n">
        <v>1.8</v>
      </c>
      <c r="E10" s="273" t="n">
        <v>1.6</v>
      </c>
      <c r="F10" s="273" t="n">
        <v>2.8</v>
      </c>
      <c r="G10" s="274" t="n"/>
      <c r="H10" s="275">
        <f>ROUND(B10*N10,2)</f>
        <v/>
      </c>
      <c r="I10" s="273">
        <f>ROUND(C10*N10,2)</f>
        <v/>
      </c>
      <c r="J10" s="273">
        <f>ROUND(D10*N10,2)</f>
        <v/>
      </c>
      <c r="K10" s="273">
        <f>ROUND(E10*N10,2)</f>
        <v/>
      </c>
      <c r="L10" s="273">
        <f>ROUND(F10*N10,2)</f>
        <v/>
      </c>
      <c r="M10" s="274" t="n"/>
      <c r="N10" s="276">
        <f>$F$3</f>
        <v/>
      </c>
    </row>
    <row r="11" ht="24" customHeight="1" s="140">
      <c r="A11" s="271" t="inlineStr">
        <is>
          <t>3. 관련도서 작성</t>
        </is>
      </c>
      <c r="B11" s="272" t="n">
        <v>0.6</v>
      </c>
      <c r="C11" s="273" t="n">
        <v>0.8</v>
      </c>
      <c r="D11" s="273" t="n">
        <v>1.4</v>
      </c>
      <c r="E11" s="273" t="n">
        <v>1.6</v>
      </c>
      <c r="F11" s="273" t="n">
        <v>4.2</v>
      </c>
      <c r="G11" s="274" t="n"/>
      <c r="H11" s="275">
        <f>ROUND(B11*N11,2)</f>
        <v/>
      </c>
      <c r="I11" s="273">
        <f>ROUND(C11*N11,2)</f>
        <v/>
      </c>
      <c r="J11" s="273">
        <f>ROUND(D11*N11,2)</f>
        <v/>
      </c>
      <c r="K11" s="273">
        <f>ROUND(E11*N11,2)</f>
        <v/>
      </c>
      <c r="L11" s="273">
        <f>ROUND(F11*N11,2)</f>
        <v/>
      </c>
      <c r="M11" s="274" t="n"/>
      <c r="N11" s="276">
        <f>$F$3</f>
        <v/>
      </c>
    </row>
    <row r="12" ht="24" customHeight="1" s="140">
      <c r="A12" s="271" t="inlineStr">
        <is>
          <t>4. 주민공람</t>
        </is>
      </c>
      <c r="B12" s="272" t="n">
        <v>2.4</v>
      </c>
      <c r="C12" s="273" t="n">
        <v>2.5</v>
      </c>
      <c r="D12" s="273" t="n">
        <v>2.6</v>
      </c>
      <c r="E12" s="273" t="n">
        <v>4.7</v>
      </c>
      <c r="F12" s="273" t="n">
        <v>5.1</v>
      </c>
      <c r="G12" s="274" t="n"/>
      <c r="H12" s="275">
        <f>ROUND(B12*N12,2)</f>
        <v/>
      </c>
      <c r="I12" s="273">
        <f>ROUND(C12*N12,2)</f>
        <v/>
      </c>
      <c r="J12" s="273">
        <f>ROUND(D12*N12,2)</f>
        <v/>
      </c>
      <c r="K12" s="273">
        <f>ROUND(E12*N12,2)</f>
        <v/>
      </c>
      <c r="L12" s="273">
        <f>ROUND(F12*N12,2)</f>
        <v/>
      </c>
      <c r="M12" s="274" t="n"/>
      <c r="N12" s="276" t="n">
        <v>1</v>
      </c>
    </row>
    <row r="13" ht="24" customHeight="1" s="140">
      <c r="A13" s="271" t="inlineStr">
        <is>
          <t>5. 관계기관 협의</t>
        </is>
      </c>
      <c r="B13" s="272" t="n">
        <v>2.4</v>
      </c>
      <c r="C13" s="273" t="n">
        <v>2.5</v>
      </c>
      <c r="D13" s="273" t="n">
        <v>2.6</v>
      </c>
      <c r="E13" s="273" t="n">
        <v>4.7</v>
      </c>
      <c r="F13" s="273" t="n">
        <v>5.1</v>
      </c>
      <c r="G13" s="274" t="n"/>
      <c r="H13" s="275">
        <f>ROUND(B13*N13,2)</f>
        <v/>
      </c>
      <c r="I13" s="273">
        <f>ROUND(C13*N13,2)</f>
        <v/>
      </c>
      <c r="J13" s="273">
        <f>ROUND(D13*N13,2)</f>
        <v/>
      </c>
      <c r="K13" s="273">
        <f>ROUND(E13*N13,2)</f>
        <v/>
      </c>
      <c r="L13" s="273">
        <f>ROUND(F13*N13,2)</f>
        <v/>
      </c>
      <c r="M13" s="274" t="n"/>
      <c r="N13" s="276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277" t="n"/>
      <c r="H14" s="278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277" t="n"/>
      <c r="N14" s="279" t="n"/>
    </row>
    <row r="15" ht="17.1" customHeight="1" s="140">
      <c r="A15" s="280">
        <f>'12-6 실시계획인가_PDF'!A20</f>
        <v/>
      </c>
      <c r="B15" s="281" t="n"/>
      <c r="C15" s="281" t="n"/>
      <c r="D15" s="281" t="n"/>
      <c r="E15" s="281" t="n"/>
      <c r="F15" s="281" t="n"/>
      <c r="G15" s="281" t="n"/>
      <c r="H15" s="281" t="n"/>
      <c r="I15" s="282" t="n"/>
      <c r="J15" s="282" t="n"/>
      <c r="K15" s="283" t="n"/>
      <c r="L15" s="282" t="n"/>
      <c r="M15" s="282" t="n"/>
      <c r="N15" s="282" t="n"/>
      <c r="O15" s="284" t="n"/>
      <c r="P15" s="284" t="n"/>
    </row>
    <row r="16" ht="17.1" customHeight="1" s="140">
      <c r="A16" s="280">
        <f>'12-6 실시계획인가_PDF'!A21</f>
        <v/>
      </c>
      <c r="B16" s="281" t="n"/>
      <c r="C16" s="281" t="n"/>
      <c r="D16" s="281" t="n"/>
      <c r="E16" s="281" t="n"/>
      <c r="F16" s="281" t="n"/>
      <c r="G16" s="281" t="n"/>
      <c r="H16" s="281" t="n"/>
      <c r="I16" s="282" t="n"/>
      <c r="J16" s="282" t="n"/>
      <c r="K16" s="283" t="n"/>
      <c r="L16" s="282" t="n"/>
      <c r="M16" s="282" t="n"/>
      <c r="N16" s="282" t="n"/>
      <c r="O16" s="284" t="n"/>
      <c r="P16" s="284" t="n"/>
    </row>
    <row r="17" ht="17.1" customHeight="1" s="140">
      <c r="A17" s="280">
        <f>'12-6 실시계획인가_PDF'!A22</f>
        <v/>
      </c>
      <c r="B17" s="285" t="n"/>
      <c r="C17" s="285" t="n"/>
      <c r="D17" s="285" t="n"/>
      <c r="E17" s="285" t="n"/>
      <c r="F17" s="285" t="n"/>
      <c r="G17" s="285" t="n"/>
      <c r="H17" s="285" t="n"/>
      <c r="I17" s="285" t="n"/>
      <c r="J17" s="285" t="n"/>
      <c r="K17" s="285" t="n"/>
      <c r="L17" s="285" t="n"/>
      <c r="M17" s="285" t="n"/>
      <c r="N17" s="286" t="n"/>
      <c r="O17" s="284" t="n"/>
      <c r="P17" s="284" t="n"/>
    </row>
    <row r="18" ht="17.1" customHeight="1" s="140">
      <c r="A18" s="280">
        <f>'12-6 실시계획인가_PDF'!A23</f>
        <v/>
      </c>
      <c r="B18" s="285" t="n"/>
      <c r="C18" s="285" t="n"/>
      <c r="D18" s="285" t="n"/>
      <c r="E18" s="285" t="n"/>
      <c r="F18" s="285" t="n"/>
      <c r="G18" s="285" t="n"/>
      <c r="H18" s="285" t="n"/>
      <c r="I18" s="285" t="n"/>
      <c r="J18" s="285" t="n"/>
      <c r="K18" s="285" t="n"/>
      <c r="L18" s="285" t="n"/>
      <c r="M18" s="285" t="n"/>
      <c r="N18" s="286" t="n"/>
      <c r="O18" s="284" t="n"/>
      <c r="P18" s="284" t="n"/>
    </row>
    <row r="19" ht="17.1" customHeight="1" s="140">
      <c r="A19" s="280">
        <f>'12-6 실시계획인가_PDF'!A24</f>
        <v/>
      </c>
      <c r="B19" s="285" t="n"/>
      <c r="C19" s="285" t="n"/>
      <c r="D19" s="285" t="n"/>
      <c r="E19" s="285" t="n"/>
      <c r="F19" s="285" t="n"/>
      <c r="G19" s="285" t="n"/>
      <c r="H19" s="285" t="n"/>
      <c r="I19" s="285" t="n"/>
      <c r="J19" s="285" t="n"/>
      <c r="K19" s="285" t="n"/>
      <c r="L19" s="285" t="n"/>
      <c r="M19" s="285" t="n"/>
      <c r="N19" s="286" t="n"/>
      <c r="O19" s="284" t="n"/>
      <c r="P19" s="284" t="n"/>
    </row>
    <row r="20" ht="17.1" customHeight="1" s="140">
      <c r="A20" s="280">
        <f>'12-6 실시계획인가_PDF'!A25</f>
        <v/>
      </c>
      <c r="B20" s="285" t="n"/>
      <c r="C20" s="285" t="n"/>
      <c r="D20" s="285" t="n"/>
      <c r="E20" s="285" t="n"/>
      <c r="F20" s="285" t="n"/>
      <c r="G20" s="285" t="n"/>
      <c r="H20" s="285" t="n"/>
      <c r="I20" s="285" t="n"/>
      <c r="J20" s="285" t="n"/>
      <c r="K20" s="285" t="n"/>
      <c r="L20" s="285" t="n"/>
      <c r="M20" s="285" t="n"/>
      <c r="N20" s="286" t="n"/>
      <c r="O20" s="284" t="n"/>
      <c r="P20" s="284" t="n"/>
    </row>
    <row r="21" ht="17.1" customHeight="1" s="140">
      <c r="A21" s="280">
        <f>'12-6 실시계획인가_PDF'!A26</f>
        <v/>
      </c>
      <c r="B21" s="285" t="n"/>
      <c r="C21" s="285" t="n"/>
      <c r="D21" s="285" t="n"/>
      <c r="E21" s="285" t="n"/>
      <c r="F21" s="285" t="n"/>
      <c r="G21" s="285" t="n"/>
      <c r="H21" s="285" t="n"/>
      <c r="I21" s="285" t="n"/>
      <c r="J21" s="285" t="n"/>
      <c r="K21" s="285" t="n"/>
      <c r="L21" s="285" t="n"/>
      <c r="M21" s="285" t="n"/>
      <c r="N21" s="286" t="n"/>
      <c r="O21" s="284" t="n"/>
      <c r="P21" s="284" t="n"/>
    </row>
    <row r="22" ht="17.1" customHeight="1" s="140">
      <c r="A22" s="280">
        <f>'12-6 실시계획인가_PDF'!A27</f>
        <v/>
      </c>
      <c r="B22" s="285" t="n"/>
      <c r="C22" s="285" t="n"/>
      <c r="D22" s="285" t="n"/>
      <c r="E22" s="285" t="n"/>
      <c r="F22" s="285" t="n"/>
      <c r="G22" s="285" t="n"/>
      <c r="H22" s="285" t="n"/>
      <c r="I22" s="285" t="n"/>
      <c r="J22" s="285" t="n"/>
      <c r="K22" s="285" t="n"/>
      <c r="L22" s="285" t="n"/>
      <c r="M22" s="285" t="n"/>
      <c r="N22" s="286" t="n"/>
      <c r="O22" s="284" t="n"/>
      <c r="P22" s="284" t="n"/>
    </row>
    <row r="23" ht="17.1" customHeight="1" s="140">
      <c r="A23" s="280">
        <f>'12-6 실시계획인가_PDF'!A28</f>
        <v/>
      </c>
      <c r="B23" s="285" t="n"/>
      <c r="C23" s="285" t="n"/>
      <c r="D23" s="285" t="n"/>
      <c r="E23" s="285" t="n"/>
      <c r="F23" s="285" t="n"/>
      <c r="G23" s="285" t="n"/>
      <c r="H23" s="285" t="n"/>
      <c r="I23" s="285" t="n"/>
      <c r="J23" s="285" t="n"/>
      <c r="K23" s="285" t="n"/>
      <c r="L23" s="285" t="n"/>
      <c r="M23" s="285" t="n"/>
      <c r="N23" s="286" t="n"/>
      <c r="O23" s="284" t="n"/>
      <c r="P23" s="284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87" t="inlineStr">
        <is>
          <t>출처 PDF</t>
        </is>
      </c>
      <c r="B1" s="0" t="inlineStr">
        <is>
          <t>C:\Users\saman\Desktop\Ai 실습\_새 폴더\12-6 실시계획인가.pdf</t>
        </is>
      </c>
    </row>
    <row r="2">
      <c r="A2" s="287" t="inlineStr">
        <is>
          <t>쪽수</t>
        </is>
      </c>
      <c r="B2" s="0" t="n">
        <v>1</v>
      </c>
    </row>
    <row r="3">
      <c r="A3" s="287" t="inlineStr">
        <is>
          <t>추출일시</t>
        </is>
      </c>
      <c r="B3" s="0" t="inlineStr">
        <is>
          <t>2026-05-13 17:30:27</t>
        </is>
      </c>
    </row>
    <row r="4"/>
    <row r="5">
      <c r="A5" s="288" t="inlineStr">
        <is>
          <t>상단 머릿글</t>
        </is>
      </c>
    </row>
    <row r="6">
      <c r="A6" s="289" t="inlineStr">
        <is>
          <t>국토계획 제12장 사업관리</t>
        </is>
      </c>
    </row>
    <row r="7">
      <c r="A7" s="289" t="inlineStr">
        <is>
          <t>라. 투입인원수 산정기준</t>
        </is>
      </c>
    </row>
    <row r="8">
      <c r="A8" s="289" t="inlineStr">
        <is>
          <t>(1) 도시ㆍ군계획시설사업 실시계획인가</t>
        </is>
      </c>
    </row>
    <row r="9"/>
    <row r="10">
      <c r="A10" s="288" t="inlineStr">
        <is>
          <t>표 1</t>
        </is>
      </c>
    </row>
    <row r="11">
      <c r="A11" s="289" t="inlineStr">
        <is>
          <t>기본업무</t>
        </is>
      </c>
      <c r="B11" s="289" t="inlineStr">
        <is>
          <t>단 위</t>
        </is>
      </c>
      <c r="C11" s="289" t="inlineStr">
        <is>
          <t>기준인원수(인ㆍ일/단위)</t>
        </is>
      </c>
      <c r="D11" s="289" t="inlineStr"/>
      <c r="E11" s="289" t="inlineStr"/>
      <c r="F11" s="289" t="inlineStr"/>
      <c r="G11" s="289" t="inlineStr"/>
      <c r="H11" s="289" t="inlineStr">
        <is>
          <t>환산
계수</t>
        </is>
      </c>
    </row>
    <row r="12">
      <c r="A12" s="289" t="inlineStr"/>
      <c r="B12" s="289" t="inlineStr"/>
      <c r="C12" s="289" t="inlineStr">
        <is>
          <t>기술사</t>
        </is>
      </c>
      <c r="D12" s="289" t="inlineStr">
        <is>
          <t>특 급
기술자</t>
        </is>
      </c>
      <c r="E12" s="289" t="inlineStr">
        <is>
          <t>고 급
기술자</t>
        </is>
      </c>
      <c r="F12" s="289" t="inlineStr">
        <is>
          <t>중 급
기술자</t>
        </is>
      </c>
      <c r="G12" s="289" t="inlineStr">
        <is>
          <t>초 급
기술자</t>
        </is>
      </c>
      <c r="H12" s="289" t="inlineStr"/>
    </row>
    <row r="13">
      <c r="A13" s="289" t="inlineStr">
        <is>
          <t>1. 실시계획 승인도서 작성</t>
        </is>
      </c>
      <c r="B13" s="289" t="inlineStr">
        <is>
          <t>1만㎡</t>
        </is>
      </c>
      <c r="C13" s="289" t="inlineStr">
        <is>
          <t>0.7</t>
        </is>
      </c>
      <c r="D13" s="289" t="inlineStr">
        <is>
          <t>0.6</t>
        </is>
      </c>
      <c r="E13" s="289" t="inlineStr">
        <is>
          <t>1.3</t>
        </is>
      </c>
      <c r="F13" s="289" t="inlineStr">
        <is>
          <t>1.3</t>
        </is>
      </c>
      <c r="G13" s="289" t="inlineStr">
        <is>
          <t>3.5</t>
        </is>
      </c>
      <c r="H13" s="289" t="inlineStr">
        <is>
          <t>①</t>
        </is>
      </c>
    </row>
    <row r="14">
      <c r="A14" s="289" t="inlineStr">
        <is>
          <t>2. 보고서 작성 및 편집</t>
        </is>
      </c>
      <c r="B14" s="289" t="inlineStr">
        <is>
          <t>1만㎡</t>
        </is>
      </c>
      <c r="C14" s="289" t="inlineStr">
        <is>
          <t>0.4</t>
        </is>
      </c>
      <c r="D14" s="289" t="inlineStr">
        <is>
          <t>0.9</t>
        </is>
      </c>
      <c r="E14" s="289" t="inlineStr">
        <is>
          <t>1.8</t>
        </is>
      </c>
      <c r="F14" s="289" t="inlineStr">
        <is>
          <t>1.6</t>
        </is>
      </c>
      <c r="G14" s="289" t="inlineStr">
        <is>
          <t>2.8</t>
        </is>
      </c>
      <c r="H14" s="289" t="inlineStr">
        <is>
          <t>①</t>
        </is>
      </c>
    </row>
    <row r="15">
      <c r="A15" s="289" t="inlineStr">
        <is>
          <t>3. 관련도서 작성</t>
        </is>
      </c>
      <c r="B15" s="289" t="inlineStr">
        <is>
          <t>1만㎡</t>
        </is>
      </c>
      <c r="C15" s="289" t="inlineStr">
        <is>
          <t>0.6</t>
        </is>
      </c>
      <c r="D15" s="289" t="inlineStr">
        <is>
          <t>0.8</t>
        </is>
      </c>
      <c r="E15" s="289" t="inlineStr">
        <is>
          <t>1.4</t>
        </is>
      </c>
      <c r="F15" s="289" t="inlineStr">
        <is>
          <t>1.6</t>
        </is>
      </c>
      <c r="G15" s="289" t="inlineStr">
        <is>
          <t>4.2</t>
        </is>
      </c>
      <c r="H15" s="289" t="inlineStr">
        <is>
          <t>①</t>
        </is>
      </c>
    </row>
    <row r="16">
      <c r="A16" s="289" t="inlineStr">
        <is>
          <t>4. 주민공람</t>
        </is>
      </c>
      <c r="B16" s="289" t="inlineStr">
        <is>
          <t>식</t>
        </is>
      </c>
      <c r="C16" s="289" t="inlineStr">
        <is>
          <t>2.4</t>
        </is>
      </c>
      <c r="D16" s="289" t="inlineStr">
        <is>
          <t>2.5</t>
        </is>
      </c>
      <c r="E16" s="289" t="inlineStr">
        <is>
          <t>2.6</t>
        </is>
      </c>
      <c r="F16" s="289" t="inlineStr">
        <is>
          <t>4.7</t>
        </is>
      </c>
      <c r="G16" s="289" t="inlineStr">
        <is>
          <t>5.1</t>
        </is>
      </c>
      <c r="H16" s="289" t="inlineStr">
        <is>
          <t>②</t>
        </is>
      </c>
    </row>
    <row r="17">
      <c r="A17" s="289" t="inlineStr">
        <is>
          <t>5. 관계기관 협의</t>
        </is>
      </c>
      <c r="B17" s="289" t="inlineStr">
        <is>
          <t>식</t>
        </is>
      </c>
      <c r="C17" s="289" t="inlineStr">
        <is>
          <t>2.4</t>
        </is>
      </c>
      <c r="D17" s="289" t="inlineStr">
        <is>
          <t>2.5</t>
        </is>
      </c>
      <c r="E17" s="289" t="inlineStr">
        <is>
          <t>2.6</t>
        </is>
      </c>
      <c r="F17" s="289" t="inlineStr">
        <is>
          <t>4.7</t>
        </is>
      </c>
      <c r="G17" s="289" t="inlineStr">
        <is>
          <t>5.1</t>
        </is>
      </c>
      <c r="H17" s="289" t="inlineStr">
        <is>
          <t>②</t>
        </is>
      </c>
    </row>
    <row r="18"/>
    <row r="19">
      <c r="A19" s="141" t="inlineStr">
        <is>
          <t>주기</t>
        </is>
      </c>
    </row>
    <row r="20" ht="17.1" customHeight="1" s="140">
      <c r="A20" s="290" t="inlineStr">
        <is>
          <t>주 1) 토지적성평가, 사업인정의제협의, 농지ㆍ산지전용협의, 국공유지무상귀속 등은 별도 산정한다.</t>
        </is>
      </c>
      <c r="B20" s="291" t="n"/>
      <c r="C20" s="291" t="n"/>
      <c r="D20" s="291" t="n"/>
      <c r="E20" s="291" t="n"/>
      <c r="F20" s="291" t="n"/>
      <c r="G20" s="291" t="n"/>
      <c r="H20" s="291" t="n"/>
    </row>
    <row r="21" ht="17.1" customHeight="1" s="140">
      <c r="A21" s="290" t="inlineStr">
        <is>
          <t>2) 지하안전영향평가 등 각종 영향성검토 및 각종 영향평가업무는 별도 산정한다.</t>
        </is>
      </c>
      <c r="B21" s="291" t="n"/>
      <c r="C21" s="291" t="n"/>
      <c r="D21" s="291" t="n"/>
      <c r="E21" s="291" t="n"/>
      <c r="F21" s="291" t="n"/>
      <c r="G21" s="291" t="n"/>
      <c r="H21" s="291" t="n"/>
    </row>
    <row r="22" ht="17.1" customHeight="1" s="140">
      <c r="A22" s="290" t="inlineStr">
        <is>
          <t>3) 기본설계 및 실시설계, 측량, 토질조사 등 설계 및 조사, 시험은 별도 산정한다.</t>
        </is>
      </c>
      <c r="B22" s="291" t="n"/>
      <c r="C22" s="291" t="n"/>
      <c r="D22" s="291" t="n"/>
      <c r="E22" s="291" t="n"/>
      <c r="F22" s="291" t="n"/>
      <c r="G22" s="291" t="n"/>
      <c r="H22" s="291" t="n"/>
    </row>
    <row r="23" ht="17.1" customHeight="1" s="140">
      <c r="A23" s="290" t="inlineStr">
        <is>
          <t>3) 실시계획인가는 도시ㆍ군관리계획 결정 이후 도시ㆍ군계획시설사업 시행 시 적용한다.</t>
        </is>
      </c>
      <c r="B23" s="291" t="n"/>
      <c r="C23" s="291" t="n"/>
      <c r="D23" s="291" t="n"/>
      <c r="E23" s="291" t="n"/>
      <c r="F23" s="291" t="n"/>
      <c r="G23" s="291" t="n"/>
      <c r="H23" s="291" t="n"/>
    </row>
    <row r="24" ht="17.1" customHeight="1" s="140">
      <c r="A24" s="290" t="inlineStr">
        <is>
          <t>4) 실시계획인가 업무내용 중 보고서 작성 및 편집은 필요시 적용한다.</t>
        </is>
      </c>
      <c r="B24" s="291" t="n"/>
      <c r="C24" s="291" t="n"/>
      <c r="D24" s="291" t="n"/>
      <c r="E24" s="291" t="n"/>
      <c r="F24" s="291" t="n"/>
      <c r="G24" s="291" t="n"/>
      <c r="H24" s="291" t="n"/>
    </row>
    <row r="25" ht="17.1" customHeight="1" s="140">
      <c r="A25" s="290" t="inlineStr">
        <is>
          <t>5) 해당 시설의 종류에 따라 면적(面的)시설 또는 선적(線的)시설로 구분하고, 구분에 따라 규모를 산정하며 기준면적(거리)은</t>
        </is>
      </c>
      <c r="B25" s="291" t="n"/>
      <c r="C25" s="291" t="n"/>
      <c r="D25" s="291" t="n"/>
      <c r="E25" s="291" t="n"/>
      <c r="F25" s="291" t="n"/>
      <c r="G25" s="291" t="n"/>
      <c r="H25" s="291" t="n"/>
    </row>
    <row r="26" ht="17.1" customHeight="1" s="140">
      <c r="A26" s="290" t="inlineStr">
        <is>
          <t>1만㎡(1.0km)를 원칙으로 한다.</t>
        </is>
      </c>
      <c r="B26" s="291" t="n"/>
      <c r="C26" s="291" t="n"/>
      <c r="D26" s="291" t="n"/>
      <c r="E26" s="291" t="n"/>
      <c r="F26" s="291" t="n"/>
      <c r="G26" s="291" t="n"/>
      <c r="H26" s="291" t="n"/>
    </row>
    <row r="27" ht="17.1" customHeight="1" s="140">
      <c r="A27" s="290" t="inlineStr">
        <is>
          <t>6) 기술협의 단위‘식’이란 인허가 신청 후 승인 고시까지의 업무이며, 고시 이후에는 별도 산정한다.</t>
        </is>
      </c>
      <c r="B27" s="291" t="n"/>
      <c r="C27" s="291" t="n"/>
      <c r="D27" s="291" t="n"/>
      <c r="E27" s="291" t="n"/>
      <c r="F27" s="291" t="n"/>
      <c r="G27" s="291" t="n"/>
      <c r="H27" s="291" t="n"/>
    </row>
    <row r="28" ht="17.1" customHeight="1" s="140">
      <c r="A28" s="290" t="inlineStr">
        <is>
          <t>7) 위원회 자문ㆍ심의지원 중 공동심의, 통합심의일 경우 50%를 가산한다.</t>
        </is>
      </c>
      <c r="B28" s="291" t="n"/>
      <c r="C28" s="291" t="n"/>
      <c r="D28" s="291" t="n"/>
      <c r="E28" s="291" t="n"/>
      <c r="F28" s="291" t="n"/>
      <c r="G28" s="291" t="n"/>
      <c r="H28" s="29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2026-05-13T08:30:28Z</dcterms:modified>
  <cp:lastModifiedBy>saman</cp:lastModifiedBy>
</cp:coreProperties>
</file>