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3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7" fillId="0" borderId="14" applyAlignment="1" pivotButton="0" quotePrefix="0" xfId="3">
      <alignment vertical="center" wrapText="1"/>
    </xf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14:34:30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15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1">
        <f>$G$3</f>
        <v/>
      </c>
    </row>
    <row r="8" ht="24" customHeight="1" s="140">
      <c r="A8" s="58" t="n"/>
      <c r="B8" s="15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1">
        <f>$G$3</f>
        <v/>
      </c>
    </row>
    <row r="9" ht="24" customHeight="1" s="140">
      <c r="A9" s="58" t="n"/>
      <c r="B9" s="15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1">
        <f>$G$3</f>
        <v/>
      </c>
    </row>
    <row r="10" ht="24" customHeight="1" s="140">
      <c r="A10" s="58" t="n"/>
      <c r="B10" s="15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1" t="n">
        <v>1</v>
      </c>
    </row>
    <row r="11" ht="24" customHeight="1" s="140">
      <c r="A11" s="58" t="n"/>
      <c r="B11" s="15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1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2" t="inlineStr">
        <is>
          <t>종   별</t>
        </is>
      </c>
      <c r="B2" s="153" t="inlineStr">
        <is>
          <t>규 격</t>
        </is>
      </c>
      <c r="C2" s="153" t="inlineStr">
        <is>
          <t>수  량</t>
        </is>
      </c>
      <c r="D2" s="153" t="inlineStr">
        <is>
          <t>단위</t>
        </is>
      </c>
      <c r="E2" s="154" t="inlineStr">
        <is>
          <t>총      계</t>
        </is>
      </c>
      <c r="F2" s="147" t="n"/>
      <c r="G2" s="154" t="inlineStr">
        <is>
          <t>재     료     비</t>
        </is>
      </c>
      <c r="H2" s="147" t="n"/>
      <c r="I2" s="154" t="inlineStr">
        <is>
          <t>노     무     비</t>
        </is>
      </c>
      <c r="J2" s="147" t="n"/>
      <c r="K2" s="154" t="inlineStr">
        <is>
          <t>경          비</t>
        </is>
      </c>
      <c r="L2" s="147" t="n"/>
      <c r="M2" s="155" t="inlineStr">
        <is>
          <t>비 고</t>
        </is>
      </c>
    </row>
    <row r="3" ht="18" customHeight="1" s="140">
      <c r="A3" s="156" t="n"/>
      <c r="B3" s="157" t="n"/>
      <c r="C3" s="157" t="n"/>
      <c r="D3" s="157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8" t="n"/>
    </row>
    <row r="4" ht="18" customHeight="1" s="140">
      <c r="A4" s="111" t="inlineStr">
        <is>
          <t xml:space="preserve"> 가. 직접인건비</t>
        </is>
      </c>
      <c r="B4" s="159" t="n"/>
      <c r="C4" s="104" t="n"/>
      <c r="D4" s="104" t="n"/>
      <c r="E4" s="105" t="n"/>
      <c r="F4" s="160" t="n"/>
      <c r="G4" s="104" t="n"/>
      <c r="H4" s="104" t="n"/>
      <c r="I4" s="104" t="n"/>
      <c r="J4" s="161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9" t="n"/>
      <c r="C5" s="95" t="n">
        <v>1</v>
      </c>
      <c r="D5" s="104" t="inlineStr">
        <is>
          <t>식</t>
        </is>
      </c>
      <c r="E5" s="105" t="n"/>
      <c r="F5" s="160" t="n"/>
      <c r="G5" s="104" t="n"/>
      <c r="H5" s="104" t="n"/>
      <c r="I5" s="104" t="n"/>
      <c r="J5" s="161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9" t="n"/>
      <c r="C6" s="104" t="n"/>
      <c r="D6" s="104" t="n"/>
      <c r="E6" s="105" t="n"/>
      <c r="F6" s="160" t="n"/>
      <c r="G6" s="105" t="n"/>
      <c r="H6" s="105" t="n"/>
      <c r="I6" s="105" t="n"/>
      <c r="J6" s="161">
        <f>SUM(J5:J5)</f>
        <v/>
      </c>
      <c r="K6" s="105" t="n"/>
      <c r="L6" s="105" t="n"/>
      <c r="M6" s="92" t="n"/>
    </row>
    <row r="7" ht="18" customHeight="1" s="140">
      <c r="A7" s="103" t="n"/>
      <c r="B7" s="159" t="n"/>
      <c r="C7" s="104" t="n"/>
      <c r="D7" s="104" t="n"/>
      <c r="E7" s="105" t="n"/>
      <c r="F7" s="160" t="n"/>
      <c r="G7" s="104" t="n"/>
      <c r="H7" s="104" t="n"/>
      <c r="I7" s="104" t="n"/>
      <c r="J7" s="161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9" t="n"/>
      <c r="C8" s="112" t="n"/>
      <c r="D8" s="18" t="n"/>
      <c r="E8" s="105" t="inlineStr">
        <is>
          <t xml:space="preserve">(직접인건비)x </t>
        </is>
      </c>
      <c r="F8" s="160" t="n"/>
      <c r="G8" s="31">
        <f>P8</f>
        <v/>
      </c>
      <c r="H8" s="32" t="n"/>
      <c r="I8" s="18" t="n"/>
      <c r="J8" s="161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9" t="n"/>
      <c r="C9" s="112" t="n"/>
      <c r="D9" s="18" t="n"/>
      <c r="E9" s="105" t="inlineStr">
        <is>
          <t>(직접인건비+제경비)x</t>
        </is>
      </c>
      <c r="F9" s="160" t="n"/>
      <c r="G9" s="31">
        <f>P9</f>
        <v/>
      </c>
      <c r="H9" s="32" t="n"/>
      <c r="I9" s="33" t="n"/>
      <c r="J9" s="161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9" t="n"/>
      <c r="C10" s="104" t="n"/>
      <c r="D10" s="104" t="n"/>
      <c r="E10" s="105" t="n"/>
      <c r="F10" s="160" t="n"/>
      <c r="G10" s="104" t="n"/>
      <c r="H10" s="104" t="n"/>
      <c r="I10" s="104" t="n"/>
      <c r="J10" s="161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9" t="n"/>
      <c r="C11" s="93" t="n"/>
      <c r="D11" s="104" t="n"/>
      <c r="E11" s="105" t="n"/>
      <c r="F11" s="160" t="n"/>
      <c r="G11" s="104" t="n"/>
      <c r="H11" s="104" t="n"/>
      <c r="I11" s="104" t="n"/>
      <c r="J11" s="161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9" t="n"/>
      <c r="C12" s="37" t="n"/>
      <c r="D12" s="37" t="n"/>
      <c r="E12" s="105" t="n"/>
      <c r="F12" s="160" t="n"/>
      <c r="G12" s="37" t="n"/>
      <c r="H12" s="37" t="n"/>
      <c r="I12" s="37" t="n"/>
      <c r="J12" s="162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9" t="n"/>
      <c r="C13" s="131" t="n"/>
      <c r="D13" s="131" t="n"/>
      <c r="E13" s="132" t="n"/>
      <c r="F13" s="160" t="n"/>
      <c r="G13" s="131" t="n"/>
      <c r="H13" s="131" t="n"/>
      <c r="I13" s="131" t="n"/>
      <c r="J13" s="163">
        <f>ROUNDDOWN(J12,-5)</f>
        <v/>
      </c>
      <c r="K13" s="131" t="n"/>
      <c r="L13" s="131" t="n"/>
      <c r="M13" s="134" t="n"/>
      <c r="N13" s="87" t="n"/>
      <c r="O13" s="164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5" t="n"/>
      <c r="C14" s="94" t="n"/>
      <c r="D14" s="40" t="n"/>
      <c r="E14" s="108" t="n"/>
      <c r="F14" s="166" t="n"/>
      <c r="G14" s="107" t="n"/>
      <c r="H14" s="107" t="n"/>
      <c r="I14" s="107" t="n"/>
      <c r="J14" s="167" t="n"/>
      <c r="K14" s="107" t="n"/>
      <c r="L14" s="107" t="n"/>
      <c r="M14" s="41" t="n"/>
      <c r="N14" s="87" t="n"/>
      <c r="O14" s="168" t="inlineStr">
        <is>
          <t>구   분</t>
        </is>
      </c>
      <c r="P14" s="169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70" t="inlineStr">
        <is>
          <t>기술사</t>
        </is>
      </c>
      <c r="P15" s="171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1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2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3" t="n"/>
      <c r="F18" s="173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2" t="n">
        <v>295138</v>
      </c>
      <c r="Q18" s="174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3" t="n"/>
      <c r="F19" s="173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2" t="n">
        <v>235459</v>
      </c>
      <c r="Q19" s="174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3" t="n"/>
      <c r="F20" s="173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5" t="n">
        <v>281075</v>
      </c>
      <c r="Q20" s="174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3" t="n"/>
      <c r="F21" s="173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5" t="n">
        <v>250087</v>
      </c>
      <c r="Q21" s="174" t="n"/>
      <c r="R21" s="87" t="n"/>
    </row>
    <row r="22" ht="18" customHeight="1" s="140" thickBot="1">
      <c r="A22" s="103" t="n"/>
      <c r="B22" s="18" t="n"/>
      <c r="C22" s="48" t="n"/>
      <c r="D22" s="104" t="n"/>
      <c r="E22" s="173" t="n"/>
      <c r="F22" s="173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6" t="n">
        <v>218142</v>
      </c>
      <c r="Q22" s="177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8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9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9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9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80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80" t="inlineStr">
        <is>
          <t>쪽수</t>
        </is>
      </c>
      <c r="B2" s="0" t="n">
        <v>1</v>
      </c>
    </row>
    <row r="3">
      <c r="A3" s="180" t="inlineStr">
        <is>
          <t>추출일시</t>
        </is>
      </c>
      <c r="B3" s="0" t="inlineStr">
        <is>
          <t>2026-05-12 14:34:30</t>
        </is>
      </c>
    </row>
    <row r="4"/>
    <row r="5">
      <c r="A5" s="181" t="inlineStr">
        <is>
          <t>표 1</t>
        </is>
      </c>
    </row>
    <row r="6">
      <c r="A6" s="182" t="inlineStr">
        <is>
          <t>기본업무</t>
        </is>
      </c>
      <c r="B6" s="182" t="inlineStr">
        <is>
          <t>단 위</t>
        </is>
      </c>
      <c r="C6" s="182" t="inlineStr">
        <is>
          <t>기준인원수(인ㆍ일/단위)</t>
        </is>
      </c>
      <c r="D6" s="182" t="inlineStr"/>
      <c r="E6" s="182" t="inlineStr"/>
      <c r="F6" s="182" t="inlineStr"/>
      <c r="G6" s="182" t="inlineStr"/>
      <c r="H6" s="182" t="inlineStr">
        <is>
          <t>환산
계수</t>
        </is>
      </c>
    </row>
    <row r="7">
      <c r="A7" s="182" t="inlineStr"/>
      <c r="B7" s="182" t="inlineStr"/>
      <c r="C7" s="182" t="inlineStr">
        <is>
          <t>기술사</t>
        </is>
      </c>
      <c r="D7" s="182" t="inlineStr">
        <is>
          <t>특 급
기술자</t>
        </is>
      </c>
      <c r="E7" s="182" t="inlineStr">
        <is>
          <t>고 급
기술자</t>
        </is>
      </c>
      <c r="F7" s="182" t="inlineStr">
        <is>
          <t>중 급
기술자</t>
        </is>
      </c>
      <c r="G7" s="182" t="inlineStr">
        <is>
          <t>초 급
기술자</t>
        </is>
      </c>
      <c r="H7" s="182" t="inlineStr"/>
    </row>
    <row r="8">
      <c r="A8" s="182" t="inlineStr">
        <is>
          <t>1. 실시계획 승인도서 작성</t>
        </is>
      </c>
      <c r="B8" s="182" t="inlineStr">
        <is>
          <t>1만㎡</t>
        </is>
      </c>
      <c r="C8" s="182" t="inlineStr">
        <is>
          <t>0.7</t>
        </is>
      </c>
      <c r="D8" s="182" t="inlineStr">
        <is>
          <t>0.6</t>
        </is>
      </c>
      <c r="E8" s="182" t="inlineStr">
        <is>
          <t>1.3</t>
        </is>
      </c>
      <c r="F8" s="182" t="inlineStr">
        <is>
          <t>1.3</t>
        </is>
      </c>
      <c r="G8" s="182" t="inlineStr">
        <is>
          <t>3.5</t>
        </is>
      </c>
      <c r="H8" s="182" t="inlineStr">
        <is>
          <t>①</t>
        </is>
      </c>
    </row>
    <row r="9">
      <c r="A9" s="182" t="inlineStr">
        <is>
          <t>2. 보고서 작성 및 편집</t>
        </is>
      </c>
      <c r="B9" s="182" t="inlineStr">
        <is>
          <t>1만㎡</t>
        </is>
      </c>
      <c r="C9" s="182" t="inlineStr">
        <is>
          <t>0.4</t>
        </is>
      </c>
      <c r="D9" s="182" t="inlineStr">
        <is>
          <t>0.9</t>
        </is>
      </c>
      <c r="E9" s="182" t="inlineStr">
        <is>
          <t>1.8</t>
        </is>
      </c>
      <c r="F9" s="182" t="inlineStr">
        <is>
          <t>1.6</t>
        </is>
      </c>
      <c r="G9" s="182" t="inlineStr">
        <is>
          <t>2.8</t>
        </is>
      </c>
      <c r="H9" s="182" t="inlineStr">
        <is>
          <t>①</t>
        </is>
      </c>
    </row>
    <row r="10">
      <c r="A10" s="182" t="inlineStr">
        <is>
          <t>3. 관련도서 작성</t>
        </is>
      </c>
      <c r="B10" s="182" t="inlineStr">
        <is>
          <t>1만㎡</t>
        </is>
      </c>
      <c r="C10" s="182" t="inlineStr">
        <is>
          <t>0.6</t>
        </is>
      </c>
      <c r="D10" s="182" t="inlineStr">
        <is>
          <t>0.8</t>
        </is>
      </c>
      <c r="E10" s="182" t="inlineStr">
        <is>
          <t>1.4</t>
        </is>
      </c>
      <c r="F10" s="182" t="inlineStr">
        <is>
          <t>1.6</t>
        </is>
      </c>
      <c r="G10" s="182" t="inlineStr">
        <is>
          <t>4.2</t>
        </is>
      </c>
      <c r="H10" s="182" t="inlineStr">
        <is>
          <t>①</t>
        </is>
      </c>
    </row>
    <row r="11">
      <c r="A11" s="182" t="inlineStr">
        <is>
          <t>4. 주민공람</t>
        </is>
      </c>
      <c r="B11" s="182" t="inlineStr">
        <is>
          <t>식</t>
        </is>
      </c>
      <c r="C11" s="182" t="inlineStr">
        <is>
          <t>2.4</t>
        </is>
      </c>
      <c r="D11" s="182" t="inlineStr">
        <is>
          <t>2.5</t>
        </is>
      </c>
      <c r="E11" s="182" t="inlineStr">
        <is>
          <t>2.6</t>
        </is>
      </c>
      <c r="F11" s="182" t="inlineStr">
        <is>
          <t>4.7</t>
        </is>
      </c>
      <c r="G11" s="182" t="inlineStr">
        <is>
          <t>5.1</t>
        </is>
      </c>
      <c r="H11" s="182" t="inlineStr">
        <is>
          <t>②</t>
        </is>
      </c>
    </row>
    <row r="12">
      <c r="A12" s="182" t="inlineStr">
        <is>
          <t>5. 관계기관 협의</t>
        </is>
      </c>
      <c r="B12" s="182" t="inlineStr">
        <is>
          <t>식</t>
        </is>
      </c>
      <c r="C12" s="182" t="inlineStr">
        <is>
          <t>2.4</t>
        </is>
      </c>
      <c r="D12" s="182" t="inlineStr">
        <is>
          <t>2.5</t>
        </is>
      </c>
      <c r="E12" s="182" t="inlineStr">
        <is>
          <t>2.6</t>
        </is>
      </c>
      <c r="F12" s="182" t="inlineStr">
        <is>
          <t>4.7</t>
        </is>
      </c>
      <c r="G12" s="182" t="inlineStr">
        <is>
          <t>5.1</t>
        </is>
      </c>
      <c r="H12" s="182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2026-05-12T05:34:30Z</dcterms:modified>
  <cp:lastModifiedBy>saman</cp:lastModifiedBy>
</cp:coreProperties>
</file>