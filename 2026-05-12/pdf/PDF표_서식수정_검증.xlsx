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indexed="64"/>
      </left>
      <right style="hair">
        <color indexed="64"/>
      </right>
      <top style="thin">
        <color rgb="00000000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3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67" applyAlignment="1" pivotButton="0" quotePrefix="0" xfId="3">
      <alignment horizontal="center" vertical="center"/>
    </xf>
    <xf numFmtId="0" fontId="0" fillId="0" borderId="68" pivotButton="0" quotePrefix="0" xfId="0"/>
    <xf numFmtId="0" fontId="12" fillId="2" borderId="73" applyAlignment="1" pivotButton="0" quotePrefix="0" xfId="3">
      <alignment horizontal="center" vertical="center"/>
    </xf>
    <xf numFmtId="0" fontId="0" fillId="0" borderId="70" pivotButton="0" quotePrefix="0" xfId="0"/>
    <xf numFmtId="0" fontId="0" fillId="0" borderId="73" pivotButton="0" quotePrefix="0" xfId="0"/>
    <xf numFmtId="0" fontId="12" fillId="2" borderId="82" applyAlignment="1" pivotButton="0" quotePrefix="0" xfId="3">
      <alignment horizontal="center" vertical="center"/>
    </xf>
    <xf numFmtId="0" fontId="12" fillId="2" borderId="79" applyAlignment="1" pivotButton="0" quotePrefix="0" xfId="3">
      <alignment horizontal="center" vertical="center"/>
    </xf>
    <xf numFmtId="0" fontId="0" fillId="0" borderId="64" pivotButton="0" quotePrefix="0" xfId="0"/>
    <xf numFmtId="0" fontId="0" fillId="0" borderId="30" pivotButton="0" quotePrefix="0" xfId="0"/>
    <xf numFmtId="0" fontId="7" fillId="2" borderId="75" applyAlignment="1" pivotButton="0" quotePrefix="0" xfId="3">
      <alignment horizontal="center" vertical="center"/>
    </xf>
    <xf numFmtId="0" fontId="7" fillId="2" borderId="76" applyAlignment="1" pivotButton="0" quotePrefix="0" xfId="3">
      <alignment horizontal="center" vertical="center"/>
    </xf>
    <xf numFmtId="0" fontId="7" fillId="2" borderId="80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77" applyAlignment="1" pivotButton="0" quotePrefix="0" xfId="3">
      <alignment vertical="center"/>
    </xf>
    <xf numFmtId="2" fontId="6" fillId="0" borderId="78" applyAlignment="1" pivotButton="0" quotePrefix="0" xfId="3">
      <alignment vertical="center"/>
    </xf>
    <xf numFmtId="166" fontId="6" fillId="0" borderId="81" applyAlignment="1" pivotButton="0" quotePrefix="0" xfId="3">
      <alignment vertical="center"/>
    </xf>
    <xf numFmtId="0" fontId="1" fillId="0" borderId="0" pivotButton="0" quotePrefix="0" xfId="0"/>
    <xf numFmtId="0" fontId="10" fillId="0" borderId="83" pivotButton="0" quotePrefix="0" xfId="3"/>
    <xf numFmtId="0" fontId="7" fillId="0" borderId="84" applyAlignment="1" pivotButton="0" quotePrefix="0" xfId="3">
      <alignment vertical="center" wrapText="1"/>
    </xf>
    <xf numFmtId="2" fontId="6" fillId="0" borderId="85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166" fontId="24" fillId="0" borderId="89" applyAlignment="1" pivotButton="0" quotePrefix="0" xfId="3">
      <alignment vertical="center"/>
    </xf>
    <xf numFmtId="2" fontId="8" fillId="0" borderId="75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0" fontId="6" fillId="0" borderId="80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17:10:33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10000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n"/>
      <c r="H2" s="7" t="n"/>
      <c r="I2" s="8" t="n"/>
      <c r="J2" s="7" t="n"/>
      <c r="K2" s="7" t="n"/>
      <c r="L2" s="7" t="n"/>
      <c r="M2" s="7" t="n"/>
      <c r="N2" s="7" t="n"/>
      <c r="O2" s="9" t="n"/>
      <c r="Q2" s="0" t="n"/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45" t="inlineStr">
        <is>
          <t>구분</t>
        </is>
      </c>
      <c r="B4" s="146" t="n"/>
      <c r="C4" s="147" t="inlineStr">
        <is>
          <t>보 정 전</t>
        </is>
      </c>
      <c r="D4" s="148" t="n"/>
      <c r="E4" s="148" t="n"/>
      <c r="F4" s="148" t="n"/>
      <c r="G4" s="148" t="n"/>
      <c r="H4" s="149" t="n"/>
      <c r="I4" s="150" t="inlineStr">
        <is>
          <t>보 정 후</t>
        </is>
      </c>
      <c r="J4" s="148" t="n"/>
      <c r="K4" s="148" t="n"/>
      <c r="L4" s="148" t="n"/>
      <c r="M4" s="148" t="n"/>
      <c r="N4" s="149" t="n"/>
      <c r="O4" s="151" t="inlineStr">
        <is>
          <t>비   고</t>
        </is>
      </c>
    </row>
    <row r="5" ht="24" customHeight="1" s="140">
      <c r="A5" s="152" t="n"/>
      <c r="B5" s="153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54" t="inlineStr">
        <is>
          <t>보조원</t>
        </is>
      </c>
      <c r="I5" s="155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54" t="inlineStr">
        <is>
          <t>보조원</t>
        </is>
      </c>
      <c r="O5" s="156" t="inlineStr">
        <is>
          <t>보정계수</t>
        </is>
      </c>
    </row>
    <row r="6" ht="24" customHeight="1" s="140">
      <c r="A6" s="58" t="n"/>
      <c r="B6" s="157">
        <f>'실시계획인가_PDF'!A6</f>
        <v/>
      </c>
      <c r="C6" s="69" t="n"/>
      <c r="D6" s="19" t="n"/>
      <c r="E6" s="19" t="n"/>
      <c r="F6" s="19" t="n"/>
      <c r="G6" s="19" t="n"/>
      <c r="H6" s="158" t="n"/>
      <c r="I6" s="159" t="n"/>
      <c r="J6" s="19" t="n"/>
      <c r="K6" s="19" t="n"/>
      <c r="L6" s="19" t="n"/>
      <c r="M6" s="19" t="n"/>
      <c r="N6" s="158" t="n"/>
      <c r="O6" s="160" t="n"/>
      <c r="P6" s="161" t="n"/>
      <c r="Q6" s="161" t="n"/>
    </row>
    <row r="7" ht="24" customHeight="1" s="140">
      <c r="A7" s="58" t="n"/>
      <c r="B7" s="157">
        <f>'실시계획인가_PDF'!A7</f>
        <v/>
      </c>
      <c r="C7" s="69" t="n"/>
      <c r="D7" s="19" t="n"/>
      <c r="E7" s="19" t="n"/>
      <c r="F7" s="19" t="n"/>
      <c r="G7" s="19" t="n"/>
      <c r="H7" s="158" t="n"/>
      <c r="I7" s="159" t="n"/>
      <c r="J7" s="19" t="n"/>
      <c r="K7" s="19" t="n"/>
      <c r="L7" s="19" t="n"/>
      <c r="M7" s="19" t="n"/>
      <c r="N7" s="158" t="n"/>
      <c r="O7" s="160" t="n"/>
      <c r="P7" s="161" t="n"/>
      <c r="Q7" s="161" t="n"/>
    </row>
    <row r="8" ht="24" customHeight="1" s="140">
      <c r="A8" s="58" t="n"/>
      <c r="B8" s="157">
        <f>'실시계획인가_PDF'!A8</f>
        <v/>
      </c>
      <c r="C8" s="69" t="n"/>
      <c r="D8" s="19" t="n"/>
      <c r="E8" s="19" t="n"/>
      <c r="F8" s="19" t="n"/>
      <c r="G8" s="19" t="n"/>
      <c r="H8" s="158" t="n"/>
      <c r="I8" s="159" t="n"/>
      <c r="J8" s="19" t="n"/>
      <c r="K8" s="19" t="n"/>
      <c r="L8" s="19" t="n"/>
      <c r="M8" s="19" t="n"/>
      <c r="N8" s="158" t="n"/>
      <c r="O8" s="160" t="n"/>
      <c r="P8" s="161" t="n"/>
      <c r="Q8" s="161" t="n"/>
    </row>
    <row r="9" ht="24" customHeight="1" s="140">
      <c r="A9" s="162" t="n"/>
      <c r="B9" s="163" t="inlineStr">
        <is>
          <t>1) 실시계획 승인도서 작성</t>
        </is>
      </c>
      <c r="C9" s="164" t="n">
        <v>0.7</v>
      </c>
      <c r="D9" s="165" t="n">
        <v>0.6</v>
      </c>
      <c r="E9" s="165" t="n">
        <v>1.3</v>
      </c>
      <c r="F9" s="165" t="n">
        <v>1.3</v>
      </c>
      <c r="G9" s="165" t="n">
        <v>3.5</v>
      </c>
      <c r="H9" s="166" t="n"/>
      <c r="I9" s="167">
        <f>ROUND(C9*O9,2)</f>
        <v/>
      </c>
      <c r="J9" s="165">
        <f>ROUND(D9*O9,2)</f>
        <v/>
      </c>
      <c r="K9" s="165">
        <f>ROUND(E9*O9,2)</f>
        <v/>
      </c>
      <c r="L9" s="165">
        <f>ROUND(F9*O9,2)</f>
        <v/>
      </c>
      <c r="M9" s="165">
        <f>ROUND(G9*O9,2)</f>
        <v/>
      </c>
      <c r="N9" s="166" t="n"/>
      <c r="O9" s="168">
        <f>$G$3</f>
        <v/>
      </c>
    </row>
    <row r="10" ht="24" customHeight="1" s="140">
      <c r="A10" s="162" t="n"/>
      <c r="B10" s="163" t="inlineStr">
        <is>
          <t>2) 보고서 작성 및 편집</t>
        </is>
      </c>
      <c r="C10" s="164" t="n">
        <v>0.4</v>
      </c>
      <c r="D10" s="165" t="n">
        <v>0.9</v>
      </c>
      <c r="E10" s="165" t="n">
        <v>1.8</v>
      </c>
      <c r="F10" s="165" t="n">
        <v>1.6</v>
      </c>
      <c r="G10" s="165" t="n">
        <v>2.8</v>
      </c>
      <c r="H10" s="166" t="n"/>
      <c r="I10" s="167">
        <f>ROUND(C10*O10,2)</f>
        <v/>
      </c>
      <c r="J10" s="165">
        <f>ROUND(D10*O10,2)</f>
        <v/>
      </c>
      <c r="K10" s="165">
        <f>ROUND(E10*O10,2)</f>
        <v/>
      </c>
      <c r="L10" s="165">
        <f>ROUND(F10*O10,2)</f>
        <v/>
      </c>
      <c r="M10" s="165">
        <f>ROUND(G10*O10,2)</f>
        <v/>
      </c>
      <c r="N10" s="166" t="n"/>
      <c r="O10" s="168">
        <f>$G$3</f>
        <v/>
      </c>
    </row>
    <row r="11" ht="24" customHeight="1" s="140">
      <c r="A11" s="162" t="n"/>
      <c r="B11" s="163" t="inlineStr">
        <is>
          <t>3) 관련도서 작성</t>
        </is>
      </c>
      <c r="C11" s="164" t="n">
        <v>0.6</v>
      </c>
      <c r="D11" s="165" t="n">
        <v>0.8</v>
      </c>
      <c r="E11" s="165" t="n">
        <v>1.4</v>
      </c>
      <c r="F11" s="165" t="n">
        <v>1.6</v>
      </c>
      <c r="G11" s="165" t="n">
        <v>4.2</v>
      </c>
      <c r="H11" s="166" t="n"/>
      <c r="I11" s="167">
        <f>ROUND(C11*O11,2)</f>
        <v/>
      </c>
      <c r="J11" s="165">
        <f>ROUND(D11*O11,2)</f>
        <v/>
      </c>
      <c r="K11" s="165">
        <f>ROUND(E11*O11,2)</f>
        <v/>
      </c>
      <c r="L11" s="165">
        <f>ROUND(F11*O11,2)</f>
        <v/>
      </c>
      <c r="M11" s="165">
        <f>ROUND(G11*O11,2)</f>
        <v/>
      </c>
      <c r="N11" s="166" t="n"/>
      <c r="O11" s="168">
        <f>$G$3</f>
        <v/>
      </c>
    </row>
    <row r="12" ht="24" customHeight="1" s="140">
      <c r="A12" s="162" t="n"/>
      <c r="B12" s="163" t="inlineStr">
        <is>
          <t>4) 주민공람</t>
        </is>
      </c>
      <c r="C12" s="164" t="n">
        <v>2.4</v>
      </c>
      <c r="D12" s="165" t="n">
        <v>2.5</v>
      </c>
      <c r="E12" s="165" t="n">
        <v>2.6</v>
      </c>
      <c r="F12" s="165" t="n">
        <v>4.7</v>
      </c>
      <c r="G12" s="165" t="n">
        <v>5.1</v>
      </c>
      <c r="H12" s="166" t="n"/>
      <c r="I12" s="167">
        <f>ROUND(C12*O12,2)</f>
        <v/>
      </c>
      <c r="J12" s="165">
        <f>ROUND(D12*O12,2)</f>
        <v/>
      </c>
      <c r="K12" s="165">
        <f>ROUND(E12*O12,2)</f>
        <v/>
      </c>
      <c r="L12" s="165">
        <f>ROUND(F12*O12,2)</f>
        <v/>
      </c>
      <c r="M12" s="165">
        <f>ROUND(G12*O12,2)</f>
        <v/>
      </c>
      <c r="N12" s="166" t="n"/>
      <c r="O12" s="168" t="n">
        <v>1</v>
      </c>
    </row>
    <row r="13" ht="24" customHeight="1" s="140">
      <c r="A13" s="162" t="n"/>
      <c r="B13" s="163" t="inlineStr">
        <is>
          <t>5) 관계기관 협의</t>
        </is>
      </c>
      <c r="C13" s="164" t="n">
        <v>2.4</v>
      </c>
      <c r="D13" s="165" t="n">
        <v>2.5</v>
      </c>
      <c r="E13" s="165" t="n">
        <v>2.6</v>
      </c>
      <c r="F13" s="165" t="n">
        <v>4.7</v>
      </c>
      <c r="G13" s="165" t="n">
        <v>5.1</v>
      </c>
      <c r="H13" s="166" t="n"/>
      <c r="I13" s="167">
        <f>ROUND(C13*O13,2)</f>
        <v/>
      </c>
      <c r="J13" s="165">
        <f>ROUND(D13*O13,2)</f>
        <v/>
      </c>
      <c r="K13" s="165">
        <f>ROUND(E13*O13,2)</f>
        <v/>
      </c>
      <c r="L13" s="165">
        <f>ROUND(F13*O13,2)</f>
        <v/>
      </c>
      <c r="M13" s="165">
        <f>ROUND(G13*O13,2)</f>
        <v/>
      </c>
      <c r="N13" s="166" t="n"/>
      <c r="O13" s="168" t="n">
        <v>1</v>
      </c>
    </row>
    <row r="14" ht="24" customHeight="1" s="140">
      <c r="A14" s="60" t="n"/>
      <c r="B14" s="71" t="inlineStr">
        <is>
          <t>소 계</t>
        </is>
      </c>
      <c r="C14" s="135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36">
        <f>SUM(G9:G13)</f>
        <v/>
      </c>
      <c r="H14" s="169" t="n"/>
      <c r="I14" s="17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20">
        <f>SUM(M9:M13)</f>
        <v/>
      </c>
      <c r="N14" s="169" t="n"/>
      <c r="O14" s="171" t="n"/>
    </row>
    <row r="15">
      <c r="A15" s="172" t="n"/>
      <c r="B15" s="173">
        <f>'실시계획인가_PDF'!A20</f>
        <v/>
      </c>
      <c r="C15" s="172" t="n"/>
      <c r="D15" s="172" t="n"/>
      <c r="E15" s="172" t="n"/>
      <c r="F15" s="172" t="n"/>
      <c r="G15" s="172" t="n"/>
      <c r="H15" s="172" t="n"/>
      <c r="I15" s="172" t="n"/>
      <c r="J15" s="174" t="n"/>
      <c r="K15" s="174" t="n"/>
      <c r="L15" s="175" t="n"/>
      <c r="M15" s="174" t="n"/>
      <c r="N15" s="174" t="n"/>
      <c r="O15" s="174" t="n"/>
      <c r="P15" s="176" t="n"/>
      <c r="Q15" s="176" t="n"/>
    </row>
    <row r="16">
      <c r="A16" s="172" t="n"/>
      <c r="B16" s="173">
        <f>'실시계획인가_PDF'!A21</f>
        <v/>
      </c>
      <c r="C16" s="172" t="n"/>
      <c r="D16" s="172" t="n"/>
      <c r="E16" s="172" t="n"/>
      <c r="F16" s="172" t="n"/>
      <c r="G16" s="172" t="n"/>
      <c r="H16" s="172" t="n"/>
      <c r="I16" s="172" t="n"/>
      <c r="J16" s="174" t="n"/>
      <c r="K16" s="174" t="n"/>
      <c r="L16" s="175" t="n"/>
      <c r="M16" s="174" t="n"/>
      <c r="N16" s="174" t="n"/>
      <c r="O16" s="174" t="n"/>
      <c r="P16" s="176" t="n"/>
      <c r="Q16" s="176" t="n"/>
    </row>
    <row r="17" ht="24" customHeight="1" s="140">
      <c r="A17" s="174" t="n"/>
      <c r="B17" s="173">
        <f>'실시계획인가_PDF'!A22</f>
        <v/>
      </c>
      <c r="C17" s="177" t="n"/>
      <c r="D17" s="177" t="n"/>
      <c r="E17" s="177" t="n"/>
      <c r="F17" s="177" t="n"/>
      <c r="G17" s="177" t="n"/>
      <c r="H17" s="177" t="n"/>
      <c r="I17" s="177" t="n"/>
      <c r="J17" s="177" t="n"/>
      <c r="K17" s="177" t="n"/>
      <c r="L17" s="177" t="n"/>
      <c r="M17" s="177" t="n"/>
      <c r="N17" s="177" t="n"/>
      <c r="O17" s="178" t="n"/>
      <c r="P17" s="176" t="n"/>
      <c r="Q17" s="176" t="n"/>
    </row>
    <row r="18" ht="24" customHeight="1" s="140">
      <c r="A18" s="174" t="n"/>
      <c r="B18" s="173">
        <f>'실시계획인가_PDF'!A23</f>
        <v/>
      </c>
      <c r="C18" s="177" t="n"/>
      <c r="D18" s="177" t="n"/>
      <c r="E18" s="177" t="n"/>
      <c r="F18" s="177" t="n"/>
      <c r="G18" s="177" t="n"/>
      <c r="H18" s="177" t="n"/>
      <c r="I18" s="177" t="n"/>
      <c r="J18" s="177" t="n"/>
      <c r="K18" s="177" t="n"/>
      <c r="L18" s="177" t="n"/>
      <c r="M18" s="177" t="n"/>
      <c r="N18" s="177" t="n"/>
      <c r="O18" s="178" t="n"/>
      <c r="P18" s="176" t="n"/>
      <c r="Q18" s="176" t="n"/>
    </row>
    <row r="19" ht="24" customHeight="1" s="140">
      <c r="A19" s="174" t="n"/>
      <c r="B19" s="173">
        <f>'실시계획인가_PDF'!A24</f>
        <v/>
      </c>
      <c r="C19" s="177" t="n"/>
      <c r="D19" s="177" t="n"/>
      <c r="E19" s="177" t="n"/>
      <c r="F19" s="177" t="n"/>
      <c r="G19" s="177" t="n"/>
      <c r="H19" s="177" t="n"/>
      <c r="I19" s="177" t="n"/>
      <c r="J19" s="177" t="n"/>
      <c r="K19" s="177" t="n"/>
      <c r="L19" s="177" t="n"/>
      <c r="M19" s="177" t="n"/>
      <c r="N19" s="177" t="n"/>
      <c r="O19" s="178" t="n"/>
      <c r="P19" s="176" t="n"/>
      <c r="Q19" s="176" t="n"/>
    </row>
    <row r="20" ht="24" customHeight="1" s="140">
      <c r="A20" s="174" t="n"/>
      <c r="B20" s="173">
        <f>'실시계획인가_PDF'!A25</f>
        <v/>
      </c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8" t="n"/>
      <c r="P20" s="176" t="n"/>
      <c r="Q20" s="176" t="n"/>
    </row>
    <row r="21" ht="24" customHeight="1" s="140">
      <c r="A21" s="174" t="n"/>
      <c r="B21" s="173">
        <f>'실시계획인가_PDF'!A26</f>
        <v/>
      </c>
      <c r="C21" s="177" t="n"/>
      <c r="D21" s="177" t="n"/>
      <c r="E21" s="177" t="n"/>
      <c r="F21" s="177" t="n"/>
      <c r="G21" s="177" t="n"/>
      <c r="H21" s="177" t="n"/>
      <c r="I21" s="177" t="n"/>
      <c r="J21" s="177" t="n"/>
      <c r="K21" s="177" t="n"/>
      <c r="L21" s="177" t="n"/>
      <c r="M21" s="177" t="n"/>
      <c r="N21" s="177" t="n"/>
      <c r="O21" s="178" t="n"/>
      <c r="P21" s="176" t="n"/>
      <c r="Q21" s="176" t="n"/>
    </row>
    <row r="22" ht="24" customHeight="1" s="140">
      <c r="A22" s="174" t="n"/>
      <c r="B22" s="173">
        <f>'실시계획인가_PDF'!A27</f>
        <v/>
      </c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7" t="n"/>
      <c r="O22" s="178" t="n"/>
      <c r="P22" s="176" t="n"/>
      <c r="Q22" s="176" t="n"/>
    </row>
    <row r="23" ht="24" customHeight="1" s="140">
      <c r="A23" s="174" t="n"/>
      <c r="B23" s="173">
        <f>'실시계획인가_PDF'!A28</f>
        <v/>
      </c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7" t="n"/>
      <c r="O23" s="178" t="n"/>
      <c r="P23" s="176" t="n"/>
      <c r="Q23" s="176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9" t="inlineStr">
        <is>
          <t>종   별</t>
        </is>
      </c>
      <c r="B2" s="180" t="inlineStr">
        <is>
          <t>규 격</t>
        </is>
      </c>
      <c r="C2" s="180" t="inlineStr">
        <is>
          <t>수  량</t>
        </is>
      </c>
      <c r="D2" s="180" t="inlineStr">
        <is>
          <t>단위</t>
        </is>
      </c>
      <c r="E2" s="181" t="inlineStr">
        <is>
          <t>총      계</t>
        </is>
      </c>
      <c r="F2" s="182" t="n"/>
      <c r="G2" s="181" t="inlineStr">
        <is>
          <t>재     료     비</t>
        </is>
      </c>
      <c r="H2" s="182" t="n"/>
      <c r="I2" s="181" t="inlineStr">
        <is>
          <t>노     무     비</t>
        </is>
      </c>
      <c r="J2" s="182" t="n"/>
      <c r="K2" s="181" t="inlineStr">
        <is>
          <t>경          비</t>
        </is>
      </c>
      <c r="L2" s="182" t="n"/>
      <c r="M2" s="183" t="inlineStr">
        <is>
          <t>비 고</t>
        </is>
      </c>
    </row>
    <row r="3" ht="18" customHeight="1" s="140">
      <c r="A3" s="184" t="n"/>
      <c r="B3" s="185" t="n"/>
      <c r="C3" s="185" t="n"/>
      <c r="D3" s="185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6" t="n"/>
    </row>
    <row r="4" ht="18" customHeight="1" s="140">
      <c r="A4" s="111" t="inlineStr">
        <is>
          <t xml:space="preserve"> 가. 직접인건비</t>
        </is>
      </c>
      <c r="B4" s="187" t="n"/>
      <c r="C4" s="104" t="n"/>
      <c r="D4" s="104" t="n"/>
      <c r="E4" s="105" t="n"/>
      <c r="F4" s="188" t="n"/>
      <c r="G4" s="104" t="n"/>
      <c r="H4" s="104" t="n"/>
      <c r="I4" s="104" t="n"/>
      <c r="J4" s="189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7" t="n"/>
      <c r="C5" s="95" t="n">
        <v>1</v>
      </c>
      <c r="D5" s="104" t="inlineStr">
        <is>
          <t>식</t>
        </is>
      </c>
      <c r="E5" s="105" t="n"/>
      <c r="F5" s="188" t="n"/>
      <c r="G5" s="104" t="n"/>
      <c r="H5" s="104" t="n"/>
      <c r="I5" s="104" t="n"/>
      <c r="J5" s="189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7" t="n"/>
      <c r="C6" s="104" t="n"/>
      <c r="D6" s="104" t="n"/>
      <c r="E6" s="105" t="n"/>
      <c r="F6" s="188" t="n"/>
      <c r="G6" s="105" t="n"/>
      <c r="H6" s="105" t="n"/>
      <c r="I6" s="105" t="n"/>
      <c r="J6" s="189">
        <f>SUM(J5:J5)</f>
        <v/>
      </c>
      <c r="K6" s="105" t="n"/>
      <c r="L6" s="105" t="n"/>
      <c r="M6" s="92" t="n"/>
    </row>
    <row r="7" ht="18" customHeight="1" s="140">
      <c r="A7" s="103" t="n"/>
      <c r="B7" s="187" t="n"/>
      <c r="C7" s="104" t="n"/>
      <c r="D7" s="104" t="n"/>
      <c r="E7" s="105" t="n"/>
      <c r="F7" s="188" t="n"/>
      <c r="G7" s="104" t="n"/>
      <c r="H7" s="104" t="n"/>
      <c r="I7" s="104" t="n"/>
      <c r="J7" s="189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7" t="n"/>
      <c r="C8" s="112" t="n"/>
      <c r="D8" s="18" t="n"/>
      <c r="E8" s="105" t="inlineStr">
        <is>
          <t xml:space="preserve">(직접인건비)x </t>
        </is>
      </c>
      <c r="F8" s="188" t="n"/>
      <c r="G8" s="31">
        <f>P8</f>
        <v/>
      </c>
      <c r="H8" s="32" t="n"/>
      <c r="I8" s="18" t="n"/>
      <c r="J8" s="189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7" t="n"/>
      <c r="C9" s="112" t="n"/>
      <c r="D9" s="18" t="n"/>
      <c r="E9" s="105" t="inlineStr">
        <is>
          <t>(직접인건비+제경비)x</t>
        </is>
      </c>
      <c r="F9" s="188" t="n"/>
      <c r="G9" s="31">
        <f>P9</f>
        <v/>
      </c>
      <c r="H9" s="32" t="n"/>
      <c r="I9" s="33" t="n"/>
      <c r="J9" s="189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7" t="n"/>
      <c r="C10" s="104" t="n"/>
      <c r="D10" s="104" t="n"/>
      <c r="E10" s="105" t="n"/>
      <c r="F10" s="188" t="n"/>
      <c r="G10" s="104" t="n"/>
      <c r="H10" s="104" t="n"/>
      <c r="I10" s="104" t="n"/>
      <c r="J10" s="189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7" t="n"/>
      <c r="C11" s="93" t="n"/>
      <c r="D11" s="104" t="n"/>
      <c r="E11" s="105" t="n"/>
      <c r="F11" s="188" t="n"/>
      <c r="G11" s="104" t="n"/>
      <c r="H11" s="104" t="n"/>
      <c r="I11" s="104" t="n"/>
      <c r="J11" s="189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7" t="n"/>
      <c r="C12" s="37" t="n"/>
      <c r="D12" s="37" t="n"/>
      <c r="E12" s="105" t="n"/>
      <c r="F12" s="188" t="n"/>
      <c r="G12" s="37" t="n"/>
      <c r="H12" s="37" t="n"/>
      <c r="I12" s="37" t="n"/>
      <c r="J12" s="190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7" t="n"/>
      <c r="C13" s="131" t="n"/>
      <c r="D13" s="131" t="n"/>
      <c r="E13" s="132" t="n"/>
      <c r="F13" s="188" t="n"/>
      <c r="G13" s="131" t="n"/>
      <c r="H13" s="131" t="n"/>
      <c r="I13" s="131" t="n"/>
      <c r="J13" s="191">
        <f>ROUNDDOWN(J12,-5)</f>
        <v/>
      </c>
      <c r="K13" s="131" t="n"/>
      <c r="L13" s="131" t="n"/>
      <c r="M13" s="134" t="n"/>
      <c r="N13" s="87" t="n"/>
      <c r="O13" s="192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3" t="n"/>
      <c r="C14" s="94" t="n"/>
      <c r="D14" s="40" t="n"/>
      <c r="E14" s="108" t="n"/>
      <c r="F14" s="194" t="n"/>
      <c r="G14" s="107" t="n"/>
      <c r="H14" s="107" t="n"/>
      <c r="I14" s="107" t="n"/>
      <c r="J14" s="195" t="n"/>
      <c r="K14" s="107" t="n"/>
      <c r="L14" s="107" t="n"/>
      <c r="M14" s="41" t="n"/>
      <c r="N14" s="87" t="n"/>
      <c r="O14" s="196" t="inlineStr">
        <is>
          <t>구   분</t>
        </is>
      </c>
      <c r="P14" s="197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8" t="inlineStr">
        <is>
          <t>기술사</t>
        </is>
      </c>
      <c r="P15" s="199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9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200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'실시계획인가_작업량'!J14</f>
        <v/>
      </c>
      <c r="D18" s="104" t="inlineStr">
        <is>
          <t>인</t>
        </is>
      </c>
      <c r="E18" s="201" t="n"/>
      <c r="F18" s="201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200" t="n">
        <v>295138</v>
      </c>
      <c r="Q18" s="202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'실시계획인가_작업량'!K14</f>
        <v/>
      </c>
      <c r="D19" s="104" t="inlineStr">
        <is>
          <t>인</t>
        </is>
      </c>
      <c r="E19" s="201" t="n"/>
      <c r="F19" s="201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200" t="n">
        <v>235459</v>
      </c>
      <c r="Q19" s="202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'실시계획인가_작업량'!L14</f>
        <v/>
      </c>
      <c r="D20" s="104" t="inlineStr">
        <is>
          <t>인</t>
        </is>
      </c>
      <c r="E20" s="201" t="n"/>
      <c r="F20" s="201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3" t="n">
        <v>281075</v>
      </c>
      <c r="Q20" s="202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'실시계획인가_작업량'!M14</f>
        <v/>
      </c>
      <c r="D21" s="104" t="inlineStr">
        <is>
          <t>인</t>
        </is>
      </c>
      <c r="E21" s="201" t="n"/>
      <c r="F21" s="201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3" t="n">
        <v>250087</v>
      </c>
      <c r="Q21" s="202" t="n"/>
      <c r="R21" s="87" t="n"/>
    </row>
    <row r="22" ht="18" customHeight="1" s="140" thickBot="1">
      <c r="A22" s="103" t="n"/>
      <c r="B22" s="18" t="n"/>
      <c r="C22" s="48" t="n"/>
      <c r="D22" s="104" t="n"/>
      <c r="E22" s="201" t="n"/>
      <c r="F22" s="201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4" t="n">
        <v>218142</v>
      </c>
      <c r="Q22" s="205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6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7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7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7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8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8" t="inlineStr">
        <is>
          <t>쪽수</t>
        </is>
      </c>
      <c r="B2" s="0" t="n">
        <v>1</v>
      </c>
    </row>
    <row r="3">
      <c r="A3" s="208" t="inlineStr">
        <is>
          <t>추출일시</t>
        </is>
      </c>
      <c r="B3" s="0" t="inlineStr">
        <is>
          <t>2026-05-12 17:10:33</t>
        </is>
      </c>
    </row>
    <row r="4"/>
    <row r="5">
      <c r="A5" s="209" t="inlineStr">
        <is>
          <t>상단 머릿글</t>
        </is>
      </c>
    </row>
    <row r="6">
      <c r="A6" s="210" t="inlineStr">
        <is>
          <t>국토계획 제12장 사업관리</t>
        </is>
      </c>
    </row>
    <row r="7">
      <c r="A7" s="210" t="inlineStr">
        <is>
          <t>라. 투입인원수 산정기준</t>
        </is>
      </c>
    </row>
    <row r="8">
      <c r="A8" s="210" t="inlineStr">
        <is>
          <t>(1) 도시ㆍ군계획시설사업 실시계획인가</t>
        </is>
      </c>
    </row>
    <row r="9"/>
    <row r="10">
      <c r="A10" s="209" t="inlineStr">
        <is>
          <t>표 1</t>
        </is>
      </c>
    </row>
    <row r="11">
      <c r="A11" s="210" t="inlineStr">
        <is>
          <t>기본업무</t>
        </is>
      </c>
      <c r="B11" s="210" t="inlineStr">
        <is>
          <t>단 위</t>
        </is>
      </c>
      <c r="C11" s="210" t="inlineStr">
        <is>
          <t>기준인원수(인ㆍ일/단위)</t>
        </is>
      </c>
      <c r="D11" s="210" t="inlineStr"/>
      <c r="E11" s="210" t="inlineStr"/>
      <c r="F11" s="210" t="inlineStr"/>
      <c r="G11" s="210" t="inlineStr"/>
      <c r="H11" s="210" t="inlineStr">
        <is>
          <t>환산
계수</t>
        </is>
      </c>
    </row>
    <row r="12">
      <c r="A12" s="210" t="inlineStr"/>
      <c r="B12" s="210" t="inlineStr"/>
      <c r="C12" s="210" t="inlineStr">
        <is>
          <t>기술사</t>
        </is>
      </c>
      <c r="D12" s="210" t="inlineStr">
        <is>
          <t>특 급
기술자</t>
        </is>
      </c>
      <c r="E12" s="210" t="inlineStr">
        <is>
          <t>고 급
기술자</t>
        </is>
      </c>
      <c r="F12" s="210" t="inlineStr">
        <is>
          <t>중 급
기술자</t>
        </is>
      </c>
      <c r="G12" s="210" t="inlineStr">
        <is>
          <t>초 급
기술자</t>
        </is>
      </c>
      <c r="H12" s="210" t="inlineStr"/>
    </row>
    <row r="13">
      <c r="A13" s="210" t="inlineStr">
        <is>
          <t>1. 실시계획 승인도서 작성</t>
        </is>
      </c>
      <c r="B13" s="210" t="inlineStr">
        <is>
          <t>1만㎡</t>
        </is>
      </c>
      <c r="C13" s="210" t="inlineStr">
        <is>
          <t>0.7</t>
        </is>
      </c>
      <c r="D13" s="210" t="inlineStr">
        <is>
          <t>0.6</t>
        </is>
      </c>
      <c r="E13" s="210" t="inlineStr">
        <is>
          <t>1.3</t>
        </is>
      </c>
      <c r="F13" s="210" t="inlineStr">
        <is>
          <t>1.3</t>
        </is>
      </c>
      <c r="G13" s="210" t="inlineStr">
        <is>
          <t>3.5</t>
        </is>
      </c>
      <c r="H13" s="210" t="inlineStr">
        <is>
          <t>①</t>
        </is>
      </c>
    </row>
    <row r="14">
      <c r="A14" s="210" t="inlineStr">
        <is>
          <t>2. 보고서 작성 및 편집</t>
        </is>
      </c>
      <c r="B14" s="210" t="inlineStr">
        <is>
          <t>1만㎡</t>
        </is>
      </c>
      <c r="C14" s="210" t="inlineStr">
        <is>
          <t>0.4</t>
        </is>
      </c>
      <c r="D14" s="210" t="inlineStr">
        <is>
          <t>0.9</t>
        </is>
      </c>
      <c r="E14" s="210" t="inlineStr">
        <is>
          <t>1.8</t>
        </is>
      </c>
      <c r="F14" s="210" t="inlineStr">
        <is>
          <t>1.6</t>
        </is>
      </c>
      <c r="G14" s="210" t="inlineStr">
        <is>
          <t>2.8</t>
        </is>
      </c>
      <c r="H14" s="210" t="inlineStr">
        <is>
          <t>①</t>
        </is>
      </c>
    </row>
    <row r="15">
      <c r="A15" s="210" t="inlineStr">
        <is>
          <t>3. 관련도서 작성</t>
        </is>
      </c>
      <c r="B15" s="210" t="inlineStr">
        <is>
          <t>1만㎡</t>
        </is>
      </c>
      <c r="C15" s="210" t="inlineStr">
        <is>
          <t>0.6</t>
        </is>
      </c>
      <c r="D15" s="210" t="inlineStr">
        <is>
          <t>0.8</t>
        </is>
      </c>
      <c r="E15" s="210" t="inlineStr">
        <is>
          <t>1.4</t>
        </is>
      </c>
      <c r="F15" s="210" t="inlineStr">
        <is>
          <t>1.6</t>
        </is>
      </c>
      <c r="G15" s="210" t="inlineStr">
        <is>
          <t>4.2</t>
        </is>
      </c>
      <c r="H15" s="210" t="inlineStr">
        <is>
          <t>①</t>
        </is>
      </c>
    </row>
    <row r="16">
      <c r="A16" s="210" t="inlineStr">
        <is>
          <t>4. 주민공람</t>
        </is>
      </c>
      <c r="B16" s="210" t="inlineStr">
        <is>
          <t>식</t>
        </is>
      </c>
      <c r="C16" s="210" t="inlineStr">
        <is>
          <t>2.4</t>
        </is>
      </c>
      <c r="D16" s="210" t="inlineStr">
        <is>
          <t>2.5</t>
        </is>
      </c>
      <c r="E16" s="210" t="inlineStr">
        <is>
          <t>2.6</t>
        </is>
      </c>
      <c r="F16" s="210" t="inlineStr">
        <is>
          <t>4.7</t>
        </is>
      </c>
      <c r="G16" s="210" t="inlineStr">
        <is>
          <t>5.1</t>
        </is>
      </c>
      <c r="H16" s="210" t="inlineStr">
        <is>
          <t>②</t>
        </is>
      </c>
    </row>
    <row r="17">
      <c r="A17" s="210" t="inlineStr">
        <is>
          <t>5. 관계기관 협의</t>
        </is>
      </c>
      <c r="B17" s="210" t="inlineStr">
        <is>
          <t>식</t>
        </is>
      </c>
      <c r="C17" s="210" t="inlineStr">
        <is>
          <t>2.4</t>
        </is>
      </c>
      <c r="D17" s="210" t="inlineStr">
        <is>
          <t>2.5</t>
        </is>
      </c>
      <c r="E17" s="210" t="inlineStr">
        <is>
          <t>2.6</t>
        </is>
      </c>
      <c r="F17" s="210" t="inlineStr">
        <is>
          <t>4.7</t>
        </is>
      </c>
      <c r="G17" s="210" t="inlineStr">
        <is>
          <t>5.1</t>
        </is>
      </c>
      <c r="H17" s="210" t="inlineStr">
        <is>
          <t>②</t>
        </is>
      </c>
    </row>
    <row r="18"/>
    <row r="19">
      <c r="A19" s="161" t="inlineStr">
        <is>
          <t>주기</t>
        </is>
      </c>
    </row>
    <row r="20">
      <c r="A20" s="211" t="inlineStr">
        <is>
          <t>주 1) 토지적성평가, 사업인정의제협의, 농지ㆍ산지전용협의, 국공유지무상귀속 등은 별도 산정한다.</t>
        </is>
      </c>
      <c r="B20" s="212" t="n"/>
      <c r="C20" s="212" t="n"/>
      <c r="D20" s="212" t="n"/>
      <c r="E20" s="212" t="n"/>
      <c r="F20" s="212" t="n"/>
      <c r="G20" s="212" t="n"/>
      <c r="H20" s="212" t="n"/>
    </row>
    <row r="21">
      <c r="A21" s="211" t="inlineStr">
        <is>
          <t>2) 지하안전영향평가 등 각종 영향성검토 및 각종 영향평가업무는 별도 산정한다.</t>
        </is>
      </c>
      <c r="B21" s="212" t="n"/>
      <c r="C21" s="212" t="n"/>
      <c r="D21" s="212" t="n"/>
      <c r="E21" s="212" t="n"/>
      <c r="F21" s="212" t="n"/>
      <c r="G21" s="212" t="n"/>
      <c r="H21" s="212" t="n"/>
    </row>
    <row r="22">
      <c r="A22" s="211" t="inlineStr">
        <is>
          <t>3) 기본설계 및 실시설계, 측량, 토질조사 등 설계 및 조사, 시험은 별도 산정한다.</t>
        </is>
      </c>
      <c r="B22" s="212" t="n"/>
      <c r="C22" s="212" t="n"/>
      <c r="D22" s="212" t="n"/>
      <c r="E22" s="212" t="n"/>
      <c r="F22" s="212" t="n"/>
      <c r="G22" s="212" t="n"/>
      <c r="H22" s="212" t="n"/>
    </row>
    <row r="23">
      <c r="A23" s="211" t="inlineStr">
        <is>
          <t>3) 실시계획인가는 도시ㆍ군관리계획 결정 이후 도시ㆍ군계획시설사업 시행 시 적용한다.</t>
        </is>
      </c>
      <c r="B23" s="212" t="n"/>
      <c r="C23" s="212" t="n"/>
      <c r="D23" s="212" t="n"/>
      <c r="E23" s="212" t="n"/>
      <c r="F23" s="212" t="n"/>
      <c r="G23" s="212" t="n"/>
      <c r="H23" s="212" t="n"/>
    </row>
    <row r="24">
      <c r="A24" s="211" t="inlineStr">
        <is>
          <t>4) 실시계획인가 업무내용 중 보고서 작성 및 편집은 필요시 적용한다.</t>
        </is>
      </c>
      <c r="B24" s="212" t="n"/>
      <c r="C24" s="212" t="n"/>
      <c r="D24" s="212" t="n"/>
      <c r="E24" s="212" t="n"/>
      <c r="F24" s="212" t="n"/>
      <c r="G24" s="212" t="n"/>
      <c r="H24" s="212" t="n"/>
    </row>
    <row r="25">
      <c r="A25" s="211" t="inlineStr">
        <is>
          <t>5) 해당 시설의 종류에 따라 면적(面的)시설 또는 선적(線的)시설로 구분하고, 구분에 따라 규모를 산정하며 기준면적(거리)은</t>
        </is>
      </c>
      <c r="B25" s="212" t="n"/>
      <c r="C25" s="212" t="n"/>
      <c r="D25" s="212" t="n"/>
      <c r="E25" s="212" t="n"/>
      <c r="F25" s="212" t="n"/>
      <c r="G25" s="212" t="n"/>
      <c r="H25" s="212" t="n"/>
    </row>
    <row r="26">
      <c r="A26" s="211" t="inlineStr">
        <is>
          <t>1만㎡(1.0km)를 원칙으로 한다.</t>
        </is>
      </c>
      <c r="B26" s="212" t="n"/>
      <c r="C26" s="212" t="n"/>
      <c r="D26" s="212" t="n"/>
      <c r="E26" s="212" t="n"/>
      <c r="F26" s="212" t="n"/>
      <c r="G26" s="212" t="n"/>
      <c r="H26" s="212" t="n"/>
    </row>
    <row r="27">
      <c r="A27" s="211" t="inlineStr">
        <is>
          <t>6) 기술협의 단위‘식’이란 인허가 신청 후 승인 고시까지의 업무이며, 고시 이후에는 별도 산정한다.</t>
        </is>
      </c>
      <c r="B27" s="212" t="n"/>
      <c r="C27" s="212" t="n"/>
      <c r="D27" s="212" t="n"/>
      <c r="E27" s="212" t="n"/>
      <c r="F27" s="212" t="n"/>
      <c r="G27" s="212" t="n"/>
      <c r="H27" s="212" t="n"/>
    </row>
    <row r="28">
      <c r="A28" s="211" t="inlineStr">
        <is>
          <t>7) 위원회 자문ㆍ심의지원 중 공동심의, 통합심의일 경우 50%를 가산한다.</t>
        </is>
      </c>
      <c r="B28" s="212" t="n"/>
      <c r="C28" s="212" t="n"/>
      <c r="D28" s="212" t="n"/>
      <c r="E28" s="212" t="n"/>
      <c r="F28" s="212" t="n"/>
      <c r="G28" s="212" t="n"/>
      <c r="H28" s="2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2026-05-12T08:10:33Z</dcterms:modified>
  <cp:lastModifiedBy>saman</cp:lastModifiedBy>
</cp:coreProperties>
</file>