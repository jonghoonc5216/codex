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12-6 실시계획인가_금액" sheetId="2" state="visible" r:id="rId2"/>
    <sheet name="12-6 실시계획인가_작업량" sheetId="3" state="visible" r:id="rId3"/>
    <sheet name="12-6 실시계획인가_PDF" sheetId="4" state="visible" r:id="rId4"/>
  </sheets>
  <definedNames>
    <definedName name="_xlnm.Print_Area" localSheetId="1">'12-6 실시계획인가_금액'!$A$1:$M$52</definedName>
    <definedName name="_xlnm.Print_Area" localSheetId="2">'12-6 실시계획인가_작업량'!$A$1:$N$23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215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6" fillId="0" borderId="9" applyAlignment="1" pivotButton="0" quotePrefix="0" xfId="4">
      <alignment horizontal="right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8" fillId="3" borderId="9" applyAlignment="1" pivotButton="0" quotePrefix="0" xfId="4">
      <alignment horizontal="righ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0" fontId="1" fillId="0" borderId="47" pivotButton="0" quotePrefix="0" xfId="0"/>
    <xf numFmtId="0" fontId="1" fillId="0" borderId="31" pivotButton="0" quotePrefix="0" xfId="0"/>
    <xf numFmtId="0" fontId="1" fillId="0" borderId="0" pivotButton="0" quotePrefix="0" xfId="0"/>
    <xf numFmtId="0" fontId="1" fillId="0" borderId="0" pivotButton="0" quotePrefix="0" xfId="7"/>
    <xf numFmtId="0" fontId="1" fillId="0" borderId="0" pivotButton="0" quotePrefix="0" xfId="6"/>
    <xf numFmtId="164" fontId="6" fillId="0" borderId="12" applyAlignment="1" pivotButton="0" quotePrefix="0" xfId="4">
      <alignment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8" fillId="2" borderId="83" applyAlignment="1" pivotButton="0" quotePrefix="0" xfId="3">
      <alignment horizontal="center" vertical="center"/>
    </xf>
    <xf numFmtId="0" fontId="12" fillId="2" borderId="74" applyAlignment="1" pivotButton="0" quotePrefix="0" xfId="3">
      <alignment horizontal="center" vertical="center"/>
    </xf>
    <xf numFmtId="0" fontId="0" fillId="0" borderId="71" pivotButton="0" quotePrefix="0" xfId="0"/>
    <xf numFmtId="0" fontId="0" fillId="0" borderId="74" pivotButton="0" quotePrefix="0" xfId="0"/>
    <xf numFmtId="0" fontId="12" fillId="2" borderId="85" applyAlignment="1" pivotButton="0" quotePrefix="0" xfId="3">
      <alignment horizontal="center" vertical="center"/>
    </xf>
    <xf numFmtId="0" fontId="12" fillId="2" borderId="80" applyAlignment="1" pivotButton="0" quotePrefix="0" xfId="3">
      <alignment horizontal="center" vertical="center"/>
    </xf>
    <xf numFmtId="0" fontId="0" fillId="0" borderId="84" pivotButton="0" quotePrefix="0" xfId="0"/>
    <xf numFmtId="0" fontId="7" fillId="2" borderId="76" applyAlignment="1" pivotButton="0" quotePrefix="0" xfId="3">
      <alignment horizontal="center" vertical="center"/>
    </xf>
    <xf numFmtId="0" fontId="7" fillId="2" borderId="77" applyAlignment="1" pivotButton="0" quotePrefix="0" xfId="3">
      <alignment horizontal="center" vertical="center"/>
    </xf>
    <xf numFmtId="0" fontId="7" fillId="2" borderId="81" applyAlignment="1" pivotButton="0" quotePrefix="0" xfId="3">
      <alignment horizontal="center" vertical="center"/>
    </xf>
    <xf numFmtId="0" fontId="7" fillId="5" borderId="14" applyAlignment="1" pivotButton="0" quotePrefix="0" xfId="3">
      <alignment vertical="center"/>
    </xf>
    <xf numFmtId="2" fontId="6" fillId="5" borderId="31" applyAlignment="1" pivotButton="0" quotePrefix="0" xfId="3">
      <alignment vertical="center"/>
    </xf>
    <xf numFmtId="2" fontId="6" fillId="5" borderId="12" applyAlignment="1" pivotButton="0" quotePrefix="0" xfId="3">
      <alignment vertical="center"/>
    </xf>
    <xf numFmtId="2" fontId="6" fillId="5" borderId="78" applyAlignment="1" pivotButton="0" quotePrefix="0" xfId="3">
      <alignment vertical="center"/>
    </xf>
    <xf numFmtId="2" fontId="6" fillId="5" borderId="79" applyAlignment="1" pivotButton="0" quotePrefix="0" xfId="3">
      <alignment vertical="center"/>
    </xf>
    <xf numFmtId="166" fontId="6" fillId="5" borderId="82" applyAlignment="1" pivotButton="0" quotePrefix="0" xfId="3">
      <alignment vertical="center"/>
    </xf>
    <xf numFmtId="0" fontId="12" fillId="0" borderId="86" applyAlignment="1" pivotButton="0" quotePrefix="0" xfId="3">
      <alignment vertical="center" wrapText="1"/>
    </xf>
    <xf numFmtId="2" fontId="6" fillId="0" borderId="87" applyAlignment="1" pivotButton="0" quotePrefix="0" xfId="3">
      <alignment vertical="center"/>
    </xf>
    <xf numFmtId="2" fontId="6" fillId="0" borderId="88" applyAlignment="1" pivotButton="0" quotePrefix="0" xfId="3">
      <alignment vertical="center"/>
    </xf>
    <xf numFmtId="2" fontId="6" fillId="0" borderId="89" applyAlignment="1" pivotButton="0" quotePrefix="0" xfId="3">
      <alignment vertical="center"/>
    </xf>
    <xf numFmtId="2" fontId="6" fillId="0" borderId="90" applyAlignment="1" pivotButton="0" quotePrefix="0" xfId="3">
      <alignment vertical="center"/>
    </xf>
    <xf numFmtId="166" fontId="24" fillId="0" borderId="91" applyAlignment="1" pivotButton="0" quotePrefix="0" xfId="3">
      <alignment vertical="center"/>
    </xf>
    <xf numFmtId="2" fontId="8" fillId="0" borderId="76" applyAlignment="1" pivotButton="0" quotePrefix="0" xfId="3">
      <alignment vertical="center"/>
    </xf>
    <xf numFmtId="2" fontId="8" fillId="0" borderId="77" applyAlignment="1" pivotButton="0" quotePrefix="0" xfId="3">
      <alignment vertical="center"/>
    </xf>
    <xf numFmtId="0" fontId="6" fillId="0" borderId="81" applyAlignment="1" pivotButton="0" quotePrefix="0" xfId="3">
      <alignment vertical="center"/>
    </xf>
    <xf numFmtId="0" fontId="7" fillId="0" borderId="66" applyAlignment="1" pivotButton="0" quotePrefix="0" xfId="3">
      <alignment vertical="center"/>
    </xf>
    <xf numFmtId="0" fontId="13" fillId="0" borderId="66" applyAlignment="1" pivotButton="0" quotePrefix="0" xfId="3">
      <alignment vertical="center"/>
    </xf>
    <xf numFmtId="0" fontId="10" fillId="0" borderId="66" pivotButton="0" quotePrefix="0" xfId="3"/>
    <xf numFmtId="0" fontId="14" fillId="0" borderId="66" pivotButton="0" quotePrefix="0" xfId="3"/>
    <xf numFmtId="0" fontId="1" fillId="0" borderId="66" pivotButton="0" quotePrefix="0" xfId="0"/>
    <xf numFmtId="2" fontId="6" fillId="0" borderId="66" applyAlignment="1" pivotButton="0" quotePrefix="0" xfId="3">
      <alignment vertical="center"/>
    </xf>
    <xf numFmtId="0" fontId="6" fillId="0" borderId="66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66" applyAlignment="1" pivotButton="0" quotePrefix="0" xfId="0">
      <alignment vertical="top"/>
    </xf>
    <xf numFmtId="0" fontId="0" fillId="0" borderId="6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52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2026-05-13 10:16:49</t>
        </is>
      </c>
    </row>
    <row r="8"/>
    <row r="9">
      <c r="A9" t="inlineStr">
        <is>
          <t>PDF</t>
        </is>
      </c>
      <c r="B9" t="inlineStr">
        <is>
          <t>C:\Users\saman\Desktop\Ai 실습\_새 폴더\12-6 실시계획인가.pdf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2.125" customWidth="1" style="140" min="2" max="2"/>
    <col width="7" customWidth="1" style="140" min="3" max="4"/>
    <col width="13" customWidth="1" style="140" min="4" max="4"/>
    <col width="9" customWidth="1" style="140" min="5" max="6"/>
    <col width="13" customWidth="1" style="140" min="6" max="6"/>
    <col width="9.125" customWidth="1" style="140" min="7" max="8"/>
    <col width="13" customWidth="1" style="140" min="8" max="8"/>
    <col width="13" customWidth="1" style="140" min="9" max="10"/>
    <col width="13.875" customWidth="1" style="140" min="10" max="10"/>
    <col width="9.125" customWidth="1" style="140" min="11" max="12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12-6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재     료     비</t>
        </is>
      </c>
      <c r="H2" s="145" t="n"/>
      <c r="I2" s="144" t="inlineStr">
        <is>
          <t>노     무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O3" s="150" t="inlineStr">
        <is>
          <t>■ 엔지니어링 노임단가(2026년_건설)</t>
        </is>
      </c>
      <c r="P3" s="89" t="n"/>
      <c r="Q3" s="90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05" t="n"/>
      <c r="F4" s="152" t="n"/>
      <c r="G4" s="104" t="n"/>
      <c r="H4" s="104" t="n"/>
      <c r="I4" s="104" t="n"/>
      <c r="J4" s="153" t="n"/>
      <c r="K4" s="104" t="n"/>
      <c r="L4" s="104" t="n"/>
      <c r="M4" s="92" t="n"/>
      <c r="O4" s="154" t="inlineStr">
        <is>
          <t>구   분</t>
        </is>
      </c>
      <c r="P4" s="155" t="inlineStr">
        <is>
          <t>노  무  비</t>
        </is>
      </c>
      <c r="Q4" s="75" t="inlineStr">
        <is>
          <t>비   고</t>
        </is>
      </c>
    </row>
    <row r="5" ht="24" customHeight="1" s="140">
      <c r="A5" s="111" t="inlineStr">
        <is>
          <t xml:space="preserve">  1. 실시계획인가</t>
        </is>
      </c>
      <c r="B5" s="151" t="n"/>
      <c r="C5" s="95" t="n">
        <v>1</v>
      </c>
      <c r="D5" s="104" t="inlineStr">
        <is>
          <t>식</t>
        </is>
      </c>
      <c r="E5" s="105" t="n"/>
      <c r="F5" s="152" t="n"/>
      <c r="G5" s="104" t="n"/>
      <c r="H5" s="104" t="n"/>
      <c r="I5" s="104" t="n"/>
      <c r="J5" s="153">
        <f>J15</f>
        <v/>
      </c>
      <c r="K5" s="104" t="n"/>
      <c r="L5" s="104" t="n"/>
      <c r="M5" s="92" t="n"/>
      <c r="O5" s="156" t="inlineStr">
        <is>
          <t>기술사</t>
        </is>
      </c>
      <c r="P5" s="157" t="n">
        <v>467217</v>
      </c>
      <c r="Q5" s="78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05" t="n"/>
      <c r="F6" s="152" t="n"/>
      <c r="G6" s="105" t="n"/>
      <c r="H6" s="105" t="n"/>
      <c r="I6" s="105" t="n"/>
      <c r="J6" s="153">
        <f>SUM(J5:J5)</f>
        <v/>
      </c>
      <c r="K6" s="105" t="n"/>
      <c r="L6" s="105" t="n"/>
      <c r="M6" s="92" t="n"/>
      <c r="O6" s="79" t="inlineStr">
        <is>
          <t>특급기술자</t>
        </is>
      </c>
      <c r="P6" s="157" t="n">
        <v>373353</v>
      </c>
      <c r="Q6" s="80" t="n"/>
    </row>
    <row r="7" ht="24" customHeight="1" s="140">
      <c r="A7" s="103" t="n"/>
      <c r="B7" s="151" t="n"/>
      <c r="C7" s="104" t="n"/>
      <c r="D7" s="104" t="n"/>
      <c r="E7" s="105" t="n"/>
      <c r="F7" s="152" t="n"/>
      <c r="G7" s="104" t="n"/>
      <c r="H7" s="104" t="n"/>
      <c r="I7" s="104" t="n"/>
      <c r="J7" s="153" t="n"/>
      <c r="K7" s="104" t="n"/>
      <c r="L7" s="104" t="n"/>
      <c r="M7" s="92" t="n"/>
      <c r="O7" s="81" t="inlineStr">
        <is>
          <t>고급기술자</t>
        </is>
      </c>
      <c r="P7" s="158" t="n">
        <v>310884</v>
      </c>
      <c r="Q7" s="83" t="n"/>
    </row>
    <row r="8" ht="24" customHeight="1" s="140">
      <c r="A8" s="111" t="inlineStr">
        <is>
          <t xml:space="preserve"> 나. 제  경  비</t>
        </is>
      </c>
      <c r="B8" s="151" t="n"/>
      <c r="C8" s="112" t="n"/>
      <c r="D8" s="18" t="n"/>
      <c r="E8" s="105" t="inlineStr">
        <is>
          <t xml:space="preserve">(직접인건비)x </t>
        </is>
      </c>
      <c r="F8" s="152" t="n"/>
      <c r="G8" s="31" t="n">
        <v>1.1</v>
      </c>
      <c r="H8" s="32" t="n"/>
      <c r="I8" s="18" t="n"/>
      <c r="J8" s="153">
        <f>ROUNDDOWN(J6*G8,0)</f>
        <v/>
      </c>
      <c r="K8" s="33" t="n"/>
      <c r="L8" s="34" t="n"/>
      <c r="M8" s="92" t="n"/>
      <c r="O8" s="81" t="inlineStr">
        <is>
          <t>중급기술자</t>
        </is>
      </c>
      <c r="P8" s="158" t="n">
        <v>295138</v>
      </c>
      <c r="Q8" s="159" t="n"/>
    </row>
    <row r="9" ht="24" customHeight="1" s="140">
      <c r="A9" s="111" t="inlineStr">
        <is>
          <t xml:space="preserve"> 다. 기  술  료</t>
        </is>
      </c>
      <c r="B9" s="151" t="n"/>
      <c r="C9" s="112" t="n"/>
      <c r="D9" s="18" t="n"/>
      <c r="E9" s="105" t="inlineStr">
        <is>
          <t>(직접인건비+제경비)x</t>
        </is>
      </c>
      <c r="F9" s="152" t="n"/>
      <c r="G9" s="31" t="n">
        <v>0.2</v>
      </c>
      <c r="H9" s="32" t="n"/>
      <c r="I9" s="33" t="n"/>
      <c r="J9" s="153">
        <f>INT((J6+J8)*G9)</f>
        <v/>
      </c>
      <c r="K9" s="18" t="n"/>
      <c r="L9" s="18" t="n"/>
      <c r="M9" s="92" t="n"/>
      <c r="O9" s="81" t="inlineStr">
        <is>
          <t>초급기술자</t>
        </is>
      </c>
      <c r="P9" s="158" t="n">
        <v>235459</v>
      </c>
      <c r="Q9" s="159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05" t="n"/>
      <c r="F10" s="152" t="n"/>
      <c r="G10" s="104" t="n"/>
      <c r="H10" s="104" t="n"/>
      <c r="I10" s="104" t="n"/>
      <c r="J10" s="153">
        <f>SUM(J8:J9)</f>
        <v/>
      </c>
      <c r="K10" s="104" t="n"/>
      <c r="L10" s="104" t="n"/>
      <c r="M10" s="35" t="n"/>
      <c r="O10" s="85" t="inlineStr">
        <is>
          <t>고급숙련기술자</t>
        </is>
      </c>
      <c r="P10" s="160" t="n">
        <v>281075</v>
      </c>
      <c r="Q10" s="159" t="n"/>
    </row>
    <row r="11" ht="24" customHeight="1" s="140">
      <c r="A11" s="103" t="n"/>
      <c r="B11" s="151" t="n"/>
      <c r="C11" s="93" t="n"/>
      <c r="D11" s="104" t="n"/>
      <c r="E11" s="105" t="n"/>
      <c r="F11" s="152" t="n"/>
      <c r="G11" s="104" t="n"/>
      <c r="H11" s="104" t="n"/>
      <c r="I11" s="104" t="n"/>
      <c r="J11" s="153" t="n"/>
      <c r="K11" s="104" t="n"/>
      <c r="L11" s="104" t="n"/>
      <c r="M11" s="35" t="n"/>
      <c r="O11" s="85" t="inlineStr">
        <is>
          <t>중급숙련기술자</t>
        </is>
      </c>
      <c r="P11" s="160" t="n">
        <v>250087</v>
      </c>
      <c r="Q11" s="159" t="n"/>
    </row>
    <row r="12" ht="24" customHeight="1" s="140" thickBot="1">
      <c r="A12" s="103" t="inlineStr">
        <is>
          <t>합   계</t>
        </is>
      </c>
      <c r="B12" s="151" t="n"/>
      <c r="C12" s="37" t="n"/>
      <c r="D12" s="37" t="n"/>
      <c r="E12" s="105" t="n"/>
      <c r="F12" s="152" t="n"/>
      <c r="G12" s="37" t="n"/>
      <c r="H12" s="37" t="n"/>
      <c r="I12" s="37" t="n"/>
      <c r="J12" s="161">
        <f>ROUNDDOWN(J6+J10,0)</f>
        <v/>
      </c>
      <c r="K12" s="37" t="n"/>
      <c r="L12" s="37" t="n"/>
      <c r="M12" s="38" t="n"/>
      <c r="N12" s="87" t="n"/>
      <c r="O12" s="138" t="inlineStr">
        <is>
          <t>초급숙련기술자</t>
        </is>
      </c>
      <c r="P12" s="162" t="n">
        <v>218142</v>
      </c>
      <c r="Q12" s="163" t="n"/>
      <c r="R12" s="87" t="n"/>
    </row>
    <row r="13" ht="24" customHeight="1" s="140">
      <c r="A13" s="129" t="inlineStr">
        <is>
          <t>적   용</t>
        </is>
      </c>
      <c r="B13" s="151" t="n"/>
      <c r="C13" s="131" t="n"/>
      <c r="D13" s="131" t="n"/>
      <c r="E13" s="132" t="n"/>
      <c r="F13" s="152" t="n"/>
      <c r="G13" s="131" t="n"/>
      <c r="H13" s="131" t="n"/>
      <c r="I13" s="131" t="n"/>
      <c r="J13" s="164">
        <f>ROUNDDOWN(J12,-5)</f>
        <v/>
      </c>
      <c r="K13" s="131" t="n"/>
      <c r="L13" s="131" t="n"/>
      <c r="M13" s="134" t="n"/>
      <c r="N13" s="87" t="n"/>
      <c r="O13" s="150" t="n"/>
      <c r="P13" s="89" t="n"/>
      <c r="Q13" s="90" t="n"/>
      <c r="R13" s="87" t="n"/>
    </row>
    <row r="14" ht="24" customHeight="1" s="140" thickBot="1">
      <c r="A14" s="106" t="n"/>
      <c r="B14" s="165" t="n"/>
      <c r="C14" s="94" t="n"/>
      <c r="D14" s="40" t="n"/>
      <c r="E14" s="108" t="n"/>
      <c r="F14" s="166" t="n"/>
      <c r="G14" s="107" t="n"/>
      <c r="H14" s="107" t="n"/>
      <c r="I14" s="107" t="n"/>
      <c r="J14" s="167" t="n"/>
      <c r="K14" s="107" t="n"/>
      <c r="L14" s="107" t="n"/>
      <c r="M14" s="41" t="n"/>
      <c r="N14" s="87" t="n"/>
      <c r="O14" s="154" t="n"/>
      <c r="P14" s="155" t="n"/>
      <c r="Q14" s="75" t="n"/>
      <c r="R14" s="87" t="n"/>
    </row>
    <row r="15" ht="24" customHeight="1" s="140" thickTop="1">
      <c r="A15" s="111">
        <f>A5</f>
        <v/>
      </c>
      <c r="B15" s="168" t="n"/>
      <c r="C15" s="104" t="n"/>
      <c r="D15" s="104" t="n"/>
      <c r="E15" s="105" t="n"/>
      <c r="F15" s="169" t="n"/>
      <c r="G15" s="104" t="n"/>
      <c r="H15" s="104" t="n"/>
      <c r="I15" s="104" t="n"/>
      <c r="J15" s="153">
        <f>J16+J23+J30+J37+J44</f>
        <v/>
      </c>
      <c r="K15" s="104" t="n"/>
      <c r="L15" s="104" t="n"/>
      <c r="M15" s="92" t="n"/>
      <c r="N15" s="170" t="n"/>
      <c r="O15" s="171" t="n"/>
      <c r="P15" s="171" t="n"/>
      <c r="Q15" s="172" t="n"/>
      <c r="R15" s="170" t="n"/>
    </row>
    <row r="16" ht="18" customHeight="1" s="140">
      <c r="A16" s="47">
        <f>'12-6 실시계획인가_작업량'!A9</f>
        <v/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>
        <f>SUM(J17:J21)</f>
        <v/>
      </c>
      <c r="K16" s="18" t="n"/>
      <c r="L16" s="18" t="n"/>
      <c r="M16" s="36" t="n"/>
      <c r="N16" s="87" t="n"/>
      <c r="O16" s="79" t="n"/>
      <c r="P16" s="157" t="n"/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'12-6 실시계획인가_작업량'!H9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$P$5</f>
        <v/>
      </c>
      <c r="J17" s="95">
        <f>ROUNDDOWN(I17*C17,0)</f>
        <v/>
      </c>
      <c r="K17" s="18" t="n"/>
      <c r="L17" s="18" t="n"/>
      <c r="M17" s="36" t="n"/>
      <c r="N17" s="87" t="n"/>
      <c r="O17" s="81" t="n"/>
      <c r="P17" s="158" t="n"/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'12-6 실시계획인가_작업량'!I9</f>
        <v/>
      </c>
      <c r="D18" s="104" t="inlineStr">
        <is>
          <t>인</t>
        </is>
      </c>
      <c r="E18" s="173" t="n"/>
      <c r="F18" s="173" t="n"/>
      <c r="G18" s="18" t="n"/>
      <c r="H18" s="18" t="n"/>
      <c r="I18" s="95">
        <f>$P$6</f>
        <v/>
      </c>
      <c r="J18" s="95">
        <f>ROUNDDOWN(I18*C18,0)</f>
        <v/>
      </c>
      <c r="K18" s="18" t="n"/>
      <c r="L18" s="18" t="n"/>
      <c r="M18" s="36" t="n"/>
      <c r="N18" s="87" t="n"/>
      <c r="O18" s="81" t="n"/>
      <c r="P18" s="158" t="n"/>
      <c r="Q18" s="159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'12-6 실시계획인가_작업량'!J9</f>
        <v/>
      </c>
      <c r="D19" s="104" t="inlineStr">
        <is>
          <t>인</t>
        </is>
      </c>
      <c r="E19" s="173" t="n"/>
      <c r="F19" s="173" t="n"/>
      <c r="G19" s="18" t="n"/>
      <c r="H19" s="18" t="n"/>
      <c r="I19" s="95">
        <f>$P$7</f>
        <v/>
      </c>
      <c r="J19" s="95">
        <f>ROUNDDOWN(I19*C19,0)</f>
        <v/>
      </c>
      <c r="K19" s="18" t="n"/>
      <c r="L19" s="18" t="n"/>
      <c r="M19" s="36" t="n"/>
      <c r="N19" s="87" t="n"/>
      <c r="O19" s="81" t="n"/>
      <c r="P19" s="158" t="n"/>
      <c r="Q19" s="159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'12-6 실시계획인가_작업량'!K9</f>
        <v/>
      </c>
      <c r="D20" s="104" t="inlineStr">
        <is>
          <t>인</t>
        </is>
      </c>
      <c r="E20" s="173" t="n"/>
      <c r="F20" s="173" t="n"/>
      <c r="G20" s="18" t="n"/>
      <c r="H20" s="18" t="n"/>
      <c r="I20" s="95">
        <f>$P$8</f>
        <v/>
      </c>
      <c r="J20" s="95">
        <f>ROUNDDOWN(I20*C20,0)</f>
        <v/>
      </c>
      <c r="K20" s="18" t="n"/>
      <c r="L20" s="18" t="n"/>
      <c r="M20" s="36" t="n"/>
      <c r="N20" s="87" t="n"/>
      <c r="O20" s="85" t="n"/>
      <c r="P20" s="160" t="n"/>
      <c r="Q20" s="159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'12-6 실시계획인가_작업량'!L9</f>
        <v/>
      </c>
      <c r="D21" s="104" t="inlineStr">
        <is>
          <t>인</t>
        </is>
      </c>
      <c r="E21" s="173" t="n"/>
      <c r="F21" s="173" t="n"/>
      <c r="G21" s="18" t="n"/>
      <c r="H21" s="18" t="n"/>
      <c r="I21" s="95">
        <f>$P$9</f>
        <v/>
      </c>
      <c r="J21" s="95">
        <f>ROUNDDOWN(I21*C21,0)</f>
        <v/>
      </c>
      <c r="K21" s="18" t="n"/>
      <c r="L21" s="18" t="n"/>
      <c r="M21" s="36" t="n"/>
      <c r="N21" s="87" t="n"/>
      <c r="O21" s="85" t="n"/>
      <c r="P21" s="160" t="n"/>
      <c r="Q21" s="159" t="n"/>
      <c r="R21" s="87" t="n"/>
    </row>
    <row r="22" ht="18" customHeight="1" s="140" thickBot="1">
      <c r="A22" s="53" t="n"/>
      <c r="B22" s="30" t="n"/>
      <c r="C22" s="54" t="n"/>
      <c r="D22" s="30" t="n"/>
      <c r="E22" s="30" t="n"/>
      <c r="F22" s="174" t="n"/>
      <c r="G22" s="30" t="n"/>
      <c r="H22" s="30" t="n"/>
      <c r="I22" s="30" t="n"/>
      <c r="J22" s="56" t="n"/>
      <c r="K22" s="18" t="n"/>
      <c r="L22" s="18" t="n"/>
      <c r="M22" s="36" t="n"/>
      <c r="N22" s="87" t="n"/>
      <c r="O22" s="87" t="n"/>
      <c r="P22" s="87" t="n"/>
      <c r="Q22" s="87" t="n"/>
      <c r="R22" s="87" t="n"/>
    </row>
    <row r="23" ht="18" customHeight="1" s="140">
      <c r="A23" s="47">
        <f>'12-6 실시계획인가_작업량'!A10</f>
        <v/>
      </c>
      <c r="B23" s="18" t="n"/>
      <c r="C23" s="48" t="n"/>
      <c r="D23" s="18" t="n"/>
      <c r="E23" s="18" t="n"/>
      <c r="F23" s="18" t="n"/>
      <c r="G23" s="18" t="n"/>
      <c r="H23" s="18" t="n"/>
      <c r="I23" s="18" t="n"/>
      <c r="J23" s="95">
        <f>SUM(J24:J28)</f>
        <v/>
      </c>
      <c r="K23" s="18" t="n"/>
      <c r="L23" s="18" t="n"/>
      <c r="M23" s="36" t="n"/>
      <c r="N23" s="87" t="n"/>
      <c r="O23" s="79" t="n"/>
      <c r="P23" s="157" t="n"/>
      <c r="Q23" s="80" t="n"/>
      <c r="R23" s="87" t="n"/>
    </row>
    <row r="24" ht="18" customHeight="1" s="140">
      <c r="A24" s="103" t="inlineStr">
        <is>
          <t>기  술  사</t>
        </is>
      </c>
      <c r="B24" s="18" t="n"/>
      <c r="C24" s="48">
        <f>'12-6 실시계획인가_작업량'!H10</f>
        <v/>
      </c>
      <c r="D24" s="104" t="inlineStr">
        <is>
          <t>인</t>
        </is>
      </c>
      <c r="E24" s="18" t="n"/>
      <c r="F24" s="18" t="n"/>
      <c r="G24" s="18" t="n"/>
      <c r="H24" s="18" t="n"/>
      <c r="I24" s="95">
        <f>$P$5</f>
        <v/>
      </c>
      <c r="J24" s="95">
        <f>ROUNDDOWN(I24*C24,0)</f>
        <v/>
      </c>
      <c r="K24" s="18" t="n"/>
      <c r="L24" s="18" t="n"/>
      <c r="M24" s="36" t="n"/>
      <c r="N24" s="87" t="n"/>
      <c r="O24" s="81" t="n"/>
      <c r="P24" s="158" t="n"/>
      <c r="Q24" s="83" t="n"/>
      <c r="R24" s="87" t="n"/>
    </row>
    <row r="25" ht="18" customHeight="1" s="140">
      <c r="A25" s="103" t="inlineStr">
        <is>
          <t>특급기술자</t>
        </is>
      </c>
      <c r="B25" s="18" t="n"/>
      <c r="C25" s="48">
        <f>'12-6 실시계획인가_작업량'!I10</f>
        <v/>
      </c>
      <c r="D25" s="104" t="inlineStr">
        <is>
          <t>인</t>
        </is>
      </c>
      <c r="E25" s="173" t="n"/>
      <c r="F25" s="173" t="n"/>
      <c r="G25" s="18" t="n"/>
      <c r="H25" s="18" t="n"/>
      <c r="I25" s="95">
        <f>$P$6</f>
        <v/>
      </c>
      <c r="J25" s="95">
        <f>ROUNDDOWN(I25*C25,0)</f>
        <v/>
      </c>
      <c r="K25" s="18" t="n"/>
      <c r="L25" s="18" t="n"/>
      <c r="M25" s="36" t="n"/>
      <c r="N25" s="87" t="n"/>
      <c r="O25" s="81" t="n"/>
      <c r="P25" s="158" t="n"/>
      <c r="Q25" s="159" t="n"/>
      <c r="R25" s="87" t="n"/>
    </row>
    <row r="26" ht="18" customHeight="1" s="140">
      <c r="A26" s="103" t="inlineStr">
        <is>
          <t>고급기술자</t>
        </is>
      </c>
      <c r="B26" s="18" t="n"/>
      <c r="C26" s="48">
        <f>'12-6 실시계획인가_작업량'!J10</f>
        <v/>
      </c>
      <c r="D26" s="104" t="inlineStr">
        <is>
          <t>인</t>
        </is>
      </c>
      <c r="E26" s="173" t="n"/>
      <c r="F26" s="173" t="n"/>
      <c r="G26" s="18" t="n"/>
      <c r="H26" s="18" t="n"/>
      <c r="I26" s="95">
        <f>$P$7</f>
        <v/>
      </c>
      <c r="J26" s="95">
        <f>ROUNDDOWN(I26*C26,0)</f>
        <v/>
      </c>
      <c r="K26" s="18" t="n"/>
      <c r="L26" s="18" t="n"/>
      <c r="M26" s="36" t="n"/>
      <c r="N26" s="87" t="n"/>
      <c r="O26" s="81" t="n"/>
      <c r="P26" s="158" t="n"/>
      <c r="Q26" s="159" t="n"/>
      <c r="R26" s="87" t="n"/>
    </row>
    <row r="27" ht="18" customHeight="1" s="140">
      <c r="A27" s="103" t="inlineStr">
        <is>
          <t>중급기술자</t>
        </is>
      </c>
      <c r="B27" s="18" t="n"/>
      <c r="C27" s="48">
        <f>'12-6 실시계획인가_작업량'!K10</f>
        <v/>
      </c>
      <c r="D27" s="104" t="inlineStr">
        <is>
          <t>인</t>
        </is>
      </c>
      <c r="E27" s="173" t="n"/>
      <c r="F27" s="173" t="n"/>
      <c r="G27" s="18" t="n"/>
      <c r="H27" s="18" t="n"/>
      <c r="I27" s="95">
        <f>$P$8</f>
        <v/>
      </c>
      <c r="J27" s="95">
        <f>ROUNDDOWN(I27*C27,0)</f>
        <v/>
      </c>
      <c r="K27" s="18" t="n"/>
      <c r="L27" s="18" t="n"/>
      <c r="M27" s="36" t="n"/>
      <c r="N27" s="87" t="n"/>
      <c r="O27" s="85" t="n"/>
      <c r="P27" s="160" t="n"/>
      <c r="Q27" s="159" t="n"/>
      <c r="R27" s="87" t="n"/>
    </row>
    <row r="28" ht="18" customHeight="1" s="140">
      <c r="A28" s="103" t="inlineStr">
        <is>
          <t>초급기술자</t>
        </is>
      </c>
      <c r="B28" s="18" t="n"/>
      <c r="C28" s="48">
        <f>'12-6 실시계획인가_작업량'!L10</f>
        <v/>
      </c>
      <c r="D28" s="104" t="inlineStr">
        <is>
          <t>인</t>
        </is>
      </c>
      <c r="E28" s="173" t="n"/>
      <c r="F28" s="173" t="n"/>
      <c r="G28" s="18" t="n"/>
      <c r="H28" s="18" t="n"/>
      <c r="I28" s="95">
        <f>$P$9</f>
        <v/>
      </c>
      <c r="J28" s="95">
        <f>ROUNDDOWN(I28*C28,0)</f>
        <v/>
      </c>
      <c r="K28" s="18" t="n"/>
      <c r="L28" s="18" t="n"/>
      <c r="M28" s="36" t="n"/>
      <c r="N28" s="87" t="n"/>
      <c r="O28" s="85" t="n"/>
      <c r="P28" s="160" t="n"/>
      <c r="Q28" s="159" t="n"/>
      <c r="R28" s="87" t="n"/>
    </row>
    <row r="29" ht="18" customHeight="1" s="140">
      <c r="A29" s="53" t="n"/>
      <c r="B29" s="30" t="n"/>
      <c r="C29" s="54" t="n"/>
      <c r="D29" s="30" t="n"/>
      <c r="E29" s="30" t="n"/>
      <c r="F29" s="174" t="n"/>
      <c r="G29" s="30" t="n"/>
      <c r="H29" s="30" t="n"/>
      <c r="I29" s="30" t="n"/>
      <c r="J29" s="56" t="n"/>
      <c r="K29" s="18" t="n"/>
      <c r="L29" s="18" t="n"/>
      <c r="M29" s="36" t="n"/>
      <c r="N29" s="87" t="n"/>
      <c r="O29" s="87" t="n"/>
      <c r="P29" s="87" t="n"/>
      <c r="Q29" s="87" t="n"/>
      <c r="R29" s="87" t="n"/>
    </row>
    <row r="30" ht="18" customHeight="1" s="140">
      <c r="A30" s="47">
        <f>'12-6 실시계획인가_작업량'!A11</f>
        <v/>
      </c>
      <c r="B30" s="18" t="n"/>
      <c r="C30" s="48" t="n"/>
      <c r="D30" s="18" t="n"/>
      <c r="E30" s="18" t="n"/>
      <c r="F30" s="18" t="n"/>
      <c r="G30" s="18" t="n"/>
      <c r="H30" s="18" t="n"/>
      <c r="I30" s="18" t="n"/>
      <c r="J30" s="95">
        <f>SUM(J31:J35)</f>
        <v/>
      </c>
      <c r="K30" s="18" t="n"/>
      <c r="L30" s="18" t="n"/>
      <c r="M30" s="36" t="n"/>
      <c r="N30" s="87" t="n"/>
      <c r="O30" s="79" t="n"/>
      <c r="P30" s="157" t="n"/>
      <c r="Q30" s="80" t="n"/>
      <c r="R30" s="87" t="n"/>
    </row>
    <row r="31" ht="18" customHeight="1" s="140">
      <c r="A31" s="103" t="inlineStr">
        <is>
          <t>기  술  사</t>
        </is>
      </c>
      <c r="B31" s="18" t="n"/>
      <c r="C31" s="48">
        <f>'12-6 실시계획인가_작업량'!H11</f>
        <v/>
      </c>
      <c r="D31" s="104" t="inlineStr">
        <is>
          <t>인</t>
        </is>
      </c>
      <c r="E31" s="18" t="n"/>
      <c r="F31" s="18" t="n"/>
      <c r="G31" s="18" t="n"/>
      <c r="H31" s="18" t="n"/>
      <c r="I31" s="95">
        <f>$P$5</f>
        <v/>
      </c>
      <c r="J31" s="95">
        <f>ROUNDDOWN(I31*C31,0)</f>
        <v/>
      </c>
      <c r="K31" s="18" t="n"/>
      <c r="L31" s="18" t="n"/>
      <c r="M31" s="36" t="n"/>
      <c r="N31" s="87" t="n"/>
      <c r="O31" s="81" t="n"/>
      <c r="P31" s="158" t="n"/>
      <c r="Q31" s="83" t="n"/>
      <c r="R31" s="87" t="n"/>
    </row>
    <row r="32" ht="18" customHeight="1" s="140">
      <c r="A32" s="103" t="inlineStr">
        <is>
          <t>특급기술자</t>
        </is>
      </c>
      <c r="B32" s="18" t="n"/>
      <c r="C32" s="48">
        <f>'12-6 실시계획인가_작업량'!I11</f>
        <v/>
      </c>
      <c r="D32" s="104" t="inlineStr">
        <is>
          <t>인</t>
        </is>
      </c>
      <c r="E32" s="173" t="n"/>
      <c r="F32" s="173" t="n"/>
      <c r="G32" s="18" t="n"/>
      <c r="H32" s="18" t="n"/>
      <c r="I32" s="95">
        <f>$P$6</f>
        <v/>
      </c>
      <c r="J32" s="95">
        <f>ROUNDDOWN(I32*C32,0)</f>
        <v/>
      </c>
      <c r="K32" s="18" t="n"/>
      <c r="L32" s="18" t="n"/>
      <c r="M32" s="36" t="n"/>
      <c r="N32" s="87" t="n"/>
      <c r="O32" s="81" t="n"/>
      <c r="P32" s="158" t="n"/>
      <c r="Q32" s="159" t="n"/>
      <c r="R32" s="87" t="n"/>
    </row>
    <row r="33" ht="18" customHeight="1" s="140">
      <c r="A33" s="103" t="inlineStr">
        <is>
          <t>고급기술자</t>
        </is>
      </c>
      <c r="B33" s="18" t="n"/>
      <c r="C33" s="48">
        <f>'12-6 실시계획인가_작업량'!J11</f>
        <v/>
      </c>
      <c r="D33" s="104" t="inlineStr">
        <is>
          <t>인</t>
        </is>
      </c>
      <c r="E33" s="173" t="n"/>
      <c r="F33" s="173" t="n"/>
      <c r="G33" s="18" t="n"/>
      <c r="H33" s="18" t="n"/>
      <c r="I33" s="95">
        <f>$P$7</f>
        <v/>
      </c>
      <c r="J33" s="95">
        <f>ROUNDDOWN(I33*C33,0)</f>
        <v/>
      </c>
      <c r="K33" s="18" t="n"/>
      <c r="L33" s="18" t="n"/>
      <c r="M33" s="36" t="n"/>
      <c r="N33" s="87" t="n"/>
      <c r="O33" s="81" t="n"/>
      <c r="P33" s="158" t="n"/>
      <c r="Q33" s="159" t="n"/>
      <c r="R33" s="87" t="n"/>
    </row>
    <row r="34" ht="18" customHeight="1" s="140">
      <c r="A34" s="103" t="inlineStr">
        <is>
          <t>중급기술자</t>
        </is>
      </c>
      <c r="B34" s="18" t="n"/>
      <c r="C34" s="48">
        <f>'12-6 실시계획인가_작업량'!K11</f>
        <v/>
      </c>
      <c r="D34" s="104" t="inlineStr">
        <is>
          <t>인</t>
        </is>
      </c>
      <c r="E34" s="173" t="n"/>
      <c r="F34" s="173" t="n"/>
      <c r="G34" s="18" t="n"/>
      <c r="H34" s="18" t="n"/>
      <c r="I34" s="95">
        <f>$P$8</f>
        <v/>
      </c>
      <c r="J34" s="95">
        <f>ROUNDDOWN(I34*C34,0)</f>
        <v/>
      </c>
      <c r="K34" s="18" t="n"/>
      <c r="L34" s="18" t="n"/>
      <c r="M34" s="36" t="n"/>
      <c r="N34" s="87" t="n"/>
      <c r="O34" s="85" t="n"/>
      <c r="P34" s="160" t="n"/>
      <c r="Q34" s="159" t="n"/>
      <c r="R34" s="87" t="n"/>
    </row>
    <row r="35" ht="18" customHeight="1" s="140">
      <c r="A35" s="103" t="inlineStr">
        <is>
          <t>초급기술자</t>
        </is>
      </c>
      <c r="B35" s="18" t="n"/>
      <c r="C35" s="48">
        <f>'12-6 실시계획인가_작업량'!L11</f>
        <v/>
      </c>
      <c r="D35" s="104" t="inlineStr">
        <is>
          <t>인</t>
        </is>
      </c>
      <c r="E35" s="173" t="n"/>
      <c r="F35" s="173" t="n"/>
      <c r="G35" s="18" t="n"/>
      <c r="H35" s="18" t="n"/>
      <c r="I35" s="95">
        <f>$P$9</f>
        <v/>
      </c>
      <c r="J35" s="95">
        <f>ROUNDDOWN(I35*C35,0)</f>
        <v/>
      </c>
      <c r="K35" s="18" t="n"/>
      <c r="L35" s="18" t="n"/>
      <c r="M35" s="36" t="n"/>
      <c r="N35" s="87" t="n"/>
      <c r="O35" s="85" t="n"/>
      <c r="P35" s="160" t="n"/>
      <c r="Q35" s="159" t="n"/>
      <c r="R35" s="87" t="n"/>
    </row>
    <row r="36" ht="18" customHeight="1" s="140">
      <c r="A36" s="53" t="n"/>
      <c r="B36" s="30" t="n"/>
      <c r="C36" s="54" t="n"/>
      <c r="D36" s="30" t="n"/>
      <c r="E36" s="30" t="n"/>
      <c r="F36" s="174" t="n"/>
      <c r="G36" s="30" t="n"/>
      <c r="H36" s="30" t="n"/>
      <c r="I36" s="30" t="n"/>
      <c r="J36" s="56" t="n"/>
      <c r="K36" s="18" t="n"/>
      <c r="L36" s="18" t="n"/>
      <c r="M36" s="36" t="n"/>
      <c r="N36" s="87" t="n"/>
      <c r="O36" s="87" t="n"/>
      <c r="P36" s="87" t="n"/>
      <c r="Q36" s="87" t="n"/>
      <c r="R36" s="87" t="n"/>
    </row>
    <row r="37" ht="18" customHeight="1" s="140">
      <c r="A37" s="47">
        <f>'12-6 실시계획인가_작업량'!A12</f>
        <v/>
      </c>
      <c r="B37" s="18" t="n"/>
      <c r="C37" s="48" t="n"/>
      <c r="D37" s="18" t="n"/>
      <c r="E37" s="18" t="n"/>
      <c r="F37" s="18" t="n"/>
      <c r="G37" s="18" t="n"/>
      <c r="H37" s="18" t="n"/>
      <c r="I37" s="18" t="n"/>
      <c r="J37" s="95">
        <f>SUM(J38:J42)</f>
        <v/>
      </c>
      <c r="K37" s="18" t="n"/>
      <c r="L37" s="18" t="n"/>
      <c r="M37" s="36" t="n"/>
      <c r="N37" s="87" t="n"/>
      <c r="O37" s="79" t="n"/>
      <c r="P37" s="157" t="n"/>
      <c r="Q37" s="80" t="n"/>
      <c r="R37" s="87" t="n"/>
    </row>
    <row r="38" ht="18" customHeight="1" s="140">
      <c r="A38" s="103" t="inlineStr">
        <is>
          <t>기  술  사</t>
        </is>
      </c>
      <c r="B38" s="18" t="n"/>
      <c r="C38" s="48">
        <f>'12-6 실시계획인가_작업량'!H12</f>
        <v/>
      </c>
      <c r="D38" s="104" t="inlineStr">
        <is>
          <t>인</t>
        </is>
      </c>
      <c r="E38" s="18" t="n"/>
      <c r="F38" s="18" t="n"/>
      <c r="G38" s="18" t="n"/>
      <c r="H38" s="18" t="n"/>
      <c r="I38" s="95">
        <f>$P$5</f>
        <v/>
      </c>
      <c r="J38" s="95">
        <f>ROUNDDOWN(I38*C38,0)</f>
        <v/>
      </c>
      <c r="K38" s="18" t="n"/>
      <c r="L38" s="18" t="n"/>
      <c r="M38" s="36" t="n"/>
      <c r="N38" s="87" t="n"/>
      <c r="O38" s="81" t="n"/>
      <c r="P38" s="158" t="n"/>
      <c r="Q38" s="83" t="n"/>
      <c r="R38" s="87" t="n"/>
    </row>
    <row r="39" ht="18" customHeight="1" s="140">
      <c r="A39" s="103" t="inlineStr">
        <is>
          <t>특급기술자</t>
        </is>
      </c>
      <c r="B39" s="18" t="n"/>
      <c r="C39" s="48">
        <f>'12-6 실시계획인가_작업량'!I12</f>
        <v/>
      </c>
      <c r="D39" s="104" t="inlineStr">
        <is>
          <t>인</t>
        </is>
      </c>
      <c r="E39" s="173" t="n"/>
      <c r="F39" s="173" t="n"/>
      <c r="G39" s="18" t="n"/>
      <c r="H39" s="18" t="n"/>
      <c r="I39" s="95">
        <f>$P$6</f>
        <v/>
      </c>
      <c r="J39" s="95">
        <f>ROUNDDOWN(I39*C39,0)</f>
        <v/>
      </c>
      <c r="K39" s="18" t="n"/>
      <c r="L39" s="18" t="n"/>
      <c r="M39" s="36" t="n"/>
      <c r="N39" s="87" t="n"/>
      <c r="O39" s="81" t="n"/>
      <c r="P39" s="158" t="n"/>
      <c r="Q39" s="159" t="n"/>
      <c r="R39" s="87" t="n"/>
    </row>
    <row r="40" ht="18" customHeight="1" s="140">
      <c r="A40" s="103" t="inlineStr">
        <is>
          <t>고급기술자</t>
        </is>
      </c>
      <c r="B40" s="18" t="n"/>
      <c r="C40" s="48">
        <f>'12-6 실시계획인가_작업량'!J12</f>
        <v/>
      </c>
      <c r="D40" s="104" t="inlineStr">
        <is>
          <t>인</t>
        </is>
      </c>
      <c r="E40" s="173" t="n"/>
      <c r="F40" s="173" t="n"/>
      <c r="G40" s="18" t="n"/>
      <c r="H40" s="18" t="n"/>
      <c r="I40" s="95">
        <f>$P$7</f>
        <v/>
      </c>
      <c r="J40" s="95">
        <f>ROUNDDOWN(I40*C40,0)</f>
        <v/>
      </c>
      <c r="K40" s="18" t="n"/>
      <c r="L40" s="18" t="n"/>
      <c r="M40" s="36" t="n"/>
      <c r="N40" s="87" t="n"/>
      <c r="O40" s="81" t="n"/>
      <c r="P40" s="158" t="n"/>
      <c r="Q40" s="159" t="n"/>
      <c r="R40" s="87" t="n"/>
    </row>
    <row r="41" ht="18" customHeight="1" s="140">
      <c r="A41" s="103" t="inlineStr">
        <is>
          <t>중급기술자</t>
        </is>
      </c>
      <c r="B41" s="18" t="n"/>
      <c r="C41" s="48">
        <f>'12-6 실시계획인가_작업량'!K12</f>
        <v/>
      </c>
      <c r="D41" s="104" t="inlineStr">
        <is>
          <t>인</t>
        </is>
      </c>
      <c r="E41" s="173" t="n"/>
      <c r="F41" s="173" t="n"/>
      <c r="G41" s="18" t="n"/>
      <c r="H41" s="18" t="n"/>
      <c r="I41" s="95">
        <f>$P$8</f>
        <v/>
      </c>
      <c r="J41" s="95">
        <f>ROUNDDOWN(I41*C41,0)</f>
        <v/>
      </c>
      <c r="K41" s="18" t="n"/>
      <c r="L41" s="18" t="n"/>
      <c r="M41" s="36" t="n"/>
      <c r="N41" s="87" t="n"/>
      <c r="O41" s="85" t="n"/>
      <c r="P41" s="160" t="n"/>
      <c r="Q41" s="159" t="n"/>
      <c r="R41" s="87" t="n"/>
    </row>
    <row r="42" ht="18" customHeight="1" s="140">
      <c r="A42" s="103" t="inlineStr">
        <is>
          <t>초급기술자</t>
        </is>
      </c>
      <c r="B42" s="18" t="n"/>
      <c r="C42" s="48">
        <f>'12-6 실시계획인가_작업량'!L12</f>
        <v/>
      </c>
      <c r="D42" s="104" t="inlineStr">
        <is>
          <t>인</t>
        </is>
      </c>
      <c r="E42" s="173" t="n"/>
      <c r="F42" s="173" t="n"/>
      <c r="G42" s="18" t="n"/>
      <c r="H42" s="18" t="n"/>
      <c r="I42" s="95">
        <f>$P$9</f>
        <v/>
      </c>
      <c r="J42" s="95">
        <f>ROUNDDOWN(I42*C42,0)</f>
        <v/>
      </c>
      <c r="K42" s="18" t="n"/>
      <c r="L42" s="18" t="n"/>
      <c r="M42" s="36" t="n"/>
      <c r="N42" s="87" t="n"/>
      <c r="O42" s="85" t="n"/>
      <c r="P42" s="160" t="n"/>
      <c r="Q42" s="159" t="n"/>
      <c r="R42" s="87" t="n"/>
    </row>
    <row r="43" ht="18" customHeight="1" s="140">
      <c r="A43" s="53" t="n"/>
      <c r="B43" s="30" t="n"/>
      <c r="C43" s="54" t="n"/>
      <c r="D43" s="30" t="n"/>
      <c r="E43" s="30" t="n"/>
      <c r="F43" s="174" t="n"/>
      <c r="G43" s="30" t="n"/>
      <c r="H43" s="30" t="n"/>
      <c r="I43" s="30" t="n"/>
      <c r="J43" s="56" t="n"/>
      <c r="K43" s="18" t="n"/>
      <c r="L43" s="18" t="n"/>
      <c r="M43" s="36" t="n"/>
      <c r="N43" s="87" t="n"/>
      <c r="O43" s="87" t="n"/>
      <c r="P43" s="87" t="n"/>
      <c r="Q43" s="87" t="n"/>
      <c r="R43" s="87" t="n"/>
    </row>
    <row r="44" ht="18" customHeight="1" s="140">
      <c r="A44" s="47">
        <f>'12-6 실시계획인가_작업량'!A13</f>
        <v/>
      </c>
      <c r="B44" s="18" t="n"/>
      <c r="C44" s="48" t="n"/>
      <c r="D44" s="18" t="n"/>
      <c r="E44" s="18" t="n"/>
      <c r="F44" s="18" t="n"/>
      <c r="G44" s="18" t="n"/>
      <c r="H44" s="18" t="n"/>
      <c r="I44" s="18" t="n"/>
      <c r="J44" s="95">
        <f>SUM(J45:J49)</f>
        <v/>
      </c>
      <c r="K44" s="18" t="n"/>
      <c r="L44" s="18" t="n"/>
      <c r="M44" s="36" t="n"/>
      <c r="N44" s="87" t="n"/>
      <c r="O44" s="79" t="n"/>
      <c r="P44" s="157" t="n"/>
      <c r="Q44" s="80" t="n"/>
      <c r="R44" s="87" t="n"/>
    </row>
    <row r="45" ht="18" customHeight="1" s="140">
      <c r="A45" s="103" t="inlineStr">
        <is>
          <t>기  술  사</t>
        </is>
      </c>
      <c r="B45" s="18" t="n"/>
      <c r="C45" s="48">
        <f>'12-6 실시계획인가_작업량'!H13</f>
        <v/>
      </c>
      <c r="D45" s="104" t="inlineStr">
        <is>
          <t>인</t>
        </is>
      </c>
      <c r="E45" s="18" t="n"/>
      <c r="F45" s="18" t="n"/>
      <c r="G45" s="18" t="n"/>
      <c r="H45" s="18" t="n"/>
      <c r="I45" s="95">
        <f>$P$5</f>
        <v/>
      </c>
      <c r="J45" s="95">
        <f>ROUNDDOWN(I45*C45,0)</f>
        <v/>
      </c>
      <c r="K45" s="18" t="n"/>
      <c r="L45" s="18" t="n"/>
      <c r="M45" s="36" t="n"/>
      <c r="N45" s="87" t="n"/>
      <c r="O45" s="81" t="n"/>
      <c r="P45" s="158" t="n"/>
      <c r="Q45" s="83" t="n"/>
      <c r="R45" s="87" t="n"/>
    </row>
    <row r="46" ht="18" customHeight="1" s="140">
      <c r="A46" s="103" t="inlineStr">
        <is>
          <t>특급기술자</t>
        </is>
      </c>
      <c r="B46" s="18" t="n"/>
      <c r="C46" s="48">
        <f>'12-6 실시계획인가_작업량'!I13</f>
        <v/>
      </c>
      <c r="D46" s="104" t="inlineStr">
        <is>
          <t>인</t>
        </is>
      </c>
      <c r="E46" s="173" t="n"/>
      <c r="F46" s="173" t="n"/>
      <c r="G46" s="18" t="n"/>
      <c r="H46" s="18" t="n"/>
      <c r="I46" s="95">
        <f>$P$6</f>
        <v/>
      </c>
      <c r="J46" s="95">
        <f>ROUNDDOWN(I46*C46,0)</f>
        <v/>
      </c>
      <c r="K46" s="18" t="n"/>
      <c r="L46" s="18" t="n"/>
      <c r="M46" s="36" t="n"/>
      <c r="N46" s="87" t="n"/>
      <c r="O46" s="81" t="n"/>
      <c r="P46" s="158" t="n"/>
      <c r="Q46" s="159" t="n"/>
      <c r="R46" s="87" t="n"/>
    </row>
    <row r="47" ht="18" customHeight="1" s="140">
      <c r="A47" s="103" t="inlineStr">
        <is>
          <t>고급기술자</t>
        </is>
      </c>
      <c r="B47" s="18" t="n"/>
      <c r="C47" s="48">
        <f>'12-6 실시계획인가_작업량'!J13</f>
        <v/>
      </c>
      <c r="D47" s="104" t="inlineStr">
        <is>
          <t>인</t>
        </is>
      </c>
      <c r="E47" s="173" t="n"/>
      <c r="F47" s="173" t="n"/>
      <c r="G47" s="18" t="n"/>
      <c r="H47" s="18" t="n"/>
      <c r="I47" s="95">
        <f>$P$7</f>
        <v/>
      </c>
      <c r="J47" s="95">
        <f>ROUNDDOWN(I47*C47,0)</f>
        <v/>
      </c>
      <c r="K47" s="18" t="n"/>
      <c r="L47" s="18" t="n"/>
      <c r="M47" s="36" t="n"/>
      <c r="N47" s="87" t="n"/>
      <c r="O47" s="81" t="n"/>
      <c r="P47" s="158" t="n"/>
      <c r="Q47" s="159" t="n"/>
      <c r="R47" s="87" t="n"/>
    </row>
    <row r="48" ht="18" customHeight="1" s="140">
      <c r="A48" s="103" t="inlineStr">
        <is>
          <t>중급기술자</t>
        </is>
      </c>
      <c r="B48" s="18" t="n"/>
      <c r="C48" s="48">
        <f>'12-6 실시계획인가_작업량'!K13</f>
        <v/>
      </c>
      <c r="D48" s="104" t="inlineStr">
        <is>
          <t>인</t>
        </is>
      </c>
      <c r="E48" s="173" t="n"/>
      <c r="F48" s="173" t="n"/>
      <c r="G48" s="18" t="n"/>
      <c r="H48" s="18" t="n"/>
      <c r="I48" s="95">
        <f>$P$8</f>
        <v/>
      </c>
      <c r="J48" s="95">
        <f>ROUNDDOWN(I48*C48,0)</f>
        <v/>
      </c>
      <c r="K48" s="18" t="n"/>
      <c r="L48" s="18" t="n"/>
      <c r="M48" s="36" t="n"/>
      <c r="N48" s="87" t="n"/>
      <c r="O48" s="85" t="n"/>
      <c r="P48" s="160" t="n"/>
      <c r="Q48" s="159" t="n"/>
      <c r="R48" s="87" t="n"/>
    </row>
    <row r="49" ht="18" customHeight="1" s="140">
      <c r="A49" s="103" t="inlineStr">
        <is>
          <t>초급기술자</t>
        </is>
      </c>
      <c r="B49" s="18" t="n"/>
      <c r="C49" s="48">
        <f>'12-6 실시계획인가_작업량'!L13</f>
        <v/>
      </c>
      <c r="D49" s="104" t="inlineStr">
        <is>
          <t>인</t>
        </is>
      </c>
      <c r="E49" s="173" t="n"/>
      <c r="F49" s="173" t="n"/>
      <c r="G49" s="18" t="n"/>
      <c r="H49" s="18" t="n"/>
      <c r="I49" s="95">
        <f>$P$9</f>
        <v/>
      </c>
      <c r="J49" s="95">
        <f>ROUNDDOWN(I49*C49,0)</f>
        <v/>
      </c>
      <c r="K49" s="18" t="n"/>
      <c r="L49" s="18" t="n"/>
      <c r="M49" s="36" t="n"/>
      <c r="N49" s="87" t="n"/>
      <c r="O49" s="85" t="n"/>
      <c r="P49" s="160" t="n"/>
      <c r="Q49" s="159" t="n"/>
      <c r="R49" s="87" t="n"/>
    </row>
    <row r="50" ht="18" customHeight="1" s="140">
      <c r="A50" s="53" t="n"/>
      <c r="B50" s="30" t="n"/>
      <c r="C50" s="54" t="n"/>
      <c r="D50" s="30" t="n"/>
      <c r="E50" s="30" t="n"/>
      <c r="F50" s="174" t="n"/>
      <c r="G50" s="30" t="n"/>
      <c r="H50" s="30" t="n"/>
      <c r="I50" s="30" t="n"/>
      <c r="J50" s="56" t="n"/>
      <c r="K50" s="18" t="n"/>
      <c r="L50" s="18" t="n"/>
      <c r="M50" s="36" t="n"/>
      <c r="N50" s="87" t="n"/>
      <c r="O50" s="87" t="n"/>
      <c r="P50" s="87" t="n"/>
      <c r="Q50" s="87" t="n"/>
      <c r="R50" s="87" t="n"/>
    </row>
    <row r="51" ht="18" customHeight="1" s="140">
      <c r="A51" s="53" t="n"/>
      <c r="B51" s="30" t="n"/>
      <c r="C51" s="54" t="n"/>
      <c r="D51" s="30" t="n"/>
      <c r="E51" s="30" t="n"/>
      <c r="F51" s="174" t="n"/>
      <c r="G51" s="30" t="n"/>
      <c r="H51" s="30" t="n"/>
      <c r="I51" s="30" t="n"/>
      <c r="J51" s="56" t="n"/>
      <c r="K51" s="18" t="n"/>
      <c r="L51" s="18" t="n"/>
      <c r="M51" s="36" t="n"/>
      <c r="N51" s="87" t="n"/>
      <c r="O51" s="87" t="n"/>
      <c r="P51" s="87" t="n"/>
      <c r="Q51" s="87" t="n"/>
      <c r="R51" s="87" t="n"/>
    </row>
    <row r="52" ht="18" customHeight="1" s="140">
      <c r="A52" s="53" t="n"/>
      <c r="B52" s="30" t="n"/>
      <c r="C52" s="54" t="n"/>
      <c r="D52" s="30" t="n"/>
      <c r="E52" s="30" t="n"/>
      <c r="F52" s="174" t="n"/>
      <c r="G52" s="30" t="n"/>
      <c r="H52" s="30" t="n"/>
      <c r="I52" s="30" t="n"/>
      <c r="J52" s="56" t="n"/>
      <c r="K52" s="18" t="n"/>
      <c r="L52" s="18" t="n"/>
      <c r="M52" s="36" t="n"/>
      <c r="N52" s="87" t="n"/>
      <c r="O52" s="87" t="n"/>
      <c r="P52" s="87" t="n"/>
      <c r="Q52" s="87" t="n"/>
      <c r="R52" s="87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view="pageBreakPreview" zoomScale="85" workbookViewId="0">
      <selection activeCell="A1" sqref="A1"/>
    </sheetView>
  </sheetViews>
  <sheetFormatPr baseColWidth="8" defaultRowHeight="16.5"/>
  <cols>
    <col width="26.125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&lt;12-6 실시계획인가 직접인력 소요작업량 산정&gt;</t>
        </is>
      </c>
    </row>
    <row r="2">
      <c r="A2" s="175" t="n">
        <v>10000</v>
      </c>
      <c r="B2" s="3" t="inlineStr">
        <is>
          <t>(</t>
        </is>
      </c>
      <c r="C2" s="176">
        <f>IF(A2&lt;1000,0.1,ROUND(A2/10000,2))</f>
        <v/>
      </c>
      <c r="D2" s="5" t="inlineStr">
        <is>
          <t>만M2)</t>
        </is>
      </c>
      <c r="E2" s="5" t="inlineStr">
        <is>
          <t>적용</t>
        </is>
      </c>
      <c r="F2" s="6" t="n"/>
      <c r="G2" s="7" t="n"/>
      <c r="H2" s="8" t="n"/>
      <c r="I2" s="7" t="n"/>
      <c r="J2" s="7" t="n"/>
      <c r="K2" s="7" t="n"/>
      <c r="L2" s="7" t="n"/>
      <c r="M2" s="7" t="n"/>
      <c r="N2" s="9" t="n"/>
      <c r="P2" s="0" t="n"/>
    </row>
    <row r="3">
      <c r="A3" s="11" t="inlineStr">
        <is>
          <t xml:space="preserve"> * 대상면적에 대한 작업량 계수 a=(A/1)^(0.6)</t>
        </is>
      </c>
      <c r="B3" s="11" t="n"/>
      <c r="C3" s="11" t="n"/>
      <c r="D3" s="11" t="n"/>
      <c r="E3" s="12" t="inlineStr">
        <is>
          <t xml:space="preserve"> a =</t>
        </is>
      </c>
      <c r="F3" s="177">
        <f>ROUND((ROUND((C2/1)^(0.6),3))*G3,3)</f>
        <v/>
      </c>
      <c r="G3" s="72" t="n">
        <v>1</v>
      </c>
      <c r="H3" s="14" t="n"/>
      <c r="I3" s="15" t="n"/>
      <c r="J3" s="15" t="n"/>
      <c r="K3" s="15" t="n"/>
      <c r="L3" s="15" t="n"/>
      <c r="M3" s="15" t="n"/>
      <c r="N3" s="16" t="n"/>
    </row>
    <row r="4" ht="24" customHeight="1" s="140">
      <c r="A4" s="178" t="inlineStr">
        <is>
          <t>구분</t>
        </is>
      </c>
      <c r="B4" s="179" t="inlineStr">
        <is>
          <t>보 정 전</t>
        </is>
      </c>
      <c r="C4" s="180" t="n"/>
      <c r="D4" s="180" t="n"/>
      <c r="E4" s="180" t="n"/>
      <c r="F4" s="180" t="n"/>
      <c r="G4" s="181" t="n"/>
      <c r="H4" s="182" t="inlineStr">
        <is>
          <t>보 정 후</t>
        </is>
      </c>
      <c r="I4" s="180" t="n"/>
      <c r="J4" s="180" t="n"/>
      <c r="K4" s="180" t="n"/>
      <c r="L4" s="180" t="n"/>
      <c r="M4" s="181" t="n"/>
      <c r="N4" s="183" t="inlineStr">
        <is>
          <t>비   고</t>
        </is>
      </c>
    </row>
    <row r="5" ht="24" customHeight="1" s="140">
      <c r="A5" s="184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185" t="inlineStr">
        <is>
          <t>보조원</t>
        </is>
      </c>
      <c r="H5" s="186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185" t="inlineStr">
        <is>
          <t>보조원</t>
        </is>
      </c>
      <c r="N5" s="187" t="inlineStr">
        <is>
          <t>보정계수</t>
        </is>
      </c>
    </row>
    <row r="6" ht="24" customHeight="1" s="140">
      <c r="A6" s="188">
        <f>'12-6 실시계획인가_PDF'!A6</f>
        <v/>
      </c>
      <c r="B6" s="189" t="n"/>
      <c r="C6" s="190" t="n"/>
      <c r="D6" s="190" t="n"/>
      <c r="E6" s="190" t="n"/>
      <c r="F6" s="190" t="n"/>
      <c r="G6" s="191" t="n"/>
      <c r="H6" s="192" t="n"/>
      <c r="I6" s="190" t="n"/>
      <c r="J6" s="190" t="n"/>
      <c r="K6" s="190" t="n"/>
      <c r="L6" s="190" t="n"/>
      <c r="M6" s="191" t="n"/>
      <c r="N6" s="193" t="n"/>
      <c r="O6" s="170" t="n"/>
      <c r="P6" s="170" t="n"/>
    </row>
    <row r="7" ht="24" customHeight="1" s="140">
      <c r="A7" s="188">
        <f>'12-6 실시계획인가_PDF'!A7</f>
        <v/>
      </c>
      <c r="B7" s="189" t="n"/>
      <c r="C7" s="190" t="n"/>
      <c r="D7" s="190" t="n"/>
      <c r="E7" s="190" t="n"/>
      <c r="F7" s="190" t="n"/>
      <c r="G7" s="191" t="n"/>
      <c r="H7" s="192" t="n"/>
      <c r="I7" s="190" t="n"/>
      <c r="J7" s="190" t="n"/>
      <c r="K7" s="190" t="n"/>
      <c r="L7" s="190" t="n"/>
      <c r="M7" s="191" t="n"/>
      <c r="N7" s="193" t="n"/>
      <c r="O7" s="170" t="n"/>
      <c r="P7" s="170" t="n"/>
    </row>
    <row r="8" ht="24" customHeight="1" s="140">
      <c r="A8" s="188">
        <f>'12-6 실시계획인가_PDF'!A8</f>
        <v/>
      </c>
      <c r="B8" s="189" t="n"/>
      <c r="C8" s="190" t="n"/>
      <c r="D8" s="190" t="n"/>
      <c r="E8" s="190" t="n"/>
      <c r="F8" s="190" t="n"/>
      <c r="G8" s="191" t="n"/>
      <c r="H8" s="192" t="n"/>
      <c r="I8" s="190" t="n"/>
      <c r="J8" s="190" t="n"/>
      <c r="K8" s="190" t="n"/>
      <c r="L8" s="190" t="n"/>
      <c r="M8" s="191" t="n"/>
      <c r="N8" s="193" t="n"/>
      <c r="O8" s="170" t="n"/>
      <c r="P8" s="170" t="n"/>
    </row>
    <row r="9" ht="24" customHeight="1" s="140">
      <c r="A9" s="194" t="inlineStr">
        <is>
          <t>1. 실시계획 승인도서 작성</t>
        </is>
      </c>
      <c r="B9" s="195" t="n">
        <v>0.7</v>
      </c>
      <c r="C9" s="196" t="n">
        <v>0.6</v>
      </c>
      <c r="D9" s="196" t="n">
        <v>1.3</v>
      </c>
      <c r="E9" s="196" t="n">
        <v>1.3</v>
      </c>
      <c r="F9" s="196" t="n">
        <v>3.5</v>
      </c>
      <c r="G9" s="197" t="n"/>
      <c r="H9" s="198">
        <f>ROUND(B9*N9,2)</f>
        <v/>
      </c>
      <c r="I9" s="196">
        <f>ROUND(C9*N9,2)</f>
        <v/>
      </c>
      <c r="J9" s="196">
        <f>ROUND(D9*N9,2)</f>
        <v/>
      </c>
      <c r="K9" s="196">
        <f>ROUND(E9*N9,2)</f>
        <v/>
      </c>
      <c r="L9" s="196">
        <f>ROUND(F9*N9,2)</f>
        <v/>
      </c>
      <c r="M9" s="197" t="n"/>
      <c r="N9" s="199">
        <f>$F$3</f>
        <v/>
      </c>
    </row>
    <row r="10" ht="24" customHeight="1" s="140">
      <c r="A10" s="194" t="inlineStr">
        <is>
          <t>2. 보고서 작성 및 편집</t>
        </is>
      </c>
      <c r="B10" s="195" t="n">
        <v>0.4</v>
      </c>
      <c r="C10" s="196" t="n">
        <v>0.9</v>
      </c>
      <c r="D10" s="196" t="n">
        <v>1.8</v>
      </c>
      <c r="E10" s="196" t="n">
        <v>1.6</v>
      </c>
      <c r="F10" s="196" t="n">
        <v>2.8</v>
      </c>
      <c r="G10" s="197" t="n"/>
      <c r="H10" s="198">
        <f>ROUND(B10*N10,2)</f>
        <v/>
      </c>
      <c r="I10" s="196">
        <f>ROUND(C10*N10,2)</f>
        <v/>
      </c>
      <c r="J10" s="196">
        <f>ROUND(D10*N10,2)</f>
        <v/>
      </c>
      <c r="K10" s="196">
        <f>ROUND(E10*N10,2)</f>
        <v/>
      </c>
      <c r="L10" s="196">
        <f>ROUND(F10*N10,2)</f>
        <v/>
      </c>
      <c r="M10" s="197" t="n"/>
      <c r="N10" s="199">
        <f>$F$3</f>
        <v/>
      </c>
    </row>
    <row r="11" ht="24" customHeight="1" s="140">
      <c r="A11" s="194" t="inlineStr">
        <is>
          <t>3. 관련도서 작성</t>
        </is>
      </c>
      <c r="B11" s="195" t="n">
        <v>0.6</v>
      </c>
      <c r="C11" s="196" t="n">
        <v>0.8</v>
      </c>
      <c r="D11" s="196" t="n">
        <v>1.4</v>
      </c>
      <c r="E11" s="196" t="n">
        <v>1.6</v>
      </c>
      <c r="F11" s="196" t="n">
        <v>4.2</v>
      </c>
      <c r="G11" s="197" t="n"/>
      <c r="H11" s="198">
        <f>ROUND(B11*N11,2)</f>
        <v/>
      </c>
      <c r="I11" s="196">
        <f>ROUND(C11*N11,2)</f>
        <v/>
      </c>
      <c r="J11" s="196">
        <f>ROUND(D11*N11,2)</f>
        <v/>
      </c>
      <c r="K11" s="196">
        <f>ROUND(E11*N11,2)</f>
        <v/>
      </c>
      <c r="L11" s="196">
        <f>ROUND(F11*N11,2)</f>
        <v/>
      </c>
      <c r="M11" s="197" t="n"/>
      <c r="N11" s="199">
        <f>$F$3</f>
        <v/>
      </c>
    </row>
    <row r="12" ht="24" customHeight="1" s="140">
      <c r="A12" s="194" t="inlineStr">
        <is>
          <t>4. 주민공람</t>
        </is>
      </c>
      <c r="B12" s="195" t="n">
        <v>2.4</v>
      </c>
      <c r="C12" s="196" t="n">
        <v>2.5</v>
      </c>
      <c r="D12" s="196" t="n">
        <v>2.6</v>
      </c>
      <c r="E12" s="196" t="n">
        <v>4.7</v>
      </c>
      <c r="F12" s="196" t="n">
        <v>5.1</v>
      </c>
      <c r="G12" s="197" t="n"/>
      <c r="H12" s="198">
        <f>ROUND(B12*N12,2)</f>
        <v/>
      </c>
      <c r="I12" s="196">
        <f>ROUND(C12*N12,2)</f>
        <v/>
      </c>
      <c r="J12" s="196">
        <f>ROUND(D12*N12,2)</f>
        <v/>
      </c>
      <c r="K12" s="196">
        <f>ROUND(E12*N12,2)</f>
        <v/>
      </c>
      <c r="L12" s="196">
        <f>ROUND(F12*N12,2)</f>
        <v/>
      </c>
      <c r="M12" s="197" t="n"/>
      <c r="N12" s="199" t="n">
        <v>1</v>
      </c>
    </row>
    <row r="13" ht="24" customHeight="1" s="140">
      <c r="A13" s="194" t="inlineStr">
        <is>
          <t>5. 관계기관 협의</t>
        </is>
      </c>
      <c r="B13" s="195" t="n">
        <v>2.4</v>
      </c>
      <c r="C13" s="196" t="n">
        <v>2.5</v>
      </c>
      <c r="D13" s="196" t="n">
        <v>2.6</v>
      </c>
      <c r="E13" s="196" t="n">
        <v>4.7</v>
      </c>
      <c r="F13" s="196" t="n">
        <v>5.1</v>
      </c>
      <c r="G13" s="197" t="n"/>
      <c r="H13" s="198">
        <f>ROUND(B13*N13,2)</f>
        <v/>
      </c>
      <c r="I13" s="196">
        <f>ROUND(C13*N13,2)</f>
        <v/>
      </c>
      <c r="J13" s="196">
        <f>ROUND(D13*N13,2)</f>
        <v/>
      </c>
      <c r="K13" s="196">
        <f>ROUND(E13*N13,2)</f>
        <v/>
      </c>
      <c r="L13" s="196">
        <f>ROUND(F13*N13,2)</f>
        <v/>
      </c>
      <c r="M13" s="197" t="n"/>
      <c r="N13" s="199" t="n">
        <v>1</v>
      </c>
    </row>
    <row r="14" ht="24" customHeight="1" s="140">
      <c r="A14" s="71" t="inlineStr">
        <is>
          <t>소 계</t>
        </is>
      </c>
      <c r="B14" s="135">
        <f>SUM(B9:B13)</f>
        <v/>
      </c>
      <c r="C14" s="136">
        <f>SUM(C9:C13)</f>
        <v/>
      </c>
      <c r="D14" s="136">
        <f>SUM(D9:D13)</f>
        <v/>
      </c>
      <c r="E14" s="136">
        <f>SUM(E9:E13)</f>
        <v/>
      </c>
      <c r="F14" s="136">
        <f>SUM(F9:F13)</f>
        <v/>
      </c>
      <c r="G14" s="200" t="n"/>
      <c r="H14" s="201">
        <f>SUM(H9:H13)</f>
        <v/>
      </c>
      <c r="I14" s="20">
        <f>SUM(I9:I13)</f>
        <v/>
      </c>
      <c r="J14" s="20">
        <f>SUM(J9:J13)</f>
        <v/>
      </c>
      <c r="K14" s="20">
        <f>SUM(K9:K13)</f>
        <v/>
      </c>
      <c r="L14" s="20">
        <f>SUM(L9:L13)</f>
        <v/>
      </c>
      <c r="M14" s="200" t="n"/>
      <c r="N14" s="202" t="n"/>
    </row>
    <row r="15" ht="17.1" customHeight="1" s="140">
      <c r="A15" s="203">
        <f>'12-6 실시계획인가_PDF'!A20</f>
        <v/>
      </c>
      <c r="B15" s="204" t="n"/>
      <c r="C15" s="204" t="n"/>
      <c r="D15" s="204" t="n"/>
      <c r="E15" s="204" t="n"/>
      <c r="F15" s="204" t="n"/>
      <c r="G15" s="204" t="n"/>
      <c r="H15" s="204" t="n"/>
      <c r="I15" s="205" t="n"/>
      <c r="J15" s="205" t="n"/>
      <c r="K15" s="206" t="n"/>
      <c r="L15" s="205" t="n"/>
      <c r="M15" s="205" t="n"/>
      <c r="N15" s="205" t="n"/>
      <c r="O15" s="207" t="n"/>
      <c r="P15" s="207" t="n"/>
    </row>
    <row r="16" ht="17.1" customHeight="1" s="140">
      <c r="A16" s="203">
        <f>'12-6 실시계획인가_PDF'!A21</f>
        <v/>
      </c>
      <c r="B16" s="204" t="n"/>
      <c r="C16" s="204" t="n"/>
      <c r="D16" s="204" t="n"/>
      <c r="E16" s="204" t="n"/>
      <c r="F16" s="204" t="n"/>
      <c r="G16" s="204" t="n"/>
      <c r="H16" s="204" t="n"/>
      <c r="I16" s="205" t="n"/>
      <c r="J16" s="205" t="n"/>
      <c r="K16" s="206" t="n"/>
      <c r="L16" s="205" t="n"/>
      <c r="M16" s="205" t="n"/>
      <c r="N16" s="205" t="n"/>
      <c r="O16" s="207" t="n"/>
      <c r="P16" s="207" t="n"/>
    </row>
    <row r="17" ht="17.1" customHeight="1" s="140">
      <c r="A17" s="203">
        <f>'12-6 실시계획인가_PDF'!A22</f>
        <v/>
      </c>
      <c r="B17" s="208" t="n"/>
      <c r="C17" s="208" t="n"/>
      <c r="D17" s="208" t="n"/>
      <c r="E17" s="208" t="n"/>
      <c r="F17" s="208" t="n"/>
      <c r="G17" s="208" t="n"/>
      <c r="H17" s="208" t="n"/>
      <c r="I17" s="208" t="n"/>
      <c r="J17" s="208" t="n"/>
      <c r="K17" s="208" t="n"/>
      <c r="L17" s="208" t="n"/>
      <c r="M17" s="208" t="n"/>
      <c r="N17" s="209" t="n"/>
      <c r="O17" s="207" t="n"/>
      <c r="P17" s="207" t="n"/>
    </row>
    <row r="18" ht="17.1" customHeight="1" s="140">
      <c r="A18" s="203">
        <f>'12-6 실시계획인가_PDF'!A23</f>
        <v/>
      </c>
      <c r="B18" s="208" t="n"/>
      <c r="C18" s="208" t="n"/>
      <c r="D18" s="208" t="n"/>
      <c r="E18" s="208" t="n"/>
      <c r="F18" s="208" t="n"/>
      <c r="G18" s="208" t="n"/>
      <c r="H18" s="208" t="n"/>
      <c r="I18" s="208" t="n"/>
      <c r="J18" s="208" t="n"/>
      <c r="K18" s="208" t="n"/>
      <c r="L18" s="208" t="n"/>
      <c r="M18" s="208" t="n"/>
      <c r="N18" s="209" t="n"/>
      <c r="O18" s="207" t="n"/>
      <c r="P18" s="207" t="n"/>
    </row>
    <row r="19" ht="17.1" customHeight="1" s="140">
      <c r="A19" s="203">
        <f>'12-6 실시계획인가_PDF'!A24</f>
        <v/>
      </c>
      <c r="B19" s="208" t="n"/>
      <c r="C19" s="208" t="n"/>
      <c r="D19" s="208" t="n"/>
      <c r="E19" s="208" t="n"/>
      <c r="F19" s="208" t="n"/>
      <c r="G19" s="208" t="n"/>
      <c r="H19" s="208" t="n"/>
      <c r="I19" s="208" t="n"/>
      <c r="J19" s="208" t="n"/>
      <c r="K19" s="208" t="n"/>
      <c r="L19" s="208" t="n"/>
      <c r="M19" s="208" t="n"/>
      <c r="N19" s="209" t="n"/>
      <c r="O19" s="207" t="n"/>
      <c r="P19" s="207" t="n"/>
    </row>
    <row r="20" ht="17.1" customHeight="1" s="140">
      <c r="A20" s="203">
        <f>'12-6 실시계획인가_PDF'!A25</f>
        <v/>
      </c>
      <c r="B20" s="208" t="n"/>
      <c r="C20" s="208" t="n"/>
      <c r="D20" s="208" t="n"/>
      <c r="E20" s="208" t="n"/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209" t="n"/>
      <c r="O20" s="207" t="n"/>
      <c r="P20" s="207" t="n"/>
    </row>
    <row r="21" ht="17.1" customHeight="1" s="140">
      <c r="A21" s="203">
        <f>'12-6 실시계획인가_PDF'!A26</f>
        <v/>
      </c>
      <c r="B21" s="208" t="n"/>
      <c r="C21" s="208" t="n"/>
      <c r="D21" s="208" t="n"/>
      <c r="E21" s="208" t="n"/>
      <c r="F21" s="208" t="n"/>
      <c r="G21" s="208" t="n"/>
      <c r="H21" s="208" t="n"/>
      <c r="I21" s="208" t="n"/>
      <c r="J21" s="208" t="n"/>
      <c r="K21" s="208" t="n"/>
      <c r="L21" s="208" t="n"/>
      <c r="M21" s="208" t="n"/>
      <c r="N21" s="209" t="n"/>
      <c r="O21" s="207" t="n"/>
      <c r="P21" s="207" t="n"/>
    </row>
    <row r="22" ht="17.1" customHeight="1" s="140">
      <c r="A22" s="203">
        <f>'12-6 실시계획인가_PDF'!A27</f>
        <v/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9" t="n"/>
      <c r="O22" s="207" t="n"/>
      <c r="P22" s="207" t="n"/>
    </row>
    <row r="23" ht="17.1" customHeight="1" s="140">
      <c r="A23" s="203">
        <f>'12-6 실시계획인가_PDF'!A28</f>
        <v/>
      </c>
      <c r="B23" s="208" t="n"/>
      <c r="C23" s="208" t="n"/>
      <c r="D23" s="208" t="n"/>
      <c r="E23" s="208" t="n"/>
      <c r="F23" s="208" t="n"/>
      <c r="G23" s="208" t="n"/>
      <c r="H23" s="208" t="n"/>
      <c r="I23" s="208" t="n"/>
      <c r="J23" s="208" t="n"/>
      <c r="K23" s="208" t="n"/>
      <c r="L23" s="208" t="n"/>
      <c r="M23" s="208" t="n"/>
      <c r="N23" s="209" t="n"/>
      <c r="O23" s="207" t="n"/>
      <c r="P23" s="207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210" t="inlineStr">
        <is>
          <t>출처 PDF</t>
        </is>
      </c>
      <c r="B1" s="0" t="inlineStr">
        <is>
          <t>C:\Users\saman\Desktop\Ai 실습\_새 폴더\12-6 실시계획인가.pdf</t>
        </is>
      </c>
    </row>
    <row r="2">
      <c r="A2" s="210" t="inlineStr">
        <is>
          <t>쪽수</t>
        </is>
      </c>
      <c r="B2" s="0" t="n">
        <v>1</v>
      </c>
    </row>
    <row r="3">
      <c r="A3" s="210" t="inlineStr">
        <is>
          <t>추출일시</t>
        </is>
      </c>
      <c r="B3" s="0" t="inlineStr">
        <is>
          <t>2026-05-13 10:16:49</t>
        </is>
      </c>
    </row>
    <row r="4"/>
    <row r="5">
      <c r="A5" s="211" t="inlineStr">
        <is>
          <t>상단 머릿글</t>
        </is>
      </c>
    </row>
    <row r="6">
      <c r="A6" s="212" t="inlineStr">
        <is>
          <t>국토계획 제12장 사업관리</t>
        </is>
      </c>
    </row>
    <row r="7">
      <c r="A7" s="212" t="inlineStr">
        <is>
          <t>라. 투입인원수 산정기준</t>
        </is>
      </c>
    </row>
    <row r="8">
      <c r="A8" s="212" t="inlineStr">
        <is>
          <t>(1) 도시ㆍ군계획시설사업 실시계획인가</t>
        </is>
      </c>
    </row>
    <row r="9"/>
    <row r="10">
      <c r="A10" s="211" t="inlineStr">
        <is>
          <t>표 1</t>
        </is>
      </c>
    </row>
    <row r="11">
      <c r="A11" s="212" t="inlineStr">
        <is>
          <t>기본업무</t>
        </is>
      </c>
      <c r="B11" s="212" t="inlineStr">
        <is>
          <t>단 위</t>
        </is>
      </c>
      <c r="C11" s="212" t="inlineStr">
        <is>
          <t>기준인원수(인ㆍ일/단위)</t>
        </is>
      </c>
      <c r="D11" s="212" t="inlineStr"/>
      <c r="E11" s="212" t="inlineStr"/>
      <c r="F11" s="212" t="inlineStr"/>
      <c r="G11" s="212" t="inlineStr"/>
      <c r="H11" s="212" t="inlineStr">
        <is>
          <t>환산
계수</t>
        </is>
      </c>
    </row>
    <row r="12">
      <c r="A12" s="212" t="inlineStr"/>
      <c r="B12" s="212" t="inlineStr"/>
      <c r="C12" s="212" t="inlineStr">
        <is>
          <t>기술사</t>
        </is>
      </c>
      <c r="D12" s="212" t="inlineStr">
        <is>
          <t>특 급
기술자</t>
        </is>
      </c>
      <c r="E12" s="212" t="inlineStr">
        <is>
          <t>고 급
기술자</t>
        </is>
      </c>
      <c r="F12" s="212" t="inlineStr">
        <is>
          <t>중 급
기술자</t>
        </is>
      </c>
      <c r="G12" s="212" t="inlineStr">
        <is>
          <t>초 급
기술자</t>
        </is>
      </c>
      <c r="H12" s="212" t="inlineStr"/>
    </row>
    <row r="13">
      <c r="A13" s="212" t="inlineStr">
        <is>
          <t>1. 실시계획 승인도서 작성</t>
        </is>
      </c>
      <c r="B13" s="212" t="inlineStr">
        <is>
          <t>1만㎡</t>
        </is>
      </c>
      <c r="C13" s="212" t="inlineStr">
        <is>
          <t>0.7</t>
        </is>
      </c>
      <c r="D13" s="212" t="inlineStr">
        <is>
          <t>0.6</t>
        </is>
      </c>
      <c r="E13" s="212" t="inlineStr">
        <is>
          <t>1.3</t>
        </is>
      </c>
      <c r="F13" s="212" t="inlineStr">
        <is>
          <t>1.3</t>
        </is>
      </c>
      <c r="G13" s="212" t="inlineStr">
        <is>
          <t>3.5</t>
        </is>
      </c>
      <c r="H13" s="212" t="inlineStr">
        <is>
          <t>①</t>
        </is>
      </c>
    </row>
    <row r="14">
      <c r="A14" s="212" t="inlineStr">
        <is>
          <t>2. 보고서 작성 및 편집</t>
        </is>
      </c>
      <c r="B14" s="212" t="inlineStr">
        <is>
          <t>1만㎡</t>
        </is>
      </c>
      <c r="C14" s="212" t="inlineStr">
        <is>
          <t>0.4</t>
        </is>
      </c>
      <c r="D14" s="212" t="inlineStr">
        <is>
          <t>0.9</t>
        </is>
      </c>
      <c r="E14" s="212" t="inlineStr">
        <is>
          <t>1.8</t>
        </is>
      </c>
      <c r="F14" s="212" t="inlineStr">
        <is>
          <t>1.6</t>
        </is>
      </c>
      <c r="G14" s="212" t="inlineStr">
        <is>
          <t>2.8</t>
        </is>
      </c>
      <c r="H14" s="212" t="inlineStr">
        <is>
          <t>①</t>
        </is>
      </c>
    </row>
    <row r="15">
      <c r="A15" s="212" t="inlineStr">
        <is>
          <t>3. 관련도서 작성</t>
        </is>
      </c>
      <c r="B15" s="212" t="inlineStr">
        <is>
          <t>1만㎡</t>
        </is>
      </c>
      <c r="C15" s="212" t="inlineStr">
        <is>
          <t>0.6</t>
        </is>
      </c>
      <c r="D15" s="212" t="inlineStr">
        <is>
          <t>0.8</t>
        </is>
      </c>
      <c r="E15" s="212" t="inlineStr">
        <is>
          <t>1.4</t>
        </is>
      </c>
      <c r="F15" s="212" t="inlineStr">
        <is>
          <t>1.6</t>
        </is>
      </c>
      <c r="G15" s="212" t="inlineStr">
        <is>
          <t>4.2</t>
        </is>
      </c>
      <c r="H15" s="212" t="inlineStr">
        <is>
          <t>①</t>
        </is>
      </c>
    </row>
    <row r="16">
      <c r="A16" s="212" t="inlineStr">
        <is>
          <t>4. 주민공람</t>
        </is>
      </c>
      <c r="B16" s="212" t="inlineStr">
        <is>
          <t>식</t>
        </is>
      </c>
      <c r="C16" s="212" t="inlineStr">
        <is>
          <t>2.4</t>
        </is>
      </c>
      <c r="D16" s="212" t="inlineStr">
        <is>
          <t>2.5</t>
        </is>
      </c>
      <c r="E16" s="212" t="inlineStr">
        <is>
          <t>2.6</t>
        </is>
      </c>
      <c r="F16" s="212" t="inlineStr">
        <is>
          <t>4.7</t>
        </is>
      </c>
      <c r="G16" s="212" t="inlineStr">
        <is>
          <t>5.1</t>
        </is>
      </c>
      <c r="H16" s="212" t="inlineStr">
        <is>
          <t>②</t>
        </is>
      </c>
    </row>
    <row r="17">
      <c r="A17" s="212" t="inlineStr">
        <is>
          <t>5. 관계기관 협의</t>
        </is>
      </c>
      <c r="B17" s="212" t="inlineStr">
        <is>
          <t>식</t>
        </is>
      </c>
      <c r="C17" s="212" t="inlineStr">
        <is>
          <t>2.4</t>
        </is>
      </c>
      <c r="D17" s="212" t="inlineStr">
        <is>
          <t>2.5</t>
        </is>
      </c>
      <c r="E17" s="212" t="inlineStr">
        <is>
          <t>2.6</t>
        </is>
      </c>
      <c r="F17" s="212" t="inlineStr">
        <is>
          <t>4.7</t>
        </is>
      </c>
      <c r="G17" s="212" t="inlineStr">
        <is>
          <t>5.1</t>
        </is>
      </c>
      <c r="H17" s="212" t="inlineStr">
        <is>
          <t>②</t>
        </is>
      </c>
    </row>
    <row r="18"/>
    <row r="19">
      <c r="A19" s="170" t="inlineStr">
        <is>
          <t>주기</t>
        </is>
      </c>
    </row>
    <row r="20" ht="17.1" customHeight="1" s="140">
      <c r="A20" s="213" t="inlineStr">
        <is>
          <t>주 1) 토지적성평가, 사업인정의제협의, 농지ㆍ산지전용협의, 국공유지무상귀속 등은 별도 산정한다.</t>
        </is>
      </c>
      <c r="B20" s="214" t="n"/>
      <c r="C20" s="214" t="n"/>
      <c r="D20" s="214" t="n"/>
      <c r="E20" s="214" t="n"/>
      <c r="F20" s="214" t="n"/>
      <c r="G20" s="214" t="n"/>
      <c r="H20" s="214" t="n"/>
    </row>
    <row r="21" ht="17.1" customHeight="1" s="140">
      <c r="A21" s="213" t="inlineStr">
        <is>
          <t>2) 지하안전영향평가 등 각종 영향성검토 및 각종 영향평가업무는 별도 산정한다.</t>
        </is>
      </c>
      <c r="B21" s="214" t="n"/>
      <c r="C21" s="214" t="n"/>
      <c r="D21" s="214" t="n"/>
      <c r="E21" s="214" t="n"/>
      <c r="F21" s="214" t="n"/>
      <c r="G21" s="214" t="n"/>
      <c r="H21" s="214" t="n"/>
    </row>
    <row r="22" ht="17.1" customHeight="1" s="140">
      <c r="A22" s="213" t="inlineStr">
        <is>
          <t>3) 기본설계 및 실시설계, 측량, 토질조사 등 설계 및 조사, 시험은 별도 산정한다.</t>
        </is>
      </c>
      <c r="B22" s="214" t="n"/>
      <c r="C22" s="214" t="n"/>
      <c r="D22" s="214" t="n"/>
      <c r="E22" s="214" t="n"/>
      <c r="F22" s="214" t="n"/>
      <c r="G22" s="214" t="n"/>
      <c r="H22" s="214" t="n"/>
    </row>
    <row r="23" ht="17.1" customHeight="1" s="140">
      <c r="A23" s="213" t="inlineStr">
        <is>
          <t>3) 실시계획인가는 도시ㆍ군관리계획 결정 이후 도시ㆍ군계획시설사업 시행 시 적용한다.</t>
        </is>
      </c>
      <c r="B23" s="214" t="n"/>
      <c r="C23" s="214" t="n"/>
      <c r="D23" s="214" t="n"/>
      <c r="E23" s="214" t="n"/>
      <c r="F23" s="214" t="n"/>
      <c r="G23" s="214" t="n"/>
      <c r="H23" s="214" t="n"/>
    </row>
    <row r="24" ht="17.1" customHeight="1" s="140">
      <c r="A24" s="213" t="inlineStr">
        <is>
          <t>4) 실시계획인가 업무내용 중 보고서 작성 및 편집은 필요시 적용한다.</t>
        </is>
      </c>
      <c r="B24" s="214" t="n"/>
      <c r="C24" s="214" t="n"/>
      <c r="D24" s="214" t="n"/>
      <c r="E24" s="214" t="n"/>
      <c r="F24" s="214" t="n"/>
      <c r="G24" s="214" t="n"/>
      <c r="H24" s="214" t="n"/>
    </row>
    <row r="25" ht="17.1" customHeight="1" s="140">
      <c r="A25" s="213" t="inlineStr">
        <is>
          <t>5) 해당 시설의 종류에 따라 면적(面的)시설 또는 선적(線的)시설로 구분하고, 구분에 따라 규모를 산정하며 기준면적(거리)은</t>
        </is>
      </c>
      <c r="B25" s="214" t="n"/>
      <c r="C25" s="214" t="n"/>
      <c r="D25" s="214" t="n"/>
      <c r="E25" s="214" t="n"/>
      <c r="F25" s="214" t="n"/>
      <c r="G25" s="214" t="n"/>
      <c r="H25" s="214" t="n"/>
    </row>
    <row r="26" ht="17.1" customHeight="1" s="140">
      <c r="A26" s="213" t="inlineStr">
        <is>
          <t>1만㎡(1.0km)를 원칙으로 한다.</t>
        </is>
      </c>
      <c r="B26" s="214" t="n"/>
      <c r="C26" s="214" t="n"/>
      <c r="D26" s="214" t="n"/>
      <c r="E26" s="214" t="n"/>
      <c r="F26" s="214" t="n"/>
      <c r="G26" s="214" t="n"/>
      <c r="H26" s="214" t="n"/>
    </row>
    <row r="27" ht="17.1" customHeight="1" s="140">
      <c r="A27" s="213" t="inlineStr">
        <is>
          <t>6) 기술협의 단위‘식’이란 인허가 신청 후 승인 고시까지의 업무이며, 고시 이후에는 별도 산정한다.</t>
        </is>
      </c>
      <c r="B27" s="214" t="n"/>
      <c r="C27" s="214" t="n"/>
      <c r="D27" s="214" t="n"/>
      <c r="E27" s="214" t="n"/>
      <c r="F27" s="214" t="n"/>
      <c r="G27" s="214" t="n"/>
      <c r="H27" s="214" t="n"/>
    </row>
    <row r="28" ht="17.1" customHeight="1" s="140">
      <c r="A28" s="213" t="inlineStr">
        <is>
          <t>7) 위원회 자문ㆍ심의지원 중 공동심의, 통합심의일 경우 50%를 가산한다.</t>
        </is>
      </c>
      <c r="B28" s="214" t="n"/>
      <c r="C28" s="214" t="n"/>
      <c r="D28" s="214" t="n"/>
      <c r="E28" s="214" t="n"/>
      <c r="F28" s="214" t="n"/>
      <c r="G28" s="214" t="n"/>
      <c r="H28" s="2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2026-05-13T01:16:49Z</dcterms:modified>
  <cp:lastModifiedBy>saman</cp:lastModifiedBy>
</cp:coreProperties>
</file>