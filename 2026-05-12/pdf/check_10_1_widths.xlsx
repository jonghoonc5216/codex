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0-1 관광(단)지 계획_금액" sheetId="2" state="visible" r:id="rId2"/>
    <sheet name="10-1 관광(단)지 계획_작업량" sheetId="3" state="visible" r:id="rId3"/>
    <sheet name="10-1 관광(단)지 계획_PDF" sheetId="4" state="visible" r:id="rId4"/>
  </sheets>
  <definedNames>
    <definedName name="_xlnm.Print_Area" localSheetId="1">'10-1 관광(단)지 계획_금액'!$A$1:$M$201</definedName>
    <definedName name="_xlnm.Print_Area" localSheetId="2">'10-1 관광(단)지 계획_작업량'!$A$1:$N$41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㎡&quot;"/>
    <numFmt numFmtId="169" formatCode="#,##0.###&quot;m2&quot;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name val="맑은 고딕"/>
      <charset val="129"/>
      <family val="3"/>
      <color rgb="FFFF0000"/>
      <sz val="9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25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7" fillId="0" borderId="74" applyAlignment="1" pivotButton="0" quotePrefix="0" xfId="1">
      <alignment horizontal="right" vertical="center"/>
    </xf>
    <xf numFmtId="168" fontId="27" fillId="5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center" vertical="center"/>
    </xf>
    <xf numFmtId="0" fontId="27" fillId="5" borderId="74" applyAlignment="1" pivotButton="0" quotePrefix="0" xfId="3">
      <alignment horizontal="center" vertical="center"/>
    </xf>
    <xf numFmtId="9" fontId="7" fillId="0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left" vertical="center"/>
    </xf>
    <xf numFmtId="0" fontId="7" fillId="0" borderId="74" applyAlignment="1" pivotButton="0" quotePrefix="0" xfId="3">
      <alignment vertical="center"/>
    </xf>
    <xf numFmtId="0" fontId="7" fillId="0" borderId="74" applyAlignment="1" pivotButton="0" quotePrefix="0" xfId="2">
      <alignment horizontal="right" vertical="center"/>
    </xf>
    <xf numFmtId="168" fontId="27" fillId="5" borderId="74" applyAlignment="1" pivotButton="0" quotePrefix="0" xfId="3">
      <alignment vertical="center" shrinkToFit="1"/>
    </xf>
    <xf numFmtId="0" fontId="27" fillId="5" borderId="74" applyAlignment="1" pivotButton="0" quotePrefix="0" xfId="3">
      <alignment vertical="center"/>
    </xf>
    <xf numFmtId="9" fontId="27" fillId="5" borderId="74" applyAlignment="1" pivotButton="0" quotePrefix="0" xfId="3">
      <alignment vertical="center"/>
    </xf>
    <xf numFmtId="2" fontId="12" fillId="4" borderId="74" applyAlignment="1" pivotButton="0" quotePrefix="0" xfId="3">
      <alignment vertical="center"/>
    </xf>
    <xf numFmtId="2" fontId="7" fillId="0" borderId="74" applyAlignment="1" pivotButton="0" quotePrefix="0" xfId="2">
      <alignment vertical="center"/>
    </xf>
    <xf numFmtId="0" fontId="7" fillId="0" borderId="74" applyAlignment="1" pivotButton="0" quotePrefix="0" xfId="1">
      <alignment vertical="center"/>
    </xf>
    <xf numFmtId="168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2" fontId="12" fillId="4" borderId="74" applyAlignment="1" pivotButton="0" quotePrefix="0" xfId="2">
      <alignment vertical="center"/>
    </xf>
    <xf numFmtId="0" fontId="28" fillId="6" borderId="0" pivotButton="0" quotePrefix="0" xfId="0"/>
    <xf numFmtId="0" fontId="7" fillId="0" borderId="74" applyAlignment="1" pivotButton="0" quotePrefix="0" xfId="1">
      <alignment vertical="center"/>
    </xf>
    <xf numFmtId="169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2" fontId="12" fillId="4" borderId="74" applyAlignment="1" pivotButton="0" quotePrefix="0" xfId="2">
      <alignment vertical="center"/>
    </xf>
    <xf numFmtId="0" fontId="8" fillId="2" borderId="91" applyAlignment="1" pivotButton="0" quotePrefix="0" xfId="3">
      <alignment horizontal="center" vertical="center"/>
    </xf>
    <xf numFmtId="0" fontId="12" fillId="2" borderId="82" applyAlignment="1" pivotButton="0" quotePrefix="0" xfId="3">
      <alignment horizontal="center" vertical="center"/>
    </xf>
    <xf numFmtId="0" fontId="0" fillId="0" borderId="79" pivotButton="0" quotePrefix="0" xfId="0"/>
    <xf numFmtId="0" fontId="0" fillId="0" borderId="82" pivotButton="0" quotePrefix="0" xfId="0"/>
    <xf numFmtId="0" fontId="12" fillId="2" borderId="93" applyAlignment="1" pivotButton="0" quotePrefix="0" xfId="3">
      <alignment horizontal="center" vertical="center"/>
    </xf>
    <xf numFmtId="0" fontId="12" fillId="2" borderId="88" applyAlignment="1" pivotButton="0" quotePrefix="0" xfId="3">
      <alignment horizontal="center" vertical="center"/>
    </xf>
    <xf numFmtId="0" fontId="0" fillId="0" borderId="92" pivotButton="0" quotePrefix="0" xfId="0"/>
    <xf numFmtId="0" fontId="7" fillId="2" borderId="84" applyAlignment="1" pivotButton="0" quotePrefix="0" xfId="3">
      <alignment horizontal="center" vertical="center"/>
    </xf>
    <xf numFmtId="0" fontId="7" fillId="2" borderId="85" applyAlignment="1" pivotButton="0" quotePrefix="0" xfId="3">
      <alignment horizontal="center" vertical="center"/>
    </xf>
    <xf numFmtId="0" fontId="7" fillId="2" borderId="89" applyAlignment="1" pivotButton="0" quotePrefix="0" xfId="3">
      <alignment horizontal="center" vertical="center"/>
    </xf>
    <xf numFmtId="0" fontId="12" fillId="0" borderId="94" applyAlignment="1" pivotButton="0" quotePrefix="0" xfId="3">
      <alignment vertical="center" wrapText="1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2" fontId="6" fillId="0" borderId="97" applyAlignment="1" pivotButton="0" quotePrefix="0" xfId="3">
      <alignment vertical="center"/>
    </xf>
    <xf numFmtId="2" fontId="6" fillId="0" borderId="98" applyAlignment="1" pivotButton="0" quotePrefix="0" xfId="3">
      <alignment vertical="center"/>
    </xf>
    <xf numFmtId="166" fontId="6" fillId="0" borderId="99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166" fontId="29" fillId="0" borderId="90" applyAlignment="1" pivotButton="0" quotePrefix="0" xfId="3">
      <alignment vertical="center"/>
    </xf>
    <xf numFmtId="0" fontId="12" fillId="7" borderId="25" applyAlignment="1" pivotButton="0" quotePrefix="0" xfId="3">
      <alignment horizontal="distributed" vertical="center"/>
    </xf>
    <xf numFmtId="2" fontId="6" fillId="7" borderId="29" applyAlignment="1" pivotButton="0" quotePrefix="0" xfId="3">
      <alignment vertical="center"/>
    </xf>
    <xf numFmtId="2" fontId="6" fillId="7" borderId="10" applyAlignment="1" pivotButton="0" quotePrefix="0" xfId="3">
      <alignment vertical="center"/>
    </xf>
    <xf numFmtId="2" fontId="8" fillId="7" borderId="84" applyAlignment="1" pivotButton="0" quotePrefix="0" xfId="3">
      <alignment vertical="center"/>
    </xf>
    <xf numFmtId="2" fontId="8" fillId="7" borderId="85" applyAlignment="1" pivotButton="0" quotePrefix="0" xfId="3">
      <alignment vertical="center"/>
    </xf>
    <xf numFmtId="2" fontId="8" fillId="7" borderId="10" applyAlignment="1" pivotButton="0" quotePrefix="0" xfId="3">
      <alignment vertical="center"/>
    </xf>
    <xf numFmtId="0" fontId="6" fillId="7" borderId="89" applyAlignment="1" pivotButton="0" quotePrefix="0" xfId="3">
      <alignment vertical="center"/>
    </xf>
    <xf numFmtId="0" fontId="7" fillId="0" borderId="76" applyAlignment="1" pivotButton="0" quotePrefix="0" xfId="3">
      <alignment vertical="center"/>
    </xf>
    <xf numFmtId="0" fontId="13" fillId="0" borderId="76" applyAlignment="1" pivotButton="0" quotePrefix="0" xfId="3">
      <alignment vertical="center"/>
    </xf>
    <xf numFmtId="0" fontId="10" fillId="0" borderId="76" pivotButton="0" quotePrefix="0" xfId="3"/>
    <xf numFmtId="0" fontId="14" fillId="0" borderId="76" pivotButton="0" quotePrefix="0" xfId="3"/>
    <xf numFmtId="0" fontId="1" fillId="0" borderId="76" pivotButton="0" quotePrefix="0" xfId="0"/>
    <xf numFmtId="2" fontId="6" fillId="0" borderId="76" applyAlignment="1" pivotButton="0" quotePrefix="0" xfId="3">
      <alignment vertical="center"/>
    </xf>
    <xf numFmtId="0" fontId="6" fillId="0" borderId="76" applyAlignment="1" pivotButton="0" quotePrefix="0" xfId="3">
      <alignment vertical="center"/>
    </xf>
    <xf numFmtId="0" fontId="28" fillId="6" borderId="0" applyAlignment="1" pivotButton="0" quotePrefix="0" xfId="0">
      <alignment vertical="center"/>
    </xf>
    <xf numFmtId="0" fontId="2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6" applyAlignment="1" pivotButton="0" quotePrefix="0" xfId="0">
      <alignment vertical="top"/>
    </xf>
    <xf numFmtId="0" fontId="0" fillId="0" borderId="7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5" customWidth="1" style="140" min="2" max="2"/>
  </cols>
  <sheetData>
    <row r="1">
      <c r="A1" s="278" t="inlineStr">
        <is>
          <t>항목</t>
        </is>
      </c>
      <c r="B1" s="278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</t>
        </is>
      </c>
      <c r="B3" t="inlineStr">
        <is>
          <t>10000m2</t>
        </is>
      </c>
    </row>
    <row r="4">
      <c r="A4" t="inlineStr">
        <is>
          <t>기준면적</t>
        </is>
      </c>
      <c r="B4" t="inlineStr">
        <is>
          <t>10000m2</t>
        </is>
      </c>
    </row>
    <row r="5">
      <c r="A5" t="inlineStr">
        <is>
          <t>승수</t>
        </is>
      </c>
      <c r="B5" t="n">
        <v>0.5</v>
      </c>
    </row>
    <row r="6">
      <c r="A6" t="inlineStr">
        <is>
          <t>환산계수1</t>
        </is>
      </c>
      <c r="B6" t="n">
        <v>1</v>
      </c>
    </row>
    <row r="7">
      <c r="A7" t="inlineStr">
        <is>
          <t>환산계수2</t>
        </is>
      </c>
      <c r="B7" t="n">
        <v>1</v>
      </c>
    </row>
    <row r="8">
      <c r="A8" t="inlineStr">
        <is>
          <t>적용비율</t>
        </is>
      </c>
      <c r="B8" t="n">
        <v>1</v>
      </c>
    </row>
    <row r="9">
      <c r="A9" t="inlineStr">
        <is>
          <t>노임단가 연도</t>
        </is>
      </c>
      <c r="B9" t="inlineStr"/>
    </row>
    <row r="10">
      <c r="A10" t="inlineStr">
        <is>
          <t>변환일시</t>
        </is>
      </c>
      <c r="B10" t="inlineStr">
        <is>
          <t>2026-05-14 16:24:30</t>
        </is>
      </c>
    </row>
    <row r="11"/>
    <row r="12">
      <c r="A12" t="inlineStr">
        <is>
          <t>PDF</t>
        </is>
      </c>
      <c r="B12" t="inlineStr">
        <is>
          <t>C:\Users\saman\Desktop\Ai 실습\_새 폴더\10-1 관광(단)지 계획.pdf</t>
        </is>
      </c>
    </row>
    <row r="13">
      <c r="A13" t="inlineStr">
        <is>
          <t>추출 표 수</t>
        </is>
      </c>
      <c r="B13" t="n">
        <v>1</v>
      </c>
    </row>
    <row r="14">
      <c r="A14" t="inlineStr">
        <is>
          <t>반영 업무 행 수</t>
        </is>
      </c>
      <c r="B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10-1 관광(단)지 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노임단가(2026년_건설)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관광(단)지 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H15+H20+H26+H32+H35+H38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A46</f>
        <v/>
      </c>
      <c r="B15" s="230" t="n"/>
      <c r="C15" s="231" t="n"/>
      <c r="D15" s="232" t="n"/>
      <c r="E15" s="233" t="n"/>
      <c r="F15" s="230" t="n"/>
      <c r="G15" s="234" t="n"/>
      <c r="H15" s="235">
        <f>SUM(H16:H19)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A47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H47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A53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H53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A59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H59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A65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H65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29">
        <f>A72</f>
        <v/>
      </c>
      <c r="B20" s="230" t="n"/>
      <c r="C20" s="231" t="n"/>
      <c r="D20" s="232" t="n"/>
      <c r="E20" s="233" t="n"/>
      <c r="F20" s="230" t="n"/>
      <c r="G20" s="234" t="n"/>
      <c r="H20" s="235">
        <f>SUM(H21:H25)</f>
        <v/>
      </c>
      <c r="I20" s="234" t="n"/>
      <c r="J20" s="234" t="n"/>
      <c r="K20" s="234" t="n"/>
      <c r="L20" s="234" t="n"/>
      <c r="M20" s="92" t="n"/>
      <c r="N20" s="87" t="n"/>
      <c r="O20" s="189" t="n"/>
      <c r="P20" s="189" t="n"/>
      <c r="Q20" s="190" t="n"/>
      <c r="R20" s="87" t="n"/>
    </row>
    <row r="21" ht="18" customHeight="1" s="140">
      <c r="A21" s="236">
        <f>A73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H73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>
        <f>A79</f>
        <v/>
      </c>
      <c r="B22" s="237" t="n"/>
      <c r="C22" s="93" t="n"/>
      <c r="D22" s="112" t="n"/>
      <c r="E22" s="105" t="n"/>
      <c r="F22" s="153">
        <f>H22</f>
        <v/>
      </c>
      <c r="G22" s="104" t="n"/>
      <c r="H22" s="153">
        <f>H79</f>
        <v/>
      </c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>
        <f>A85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H85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A91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H91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>
        <f>A97</f>
        <v/>
      </c>
      <c r="B25" s="237" t="n"/>
      <c r="C25" s="93" t="n"/>
      <c r="D25" s="112" t="n"/>
      <c r="E25" s="105" t="n"/>
      <c r="F25" s="153">
        <f>H25</f>
        <v/>
      </c>
      <c r="G25" s="104" t="n"/>
      <c r="H25" s="153">
        <f>H97</f>
        <v/>
      </c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29">
        <f>A104</f>
        <v/>
      </c>
      <c r="B26" s="230" t="n"/>
      <c r="C26" s="231" t="n"/>
      <c r="D26" s="232" t="n"/>
      <c r="E26" s="233" t="n"/>
      <c r="F26" s="230" t="n"/>
      <c r="G26" s="234" t="n"/>
      <c r="H26" s="235">
        <f>SUM(H27:H31)</f>
        <v/>
      </c>
      <c r="I26" s="234" t="n"/>
      <c r="J26" s="234" t="n"/>
      <c r="K26" s="234" t="n"/>
      <c r="L26" s="234" t="n"/>
      <c r="M26" s="92" t="n"/>
      <c r="N26" s="87" t="n"/>
      <c r="O26" s="189" t="n"/>
      <c r="P26" s="189" t="n"/>
      <c r="Q26" s="190" t="n"/>
      <c r="R26" s="87" t="n"/>
    </row>
    <row r="27" ht="18" customHeight="1" s="140">
      <c r="A27" s="236">
        <f>A105</f>
        <v/>
      </c>
      <c r="B27" s="237" t="n"/>
      <c r="C27" s="93" t="n"/>
      <c r="D27" s="112" t="n"/>
      <c r="E27" s="105" t="n"/>
      <c r="F27" s="153">
        <f>H27</f>
        <v/>
      </c>
      <c r="G27" s="104" t="n"/>
      <c r="H27" s="153">
        <f>H105</f>
        <v/>
      </c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>
        <f>A111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H111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A117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H117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A123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H123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36">
        <f>A129</f>
        <v/>
      </c>
      <c r="B31" s="237" t="n"/>
      <c r="C31" s="93" t="n"/>
      <c r="D31" s="112" t="n"/>
      <c r="E31" s="105" t="n"/>
      <c r="F31" s="153">
        <f>H31</f>
        <v/>
      </c>
      <c r="G31" s="104" t="n"/>
      <c r="H31" s="153">
        <f>H129</f>
        <v/>
      </c>
      <c r="I31" s="104" t="n"/>
      <c r="J31" s="104" t="n"/>
      <c r="K31" s="104" t="n"/>
      <c r="L31" s="104" t="n"/>
      <c r="M31" s="35" t="n"/>
      <c r="N31" s="87" t="n"/>
      <c r="O31" s="189" t="n"/>
      <c r="P31" s="189" t="n"/>
      <c r="Q31" s="190" t="n"/>
      <c r="R31" s="87" t="n"/>
    </row>
    <row r="32" ht="18" customHeight="1" s="140">
      <c r="A32" s="229">
        <f>A136</f>
        <v/>
      </c>
      <c r="B32" s="230" t="n"/>
      <c r="C32" s="231" t="n"/>
      <c r="D32" s="232" t="n"/>
      <c r="E32" s="233" t="n"/>
      <c r="F32" s="230" t="n"/>
      <c r="G32" s="234" t="n"/>
      <c r="H32" s="235">
        <f>SUM(H33:H34)</f>
        <v/>
      </c>
      <c r="I32" s="234" t="n"/>
      <c r="J32" s="234" t="n"/>
      <c r="K32" s="234" t="n"/>
      <c r="L32" s="234" t="n"/>
      <c r="M32" s="92" t="n"/>
      <c r="N32" s="87" t="n"/>
      <c r="O32" s="189" t="n"/>
      <c r="P32" s="189" t="n"/>
      <c r="Q32" s="190" t="n"/>
      <c r="R32" s="87" t="n"/>
    </row>
    <row r="33" ht="18" customHeight="1" s="140">
      <c r="A33" s="236">
        <f>A137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H137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36">
        <f>A143</f>
        <v/>
      </c>
      <c r="B34" s="237" t="n"/>
      <c r="C34" s="93" t="n"/>
      <c r="D34" s="112" t="n"/>
      <c r="E34" s="105" t="n"/>
      <c r="F34" s="153">
        <f>H34</f>
        <v/>
      </c>
      <c r="G34" s="104" t="n"/>
      <c r="H34" s="153">
        <f>H143</f>
        <v/>
      </c>
      <c r="I34" s="104" t="n"/>
      <c r="J34" s="104" t="n"/>
      <c r="K34" s="104" t="n"/>
      <c r="L34" s="104" t="n"/>
      <c r="M34" s="35" t="n"/>
      <c r="N34" s="87" t="n"/>
      <c r="O34" s="189" t="n"/>
      <c r="P34" s="189" t="n"/>
      <c r="Q34" s="190" t="n"/>
      <c r="R34" s="87" t="n"/>
    </row>
    <row r="35" ht="18" customHeight="1" s="140">
      <c r="A35" s="229">
        <f>A150</f>
        <v/>
      </c>
      <c r="B35" s="230" t="n"/>
      <c r="C35" s="231" t="n"/>
      <c r="D35" s="232" t="n"/>
      <c r="E35" s="233" t="n"/>
      <c r="F35" s="230" t="n"/>
      <c r="G35" s="234" t="n"/>
      <c r="H35" s="235">
        <f>SUM(H36:H37)</f>
        <v/>
      </c>
      <c r="I35" s="234" t="n"/>
      <c r="J35" s="234" t="n"/>
      <c r="K35" s="234" t="n"/>
      <c r="L35" s="234" t="n"/>
      <c r="M35" s="92" t="n"/>
      <c r="N35" s="87" t="n"/>
      <c r="O35" s="189" t="n"/>
      <c r="P35" s="189" t="n"/>
      <c r="Q35" s="190" t="n"/>
      <c r="R35" s="87" t="n"/>
    </row>
    <row r="36" ht="18" customHeight="1" s="140">
      <c r="A36" s="236">
        <f>A151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H151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36">
        <f>A157</f>
        <v/>
      </c>
      <c r="B37" s="237" t="n"/>
      <c r="C37" s="93" t="n"/>
      <c r="D37" s="112" t="n"/>
      <c r="E37" s="105" t="n"/>
      <c r="F37" s="153">
        <f>H37</f>
        <v/>
      </c>
      <c r="G37" s="104" t="n"/>
      <c r="H37" s="153">
        <f>H157</f>
        <v/>
      </c>
      <c r="I37" s="104" t="n"/>
      <c r="J37" s="104" t="n"/>
      <c r="K37" s="104" t="n"/>
      <c r="L37" s="104" t="n"/>
      <c r="M37" s="35" t="n"/>
      <c r="N37" s="87" t="n"/>
      <c r="O37" s="189" t="n"/>
      <c r="P37" s="189" t="n"/>
      <c r="Q37" s="190" t="n"/>
      <c r="R37" s="87" t="n"/>
    </row>
    <row r="38" ht="18" customHeight="1" s="140">
      <c r="A38" s="229">
        <f>A164</f>
        <v/>
      </c>
      <c r="B38" s="230" t="n"/>
      <c r="C38" s="231" t="n"/>
      <c r="D38" s="232" t="n"/>
      <c r="E38" s="233" t="n"/>
      <c r="F38" s="230" t="n"/>
      <c r="G38" s="234" t="n"/>
      <c r="H38" s="235">
        <f>SUM(H39:H44)</f>
        <v/>
      </c>
      <c r="I38" s="234" t="n"/>
      <c r="J38" s="234" t="n"/>
      <c r="K38" s="234" t="n"/>
      <c r="L38" s="234" t="n"/>
      <c r="M38" s="92" t="n"/>
      <c r="N38" s="87" t="n"/>
      <c r="O38" s="189" t="n"/>
      <c r="P38" s="189" t="n"/>
      <c r="Q38" s="190" t="n"/>
      <c r="R38" s="87" t="n"/>
    </row>
    <row r="39" ht="18" customHeight="1" s="140">
      <c r="A39" s="236">
        <f>A165</f>
        <v/>
      </c>
      <c r="B39" s="237" t="n"/>
      <c r="C39" s="93" t="n"/>
      <c r="D39" s="112" t="n"/>
      <c r="E39" s="105" t="n"/>
      <c r="F39" s="153">
        <f>H39</f>
        <v/>
      </c>
      <c r="G39" s="104" t="n"/>
      <c r="H39" s="153">
        <f>H165</f>
        <v/>
      </c>
      <c r="I39" s="104" t="n"/>
      <c r="J39" s="104" t="n"/>
      <c r="K39" s="104" t="n"/>
      <c r="L39" s="104" t="n"/>
      <c r="M39" s="35" t="n"/>
      <c r="N39" s="87" t="n"/>
      <c r="O39" s="189" t="n"/>
      <c r="P39" s="189" t="n"/>
      <c r="Q39" s="190" t="n"/>
      <c r="R39" s="87" t="n"/>
    </row>
    <row r="40" ht="18" customHeight="1" s="140">
      <c r="A40" s="236">
        <f>A171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H171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A177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H177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A183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H183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A189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H189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236">
        <f>A195</f>
        <v/>
      </c>
      <c r="B44" s="237" t="n"/>
      <c r="C44" s="93" t="n"/>
      <c r="D44" s="112" t="n"/>
      <c r="E44" s="105" t="n"/>
      <c r="F44" s="153">
        <f>H44</f>
        <v/>
      </c>
      <c r="G44" s="104" t="n"/>
      <c r="H44" s="153">
        <f>H195</f>
        <v/>
      </c>
      <c r="I44" s="104" t="n"/>
      <c r="J44" s="104" t="n"/>
      <c r="K44" s="104" t="n"/>
      <c r="L44" s="104" t="n"/>
      <c r="M44" s="35" t="n"/>
      <c r="N44" s="87" t="n"/>
      <c r="O44" s="189" t="n"/>
      <c r="P44" s="189" t="n"/>
      <c r="Q44" s="190" t="n"/>
      <c r="R44" s="87" t="n"/>
    </row>
    <row r="45" ht="24" customHeight="1" s="140">
      <c r="A45" s="221">
        <f>A5</f>
        <v/>
      </c>
      <c r="B45" s="246" t="n"/>
      <c r="C45" s="247" t="n"/>
      <c r="D45" s="247" t="n"/>
      <c r="E45" s="248" t="n"/>
      <c r="F45" s="246" t="n"/>
      <c r="G45" s="247" t="n"/>
      <c r="H45" s="227">
        <f>H46+H72+H104+H136+H150+H164</f>
        <v/>
      </c>
      <c r="I45" s="247" t="n"/>
      <c r="J45" s="247" t="n"/>
      <c r="K45" s="247" t="n"/>
      <c r="L45" s="247" t="n"/>
      <c r="M45" s="249" t="n"/>
      <c r="N45" s="141" t="n"/>
      <c r="O45" s="198" t="n"/>
      <c r="P45" s="198" t="n"/>
      <c r="Q45" s="199" t="n"/>
      <c r="R45" s="141" t="n"/>
    </row>
    <row r="46" ht="18" customHeight="1" s="140">
      <c r="A46" s="250">
        <f>'10-1 관광(단)지 계획_작업량'!A6</f>
        <v/>
      </c>
      <c r="B46" s="251" t="n"/>
      <c r="C46" s="252" t="n"/>
      <c r="D46" s="251" t="n"/>
      <c r="E46" s="251" t="n"/>
      <c r="F46" s="251" t="n"/>
      <c r="G46" s="251" t="n"/>
      <c r="H46" s="253">
        <f>H47+H53+H59+H65</f>
        <v/>
      </c>
      <c r="I46" s="251" t="n"/>
      <c r="J46" s="251" t="n"/>
      <c r="K46" s="251" t="n"/>
      <c r="L46" s="251" t="n"/>
      <c r="M46" s="65" t="n"/>
      <c r="N46" s="87" t="n"/>
      <c r="O46" s="190" t="n"/>
      <c r="P46" s="189" t="n"/>
      <c r="Q46" s="200" t="n"/>
      <c r="R46" s="87" t="n"/>
    </row>
    <row r="47" ht="18" customHeight="1" s="140">
      <c r="A47" s="47">
        <f>'10-1 관광(단)지 계획_작업량'!A7</f>
        <v/>
      </c>
      <c r="B47" s="18" t="n"/>
      <c r="C47" s="48" t="n"/>
      <c r="D47" s="18" t="n"/>
      <c r="E47" s="18" t="n"/>
      <c r="F47" s="18" t="n"/>
      <c r="G47" s="18" t="n"/>
      <c r="H47" s="95">
        <f>SUM(H48:H52)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0" t="n"/>
      <c r="R47" s="87" t="n"/>
    </row>
    <row r="48" ht="18" customHeight="1" s="140">
      <c r="A48" s="103" t="inlineStr">
        <is>
          <t>기  술  사</t>
        </is>
      </c>
      <c r="B48" s="18" t="n"/>
      <c r="C48" s="48">
        <f>'10-1 관광(단)지 계획_작업량'!H7</f>
        <v/>
      </c>
      <c r="D48" s="104" t="inlineStr">
        <is>
          <t>인</t>
        </is>
      </c>
      <c r="E48" s="18" t="n"/>
      <c r="F48" s="18" t="n"/>
      <c r="G48" s="95">
        <f>$P$5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190" t="n"/>
      <c r="P48" s="189" t="n"/>
      <c r="Q48" s="200" t="n"/>
      <c r="R48" s="87" t="n"/>
    </row>
    <row r="49" ht="18" customHeight="1" s="140">
      <c r="A49" s="103" t="inlineStr">
        <is>
          <t>특급기술자</t>
        </is>
      </c>
      <c r="B49" s="18" t="n"/>
      <c r="C49" s="48">
        <f>'10-1 관광(단)지 계획_작업량'!I7</f>
        <v/>
      </c>
      <c r="D49" s="104" t="inlineStr">
        <is>
          <t>인</t>
        </is>
      </c>
      <c r="E49" s="201" t="n"/>
      <c r="F49" s="201" t="n"/>
      <c r="G49" s="95">
        <f>$P$6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190" t="n"/>
      <c r="P49" s="189" t="n"/>
      <c r="Q49" s="202" t="n"/>
      <c r="R49" s="87" t="n"/>
    </row>
    <row r="50" ht="18" customHeight="1" s="140">
      <c r="A50" s="103" t="inlineStr">
        <is>
          <t>고급기술자</t>
        </is>
      </c>
      <c r="B50" s="18" t="n"/>
      <c r="C50" s="48">
        <f>'10-1 관광(단)지 계획_작업량'!J7</f>
        <v/>
      </c>
      <c r="D50" s="104" t="inlineStr">
        <is>
          <t>인</t>
        </is>
      </c>
      <c r="E50" s="201" t="n"/>
      <c r="F50" s="201" t="n"/>
      <c r="G50" s="95">
        <f>$P$7</f>
        <v/>
      </c>
      <c r="H50" s="95">
        <f>ROUNDDOWN(G50*C50,0)</f>
        <v/>
      </c>
      <c r="I50" s="18" t="n"/>
      <c r="J50" s="18" t="n"/>
      <c r="K50" s="18" t="n"/>
      <c r="L50" s="18" t="n"/>
      <c r="M50" s="36" t="n"/>
      <c r="N50" s="87" t="n"/>
      <c r="O50" s="190" t="n"/>
      <c r="P50" s="189" t="n"/>
      <c r="Q50" s="202" t="n"/>
      <c r="R50" s="87" t="n"/>
    </row>
    <row r="51" ht="18" customHeight="1" s="140">
      <c r="A51" s="103" t="inlineStr">
        <is>
          <t>중급기술자</t>
        </is>
      </c>
      <c r="B51" s="18" t="n"/>
      <c r="C51" s="48">
        <f>'10-1 관광(단)지 계획_작업량'!K7</f>
        <v/>
      </c>
      <c r="D51" s="104" t="inlineStr">
        <is>
          <t>인</t>
        </is>
      </c>
      <c r="E51" s="201" t="n"/>
      <c r="F51" s="201" t="n"/>
      <c r="G51" s="95">
        <f>$P$8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200" t="n"/>
      <c r="P51" s="203" t="n"/>
      <c r="Q51" s="202" t="n"/>
      <c r="R51" s="87" t="n"/>
    </row>
    <row r="52" ht="18" customHeight="1" s="140">
      <c r="A52" s="103" t="inlineStr">
        <is>
          <t>초급기술자</t>
        </is>
      </c>
      <c r="B52" s="18" t="n"/>
      <c r="C52" s="48">
        <f>'10-1 관광(단)지 계획_작업량'!L7</f>
        <v/>
      </c>
      <c r="D52" s="104" t="inlineStr">
        <is>
          <t>인</t>
        </is>
      </c>
      <c r="E52" s="201" t="n"/>
      <c r="F52" s="201" t="n"/>
      <c r="G52" s="95">
        <f>$P$9</f>
        <v/>
      </c>
      <c r="H52" s="95">
        <f>ROUNDDOWN(G52*C52,0)</f>
        <v/>
      </c>
      <c r="I52" s="18" t="n"/>
      <c r="J52" s="18" t="n"/>
      <c r="K52" s="18" t="n"/>
      <c r="L52" s="18" t="n"/>
      <c r="M52" s="36" t="n"/>
      <c r="N52" s="87" t="n"/>
      <c r="O52" s="200" t="n"/>
      <c r="P52" s="203" t="n"/>
      <c r="Q52" s="202" t="n"/>
      <c r="R52" s="87" t="n"/>
    </row>
    <row r="53" ht="18" customHeight="1" s="140">
      <c r="A53" s="47">
        <f>'10-1 관광(단)지 계획_작업량'!A8</f>
        <v/>
      </c>
      <c r="B53" s="18" t="n"/>
      <c r="C53" s="48" t="n"/>
      <c r="D53" s="18" t="n"/>
      <c r="E53" s="18" t="n"/>
      <c r="F53" s="18" t="n"/>
      <c r="G53" s="18" t="n"/>
      <c r="H53" s="95">
        <f>SUM(H54:H58)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0" t="n"/>
      <c r="R53" s="87" t="n"/>
    </row>
    <row r="54" ht="18" customHeight="1" s="140">
      <c r="A54" s="103" t="inlineStr">
        <is>
          <t>기  술  사</t>
        </is>
      </c>
      <c r="B54" s="18" t="n"/>
      <c r="C54" s="48">
        <f>'10-1 관광(단)지 계획_작업량'!H8</f>
        <v/>
      </c>
      <c r="D54" s="104" t="inlineStr">
        <is>
          <t>인</t>
        </is>
      </c>
      <c r="E54" s="18" t="n"/>
      <c r="F54" s="18" t="n"/>
      <c r="G54" s="95">
        <f>$P$5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0" t="n"/>
      <c r="R54" s="87" t="n"/>
    </row>
    <row r="55" ht="18" customHeight="1" s="140">
      <c r="A55" s="103" t="inlineStr">
        <is>
          <t>특급기술자</t>
        </is>
      </c>
      <c r="B55" s="18" t="n"/>
      <c r="C55" s="48">
        <f>'10-1 관광(단)지 계획_작업량'!I8</f>
        <v/>
      </c>
      <c r="D55" s="104" t="inlineStr">
        <is>
          <t>인</t>
        </is>
      </c>
      <c r="E55" s="201" t="n"/>
      <c r="F55" s="201" t="n"/>
      <c r="G55" s="95">
        <f>$P$6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190" t="n"/>
      <c r="P55" s="189" t="n"/>
      <c r="Q55" s="202" t="n"/>
      <c r="R55" s="87" t="n"/>
    </row>
    <row r="56" ht="18" customHeight="1" s="140">
      <c r="A56" s="103" t="inlineStr">
        <is>
          <t>고급기술자</t>
        </is>
      </c>
      <c r="B56" s="18" t="n"/>
      <c r="C56" s="48">
        <f>'10-1 관광(단)지 계획_작업량'!J8</f>
        <v/>
      </c>
      <c r="D56" s="104" t="inlineStr">
        <is>
          <t>인</t>
        </is>
      </c>
      <c r="E56" s="201" t="n"/>
      <c r="F56" s="201" t="n"/>
      <c r="G56" s="95">
        <f>$P$7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190" t="n"/>
      <c r="P56" s="189" t="n"/>
      <c r="Q56" s="202" t="n"/>
      <c r="R56" s="87" t="n"/>
    </row>
    <row r="57" ht="18" customHeight="1" s="140">
      <c r="A57" s="103" t="inlineStr">
        <is>
          <t>중급기술자</t>
        </is>
      </c>
      <c r="B57" s="18" t="n"/>
      <c r="C57" s="48">
        <f>'10-1 관광(단)지 계획_작업량'!K8</f>
        <v/>
      </c>
      <c r="D57" s="104" t="inlineStr">
        <is>
          <t>인</t>
        </is>
      </c>
      <c r="E57" s="201" t="n"/>
      <c r="F57" s="201" t="n"/>
      <c r="G57" s="95">
        <f>$P$8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200" t="n"/>
      <c r="P57" s="203" t="n"/>
      <c r="Q57" s="202" t="n"/>
      <c r="R57" s="87" t="n"/>
    </row>
    <row r="58" ht="18" customHeight="1" s="140">
      <c r="A58" s="103" t="inlineStr">
        <is>
          <t>초급기술자</t>
        </is>
      </c>
      <c r="B58" s="18" t="n"/>
      <c r="C58" s="48">
        <f>'10-1 관광(단)지 계획_작업량'!L8</f>
        <v/>
      </c>
      <c r="D58" s="104" t="inlineStr">
        <is>
          <t>인</t>
        </is>
      </c>
      <c r="E58" s="201" t="n"/>
      <c r="F58" s="201" t="n"/>
      <c r="G58" s="95">
        <f>$P$9</f>
        <v/>
      </c>
      <c r="H58" s="95">
        <f>ROUNDDOWN(G58*C58,0)</f>
        <v/>
      </c>
      <c r="I58" s="18" t="n"/>
      <c r="J58" s="18" t="n"/>
      <c r="K58" s="18" t="n"/>
      <c r="L58" s="18" t="n"/>
      <c r="M58" s="36" t="n"/>
      <c r="N58" s="87" t="n"/>
      <c r="O58" s="200" t="n"/>
      <c r="P58" s="203" t="n"/>
      <c r="Q58" s="202" t="n"/>
      <c r="R58" s="87" t="n"/>
    </row>
    <row r="59" ht="18" customHeight="1" s="140">
      <c r="A59" s="47">
        <f>'10-1 관광(단)지 계획_작업량'!A9</f>
        <v/>
      </c>
      <c r="B59" s="18" t="n"/>
      <c r="C59" s="48" t="n"/>
      <c r="D59" s="18" t="n"/>
      <c r="E59" s="18" t="n"/>
      <c r="F59" s="18" t="n"/>
      <c r="G59" s="18" t="n"/>
      <c r="H59" s="95">
        <f>SUM(H60:H64)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기  술  사</t>
        </is>
      </c>
      <c r="B60" s="18" t="n"/>
      <c r="C60" s="48">
        <f>'10-1 관광(단)지 계획_작업량'!H9</f>
        <v/>
      </c>
      <c r="D60" s="104" t="inlineStr">
        <is>
          <t>인</t>
        </is>
      </c>
      <c r="E60" s="18" t="n"/>
      <c r="F60" s="18" t="n"/>
      <c r="G60" s="95">
        <f>$P$5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0" t="n"/>
      <c r="R60" s="87" t="n"/>
    </row>
    <row r="61" ht="18" customHeight="1" s="140">
      <c r="A61" s="103" t="inlineStr">
        <is>
          <t>특급기술자</t>
        </is>
      </c>
      <c r="B61" s="18" t="n"/>
      <c r="C61" s="48">
        <f>'10-1 관광(단)지 계획_작업량'!I9</f>
        <v/>
      </c>
      <c r="D61" s="104" t="inlineStr">
        <is>
          <t>인</t>
        </is>
      </c>
      <c r="E61" s="201" t="n"/>
      <c r="F61" s="201" t="n"/>
      <c r="G61" s="95">
        <f>$P$6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고급기술자</t>
        </is>
      </c>
      <c r="B62" s="18" t="n"/>
      <c r="C62" s="48">
        <f>'10-1 관광(단)지 계획_작업량'!J9</f>
        <v/>
      </c>
      <c r="D62" s="104" t="inlineStr">
        <is>
          <t>인</t>
        </is>
      </c>
      <c r="E62" s="201" t="n"/>
      <c r="F62" s="201" t="n"/>
      <c r="G62" s="95">
        <f>$P$7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190" t="n"/>
      <c r="P62" s="189" t="n"/>
      <c r="Q62" s="202" t="n"/>
      <c r="R62" s="87" t="n"/>
    </row>
    <row r="63" ht="18" customHeight="1" s="140">
      <c r="A63" s="103" t="inlineStr">
        <is>
          <t>중급기술자</t>
        </is>
      </c>
      <c r="B63" s="18" t="n"/>
      <c r="C63" s="48">
        <f>'10-1 관광(단)지 계획_작업량'!K9</f>
        <v/>
      </c>
      <c r="D63" s="104" t="inlineStr">
        <is>
          <t>인</t>
        </is>
      </c>
      <c r="E63" s="201" t="n"/>
      <c r="F63" s="201" t="n"/>
      <c r="G63" s="95">
        <f>$P$8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103" t="inlineStr">
        <is>
          <t>초급기술자</t>
        </is>
      </c>
      <c r="B64" s="18" t="n"/>
      <c r="C64" s="48">
        <f>'10-1 관광(단)지 계획_작업량'!L9</f>
        <v/>
      </c>
      <c r="D64" s="104" t="inlineStr">
        <is>
          <t>인</t>
        </is>
      </c>
      <c r="E64" s="201" t="n"/>
      <c r="F64" s="201" t="n"/>
      <c r="G64" s="95">
        <f>$P$9</f>
        <v/>
      </c>
      <c r="H64" s="95">
        <f>ROUNDDOWN(G64*C64,0)</f>
        <v/>
      </c>
      <c r="I64" s="18" t="n"/>
      <c r="J64" s="18" t="n"/>
      <c r="K64" s="18" t="n"/>
      <c r="L64" s="18" t="n"/>
      <c r="M64" s="36" t="n"/>
      <c r="N64" s="87" t="n"/>
      <c r="O64" s="200" t="n"/>
      <c r="P64" s="203" t="n"/>
      <c r="Q64" s="202" t="n"/>
      <c r="R64" s="87" t="n"/>
    </row>
    <row r="65" ht="18" customHeight="1" s="140">
      <c r="A65" s="47">
        <f>'10-1 관광(단)지 계획_작업량'!A10</f>
        <v/>
      </c>
      <c r="B65" s="18" t="n"/>
      <c r="C65" s="48" t="n"/>
      <c r="D65" s="18" t="n"/>
      <c r="E65" s="18" t="n"/>
      <c r="F65" s="18" t="n"/>
      <c r="G65" s="18" t="n"/>
      <c r="H65" s="95">
        <f>SUM(H66:H70)</f>
        <v/>
      </c>
      <c r="I65" s="18" t="n"/>
      <c r="J65" s="18" t="n"/>
      <c r="K65" s="18" t="n"/>
      <c r="L65" s="18" t="n"/>
      <c r="M65" s="36" t="n"/>
      <c r="N65" s="87" t="n"/>
      <c r="O65" s="190" t="n"/>
      <c r="P65" s="189" t="n"/>
      <c r="Q65" s="200" t="n"/>
      <c r="R65" s="87" t="n"/>
    </row>
    <row r="66" ht="18" customHeight="1" s="140">
      <c r="A66" s="103" t="inlineStr">
        <is>
          <t>기  술  사</t>
        </is>
      </c>
      <c r="B66" s="18" t="n"/>
      <c r="C66" s="48">
        <f>'10-1 관광(단)지 계획_작업량'!H10</f>
        <v/>
      </c>
      <c r="D66" s="104" t="inlineStr">
        <is>
          <t>인</t>
        </is>
      </c>
      <c r="E66" s="18" t="n"/>
      <c r="F66" s="18" t="n"/>
      <c r="G66" s="95">
        <f>$P$5</f>
        <v/>
      </c>
      <c r="H66" s="95">
        <f>ROUNDDOWN(G66*C66,0)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0" t="n"/>
      <c r="R66" s="87" t="n"/>
    </row>
    <row r="67" ht="18" customHeight="1" s="140">
      <c r="A67" s="103" t="inlineStr">
        <is>
          <t>특급기술자</t>
        </is>
      </c>
      <c r="B67" s="18" t="n"/>
      <c r="C67" s="48">
        <f>'10-1 관광(단)지 계획_작업량'!I10</f>
        <v/>
      </c>
      <c r="D67" s="104" t="inlineStr">
        <is>
          <t>인</t>
        </is>
      </c>
      <c r="E67" s="201" t="n"/>
      <c r="F67" s="201" t="n"/>
      <c r="G67" s="95">
        <f>$P$6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190" t="n"/>
      <c r="P67" s="189" t="n"/>
      <c r="Q67" s="202" t="n"/>
      <c r="R67" s="87" t="n"/>
    </row>
    <row r="68" ht="18" customHeight="1" s="140">
      <c r="A68" s="103" t="inlineStr">
        <is>
          <t>고급기술자</t>
        </is>
      </c>
      <c r="B68" s="18" t="n"/>
      <c r="C68" s="48">
        <f>'10-1 관광(단)지 계획_작업량'!J10</f>
        <v/>
      </c>
      <c r="D68" s="104" t="inlineStr">
        <is>
          <t>인</t>
        </is>
      </c>
      <c r="E68" s="201" t="n"/>
      <c r="F68" s="201" t="n"/>
      <c r="G68" s="95">
        <f>$P$7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2" t="n"/>
      <c r="R68" s="87" t="n"/>
    </row>
    <row r="69" ht="18" customHeight="1" s="140">
      <c r="A69" s="103" t="inlineStr">
        <is>
          <t>중급기술자</t>
        </is>
      </c>
      <c r="B69" s="18" t="n"/>
      <c r="C69" s="48">
        <f>'10-1 관광(단)지 계획_작업량'!K10</f>
        <v/>
      </c>
      <c r="D69" s="104" t="inlineStr">
        <is>
          <t>인</t>
        </is>
      </c>
      <c r="E69" s="201" t="n"/>
      <c r="F69" s="201" t="n"/>
      <c r="G69" s="95">
        <f>$P$8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200" t="n"/>
      <c r="P69" s="203" t="n"/>
      <c r="Q69" s="202" t="n"/>
      <c r="R69" s="87" t="n"/>
    </row>
    <row r="70" ht="18" customHeight="1" s="140">
      <c r="A70" s="103" t="inlineStr">
        <is>
          <t>초급기술자</t>
        </is>
      </c>
      <c r="B70" s="18" t="n"/>
      <c r="C70" s="48">
        <f>'10-1 관광(단)지 계획_작업량'!L10</f>
        <v/>
      </c>
      <c r="D70" s="104" t="inlineStr">
        <is>
          <t>인</t>
        </is>
      </c>
      <c r="E70" s="201" t="n"/>
      <c r="F70" s="201" t="n"/>
      <c r="G70" s="95">
        <f>$P$9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200" t="n"/>
      <c r="P70" s="203" t="n"/>
      <c r="Q70" s="202" t="n"/>
      <c r="R70" s="87" t="n"/>
    </row>
    <row r="71" ht="18" customHeight="1" s="140">
      <c r="A71" s="236" t="n"/>
      <c r="B71" s="237" t="n"/>
      <c r="C71" s="93" t="n"/>
      <c r="D71" s="112" t="n"/>
      <c r="E71" s="105" t="n"/>
      <c r="F71" s="153" t="n"/>
      <c r="G71" s="104" t="n"/>
      <c r="H71" s="153" t="n"/>
      <c r="I71" s="104" t="n"/>
      <c r="J71" s="104" t="n"/>
      <c r="K71" s="104" t="n"/>
      <c r="L71" s="104" t="n"/>
      <c r="M71" s="35" t="n"/>
      <c r="N71" s="87" t="n"/>
      <c r="O71" s="189" t="n"/>
      <c r="P71" s="189" t="n"/>
      <c r="Q71" s="190" t="n"/>
      <c r="R71" s="87" t="n"/>
    </row>
    <row r="72" ht="18" customHeight="1" s="140">
      <c r="A72" s="250">
        <f>'10-1 관광(단)지 계획_작업량'!A11</f>
        <v/>
      </c>
      <c r="B72" s="251" t="n"/>
      <c r="C72" s="252" t="n"/>
      <c r="D72" s="251" t="n"/>
      <c r="E72" s="251" t="n"/>
      <c r="F72" s="251" t="n"/>
      <c r="G72" s="251" t="n"/>
      <c r="H72" s="253">
        <f>H73+H79+H85+H91+H97</f>
        <v/>
      </c>
      <c r="I72" s="251" t="n"/>
      <c r="J72" s="251" t="n"/>
      <c r="K72" s="251" t="n"/>
      <c r="L72" s="251" t="n"/>
      <c r="M72" s="65" t="n"/>
      <c r="N72" s="87" t="n"/>
      <c r="O72" s="190" t="n"/>
      <c r="P72" s="189" t="n"/>
      <c r="Q72" s="200" t="n"/>
      <c r="R72" s="87" t="n"/>
    </row>
    <row r="73" ht="18" customHeight="1" s="140">
      <c r="A73" s="47">
        <f>'10-1 관광(단)지 계획_작업량'!A12</f>
        <v/>
      </c>
      <c r="B73" s="18" t="n"/>
      <c r="C73" s="48" t="n"/>
      <c r="D73" s="18" t="n"/>
      <c r="E73" s="18" t="n"/>
      <c r="F73" s="18" t="n"/>
      <c r="G73" s="18" t="n"/>
      <c r="H73" s="95">
        <f>SUM(H74:H78)</f>
        <v/>
      </c>
      <c r="I73" s="18" t="n"/>
      <c r="J73" s="18" t="n"/>
      <c r="K73" s="18" t="n"/>
      <c r="L73" s="18" t="n"/>
      <c r="M73" s="36" t="n"/>
      <c r="N73" s="87" t="n"/>
      <c r="O73" s="190" t="n"/>
      <c r="P73" s="189" t="n"/>
      <c r="Q73" s="200" t="n"/>
      <c r="R73" s="87" t="n"/>
    </row>
    <row r="74" ht="18" customHeight="1" s="140">
      <c r="A74" s="103" t="inlineStr">
        <is>
          <t>기  술  사</t>
        </is>
      </c>
      <c r="B74" s="18" t="n"/>
      <c r="C74" s="48">
        <f>'10-1 관광(단)지 계획_작업량'!H12</f>
        <v/>
      </c>
      <c r="D74" s="104" t="inlineStr">
        <is>
          <t>인</t>
        </is>
      </c>
      <c r="E74" s="18" t="n"/>
      <c r="F74" s="18" t="n"/>
      <c r="G74" s="95">
        <f>$P$5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190" t="n"/>
      <c r="P74" s="189" t="n"/>
      <c r="Q74" s="200" t="n"/>
      <c r="R74" s="87" t="n"/>
    </row>
    <row r="75" ht="18" customHeight="1" s="140">
      <c r="A75" s="103" t="inlineStr">
        <is>
          <t>특급기술자</t>
        </is>
      </c>
      <c r="B75" s="18" t="n"/>
      <c r="C75" s="48">
        <f>'10-1 관광(단)지 계획_작업량'!I12</f>
        <v/>
      </c>
      <c r="D75" s="104" t="inlineStr">
        <is>
          <t>인</t>
        </is>
      </c>
      <c r="E75" s="201" t="n"/>
      <c r="F75" s="201" t="n"/>
      <c r="G75" s="95">
        <f>$P$6</f>
        <v/>
      </c>
      <c r="H75" s="95">
        <f>ROUNDDOWN(G75*C75,0)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2" t="n"/>
      <c r="R75" s="87" t="n"/>
    </row>
    <row r="76" ht="18" customHeight="1" s="140">
      <c r="A76" s="103" t="inlineStr">
        <is>
          <t>고급기술자</t>
        </is>
      </c>
      <c r="B76" s="18" t="n"/>
      <c r="C76" s="48">
        <f>'10-1 관광(단)지 계획_작업량'!J12</f>
        <v/>
      </c>
      <c r="D76" s="104" t="inlineStr">
        <is>
          <t>인</t>
        </is>
      </c>
      <c r="E76" s="201" t="n"/>
      <c r="F76" s="201" t="n"/>
      <c r="G76" s="95">
        <f>$P$7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190" t="n"/>
      <c r="P76" s="189" t="n"/>
      <c r="Q76" s="202" t="n"/>
      <c r="R76" s="87" t="n"/>
    </row>
    <row r="77" ht="18" customHeight="1" s="140">
      <c r="A77" s="103" t="inlineStr">
        <is>
          <t>중급기술자</t>
        </is>
      </c>
      <c r="B77" s="18" t="n"/>
      <c r="C77" s="48">
        <f>'10-1 관광(단)지 계획_작업량'!K12</f>
        <v/>
      </c>
      <c r="D77" s="104" t="inlineStr">
        <is>
          <t>인</t>
        </is>
      </c>
      <c r="E77" s="201" t="n"/>
      <c r="F77" s="201" t="n"/>
      <c r="G77" s="95">
        <f>$P$8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200" t="n"/>
      <c r="P77" s="203" t="n"/>
      <c r="Q77" s="202" t="n"/>
      <c r="R77" s="87" t="n"/>
    </row>
    <row r="78" ht="18" customHeight="1" s="140">
      <c r="A78" s="103" t="inlineStr">
        <is>
          <t>초급기술자</t>
        </is>
      </c>
      <c r="B78" s="18" t="n"/>
      <c r="C78" s="48">
        <f>'10-1 관광(단)지 계획_작업량'!L12</f>
        <v/>
      </c>
      <c r="D78" s="104" t="inlineStr">
        <is>
          <t>인</t>
        </is>
      </c>
      <c r="E78" s="201" t="n"/>
      <c r="F78" s="201" t="n"/>
      <c r="G78" s="95">
        <f>$P$9</f>
        <v/>
      </c>
      <c r="H78" s="95">
        <f>ROUNDDOWN(G78*C78,0)</f>
        <v/>
      </c>
      <c r="I78" s="18" t="n"/>
      <c r="J78" s="18" t="n"/>
      <c r="K78" s="18" t="n"/>
      <c r="L78" s="18" t="n"/>
      <c r="M78" s="36" t="n"/>
      <c r="N78" s="87" t="n"/>
      <c r="O78" s="200" t="n"/>
      <c r="P78" s="203" t="n"/>
      <c r="Q78" s="202" t="n"/>
      <c r="R78" s="87" t="n"/>
    </row>
    <row r="79" ht="18" customHeight="1" s="140">
      <c r="A79" s="47">
        <f>'10-1 관광(단)지 계획_작업량'!A13</f>
        <v/>
      </c>
      <c r="B79" s="18" t="n"/>
      <c r="C79" s="48" t="n"/>
      <c r="D79" s="18" t="n"/>
      <c r="E79" s="18" t="n"/>
      <c r="F79" s="18" t="n"/>
      <c r="G79" s="18" t="n"/>
      <c r="H79" s="95">
        <f>SUM(H80:H84)</f>
        <v/>
      </c>
      <c r="I79" s="18" t="n"/>
      <c r="J79" s="18" t="n"/>
      <c r="K79" s="18" t="n"/>
      <c r="L79" s="18" t="n"/>
      <c r="M79" s="36" t="n"/>
      <c r="N79" s="87" t="n"/>
      <c r="O79" s="190" t="n"/>
      <c r="P79" s="189" t="n"/>
      <c r="Q79" s="200" t="n"/>
      <c r="R79" s="87" t="n"/>
    </row>
    <row r="80" ht="18" customHeight="1" s="140">
      <c r="A80" s="103" t="inlineStr">
        <is>
          <t>기  술  사</t>
        </is>
      </c>
      <c r="B80" s="18" t="n"/>
      <c r="C80" s="48">
        <f>'10-1 관광(단)지 계획_작업량'!H13</f>
        <v/>
      </c>
      <c r="D80" s="104" t="inlineStr">
        <is>
          <t>인</t>
        </is>
      </c>
      <c r="E80" s="18" t="n"/>
      <c r="F80" s="18" t="n"/>
      <c r="G80" s="95">
        <f>$P$5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190" t="n"/>
      <c r="P80" s="189" t="n"/>
      <c r="Q80" s="200" t="n"/>
      <c r="R80" s="87" t="n"/>
    </row>
    <row r="81" ht="18" customHeight="1" s="140">
      <c r="A81" s="103" t="inlineStr">
        <is>
          <t>특급기술자</t>
        </is>
      </c>
      <c r="B81" s="18" t="n"/>
      <c r="C81" s="48">
        <f>'10-1 관광(단)지 계획_작업량'!I13</f>
        <v/>
      </c>
      <c r="D81" s="104" t="inlineStr">
        <is>
          <t>인</t>
        </is>
      </c>
      <c r="E81" s="201" t="n"/>
      <c r="F81" s="201" t="n"/>
      <c r="G81" s="95">
        <f>$P$6</f>
        <v/>
      </c>
      <c r="H81" s="95">
        <f>ROUNDDOWN(G81*C81,0)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2" t="n"/>
      <c r="R81" s="87" t="n"/>
    </row>
    <row r="82" ht="18" customHeight="1" s="140">
      <c r="A82" s="103" t="inlineStr">
        <is>
          <t>고급기술자</t>
        </is>
      </c>
      <c r="B82" s="18" t="n"/>
      <c r="C82" s="48">
        <f>'10-1 관광(단)지 계획_작업량'!J13</f>
        <v/>
      </c>
      <c r="D82" s="104" t="inlineStr">
        <is>
          <t>인</t>
        </is>
      </c>
      <c r="E82" s="201" t="n"/>
      <c r="F82" s="201" t="n"/>
      <c r="G82" s="95">
        <f>$P$7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190" t="n"/>
      <c r="P82" s="189" t="n"/>
      <c r="Q82" s="202" t="n"/>
      <c r="R82" s="87" t="n"/>
    </row>
    <row r="83" ht="18" customHeight="1" s="140">
      <c r="A83" s="103" t="inlineStr">
        <is>
          <t>중급기술자</t>
        </is>
      </c>
      <c r="B83" s="18" t="n"/>
      <c r="C83" s="48">
        <f>'10-1 관광(단)지 계획_작업량'!K13</f>
        <v/>
      </c>
      <c r="D83" s="104" t="inlineStr">
        <is>
          <t>인</t>
        </is>
      </c>
      <c r="E83" s="201" t="n"/>
      <c r="F83" s="201" t="n"/>
      <c r="G83" s="95">
        <f>$P$8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200" t="n"/>
      <c r="P83" s="203" t="n"/>
      <c r="Q83" s="202" t="n"/>
      <c r="R83" s="87" t="n"/>
    </row>
    <row r="84" ht="18" customHeight="1" s="140">
      <c r="A84" s="103" t="inlineStr">
        <is>
          <t>초급기술자</t>
        </is>
      </c>
      <c r="B84" s="18" t="n"/>
      <c r="C84" s="48">
        <f>'10-1 관광(단)지 계획_작업량'!L13</f>
        <v/>
      </c>
      <c r="D84" s="104" t="inlineStr">
        <is>
          <t>인</t>
        </is>
      </c>
      <c r="E84" s="201" t="n"/>
      <c r="F84" s="201" t="n"/>
      <c r="G84" s="95">
        <f>$P$9</f>
        <v/>
      </c>
      <c r="H84" s="95">
        <f>ROUNDDOWN(G84*C84,0)</f>
        <v/>
      </c>
      <c r="I84" s="18" t="n"/>
      <c r="J84" s="18" t="n"/>
      <c r="K84" s="18" t="n"/>
      <c r="L84" s="18" t="n"/>
      <c r="M84" s="36" t="n"/>
      <c r="N84" s="87" t="n"/>
      <c r="O84" s="200" t="n"/>
      <c r="P84" s="203" t="n"/>
      <c r="Q84" s="202" t="n"/>
      <c r="R84" s="87" t="n"/>
    </row>
    <row r="85" ht="18" customHeight="1" s="140">
      <c r="A85" s="47">
        <f>'10-1 관광(단)지 계획_작업량'!A14</f>
        <v/>
      </c>
      <c r="B85" s="18" t="n"/>
      <c r="C85" s="48" t="n"/>
      <c r="D85" s="18" t="n"/>
      <c r="E85" s="18" t="n"/>
      <c r="F85" s="18" t="n"/>
      <c r="G85" s="18" t="n"/>
      <c r="H85" s="95">
        <f>SUM(H86:H90)</f>
        <v/>
      </c>
      <c r="I85" s="18" t="n"/>
      <c r="J85" s="18" t="n"/>
      <c r="K85" s="18" t="n"/>
      <c r="L85" s="18" t="n"/>
      <c r="M85" s="36" t="n"/>
      <c r="N85" s="87" t="n"/>
      <c r="O85" s="190" t="n"/>
      <c r="P85" s="189" t="n"/>
      <c r="Q85" s="200" t="n"/>
      <c r="R85" s="87" t="n"/>
    </row>
    <row r="86" ht="18" customHeight="1" s="140">
      <c r="A86" s="103" t="inlineStr">
        <is>
          <t>기  술  사</t>
        </is>
      </c>
      <c r="B86" s="18" t="n"/>
      <c r="C86" s="48">
        <f>'10-1 관광(단)지 계획_작업량'!H14</f>
        <v/>
      </c>
      <c r="D86" s="104" t="inlineStr">
        <is>
          <t>인</t>
        </is>
      </c>
      <c r="E86" s="18" t="n"/>
      <c r="F86" s="18" t="n"/>
      <c r="G86" s="95">
        <f>$P$5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190" t="n"/>
      <c r="P86" s="189" t="n"/>
      <c r="Q86" s="200" t="n"/>
      <c r="R86" s="87" t="n"/>
    </row>
    <row r="87" ht="18" customHeight="1" s="140">
      <c r="A87" s="103" t="inlineStr">
        <is>
          <t>특급기술자</t>
        </is>
      </c>
      <c r="B87" s="18" t="n"/>
      <c r="C87" s="48">
        <f>'10-1 관광(단)지 계획_작업량'!I14</f>
        <v/>
      </c>
      <c r="D87" s="104" t="inlineStr">
        <is>
          <t>인</t>
        </is>
      </c>
      <c r="E87" s="201" t="n"/>
      <c r="F87" s="201" t="n"/>
      <c r="G87" s="95">
        <f>$P$6</f>
        <v/>
      </c>
      <c r="H87" s="95">
        <f>ROUNDDOWN(G87*C87,0)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2" t="n"/>
      <c r="R87" s="87" t="n"/>
    </row>
    <row r="88" ht="18" customHeight="1" s="140">
      <c r="A88" s="103" t="inlineStr">
        <is>
          <t>고급기술자</t>
        </is>
      </c>
      <c r="B88" s="18" t="n"/>
      <c r="C88" s="48">
        <f>'10-1 관광(단)지 계획_작업량'!J14</f>
        <v/>
      </c>
      <c r="D88" s="104" t="inlineStr">
        <is>
          <t>인</t>
        </is>
      </c>
      <c r="E88" s="201" t="n"/>
      <c r="F88" s="201" t="n"/>
      <c r="G88" s="95">
        <f>$P$7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190" t="n"/>
      <c r="P88" s="189" t="n"/>
      <c r="Q88" s="202" t="n"/>
      <c r="R88" s="87" t="n"/>
    </row>
    <row r="89" ht="18" customHeight="1" s="140">
      <c r="A89" s="103" t="inlineStr">
        <is>
          <t>중급기술자</t>
        </is>
      </c>
      <c r="B89" s="18" t="n"/>
      <c r="C89" s="48">
        <f>'10-1 관광(단)지 계획_작업량'!K14</f>
        <v/>
      </c>
      <c r="D89" s="104" t="inlineStr">
        <is>
          <t>인</t>
        </is>
      </c>
      <c r="E89" s="201" t="n"/>
      <c r="F89" s="201" t="n"/>
      <c r="G89" s="95">
        <f>$P$8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200" t="n"/>
      <c r="P89" s="203" t="n"/>
      <c r="Q89" s="202" t="n"/>
      <c r="R89" s="87" t="n"/>
    </row>
    <row r="90" ht="18" customHeight="1" s="140">
      <c r="A90" s="103" t="inlineStr">
        <is>
          <t>초급기술자</t>
        </is>
      </c>
      <c r="B90" s="18" t="n"/>
      <c r="C90" s="48">
        <f>'10-1 관광(단)지 계획_작업량'!L14</f>
        <v/>
      </c>
      <c r="D90" s="104" t="inlineStr">
        <is>
          <t>인</t>
        </is>
      </c>
      <c r="E90" s="201" t="n"/>
      <c r="F90" s="201" t="n"/>
      <c r="G90" s="95">
        <f>$P$9</f>
        <v/>
      </c>
      <c r="H90" s="95">
        <f>ROUNDDOWN(G90*C90,0)</f>
        <v/>
      </c>
      <c r="I90" s="18" t="n"/>
      <c r="J90" s="18" t="n"/>
      <c r="K90" s="18" t="n"/>
      <c r="L90" s="18" t="n"/>
      <c r="M90" s="36" t="n"/>
      <c r="N90" s="87" t="n"/>
      <c r="O90" s="200" t="n"/>
      <c r="P90" s="203" t="n"/>
      <c r="Q90" s="202" t="n"/>
      <c r="R90" s="87" t="n"/>
    </row>
    <row r="91" ht="18" customHeight="1" s="140">
      <c r="A91" s="47">
        <f>'10-1 관광(단)지 계획_작업량'!A15</f>
        <v/>
      </c>
      <c r="B91" s="18" t="n"/>
      <c r="C91" s="48" t="n"/>
      <c r="D91" s="18" t="n"/>
      <c r="E91" s="18" t="n"/>
      <c r="F91" s="18" t="n"/>
      <c r="G91" s="18" t="n"/>
      <c r="H91" s="95">
        <f>SUM(H92:H96)</f>
        <v/>
      </c>
      <c r="I91" s="18" t="n"/>
      <c r="J91" s="18" t="n"/>
      <c r="K91" s="18" t="n"/>
      <c r="L91" s="18" t="n"/>
      <c r="M91" s="36" t="n"/>
      <c r="N91" s="87" t="n"/>
      <c r="O91" s="190" t="n"/>
      <c r="P91" s="189" t="n"/>
      <c r="Q91" s="200" t="n"/>
      <c r="R91" s="87" t="n"/>
    </row>
    <row r="92" ht="18" customHeight="1" s="140">
      <c r="A92" s="103" t="inlineStr">
        <is>
          <t>기  술  사</t>
        </is>
      </c>
      <c r="B92" s="18" t="n"/>
      <c r="C92" s="48">
        <f>'10-1 관광(단)지 계획_작업량'!H15</f>
        <v/>
      </c>
      <c r="D92" s="104" t="inlineStr">
        <is>
          <t>인</t>
        </is>
      </c>
      <c r="E92" s="18" t="n"/>
      <c r="F92" s="18" t="n"/>
      <c r="G92" s="95">
        <f>$P$5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190" t="n"/>
      <c r="P92" s="189" t="n"/>
      <c r="Q92" s="200" t="n"/>
      <c r="R92" s="87" t="n"/>
    </row>
    <row r="93" ht="18" customHeight="1" s="140">
      <c r="A93" s="103" t="inlineStr">
        <is>
          <t>특급기술자</t>
        </is>
      </c>
      <c r="B93" s="18" t="n"/>
      <c r="C93" s="48">
        <f>'10-1 관광(단)지 계획_작업량'!I15</f>
        <v/>
      </c>
      <c r="D93" s="104" t="inlineStr">
        <is>
          <t>인</t>
        </is>
      </c>
      <c r="E93" s="201" t="n"/>
      <c r="F93" s="201" t="n"/>
      <c r="G93" s="95">
        <f>$P$6</f>
        <v/>
      </c>
      <c r="H93" s="95">
        <f>ROUNDDOWN(G93*C93,0)</f>
        <v/>
      </c>
      <c r="I93" s="18" t="n"/>
      <c r="J93" s="18" t="n"/>
      <c r="K93" s="18" t="n"/>
      <c r="L93" s="18" t="n"/>
      <c r="M93" s="36" t="n"/>
      <c r="N93" s="87" t="n"/>
      <c r="O93" s="190" t="n"/>
      <c r="P93" s="189" t="n"/>
      <c r="Q93" s="202" t="n"/>
      <c r="R93" s="87" t="n"/>
    </row>
    <row r="94" ht="18" customHeight="1" s="140">
      <c r="A94" s="103" t="inlineStr">
        <is>
          <t>고급기술자</t>
        </is>
      </c>
      <c r="B94" s="18" t="n"/>
      <c r="C94" s="48">
        <f>'10-1 관광(단)지 계획_작업량'!J15</f>
        <v/>
      </c>
      <c r="D94" s="104" t="inlineStr">
        <is>
          <t>인</t>
        </is>
      </c>
      <c r="E94" s="201" t="n"/>
      <c r="F94" s="201" t="n"/>
      <c r="G94" s="95">
        <f>$P$7</f>
        <v/>
      </c>
      <c r="H94" s="95">
        <f>ROUNDDOWN(G94*C94,0)</f>
        <v/>
      </c>
      <c r="I94" s="18" t="n"/>
      <c r="J94" s="18" t="n"/>
      <c r="K94" s="18" t="n"/>
      <c r="L94" s="18" t="n"/>
      <c r="M94" s="36" t="n"/>
      <c r="N94" s="87" t="n"/>
      <c r="O94" s="190" t="n"/>
      <c r="P94" s="189" t="n"/>
      <c r="Q94" s="202" t="n"/>
      <c r="R94" s="87" t="n"/>
    </row>
    <row r="95" ht="18" customHeight="1" s="140">
      <c r="A95" s="103" t="inlineStr">
        <is>
          <t>중급기술자</t>
        </is>
      </c>
      <c r="B95" s="18" t="n"/>
      <c r="C95" s="48">
        <f>'10-1 관광(단)지 계획_작업량'!K15</f>
        <v/>
      </c>
      <c r="D95" s="104" t="inlineStr">
        <is>
          <t>인</t>
        </is>
      </c>
      <c r="E95" s="201" t="n"/>
      <c r="F95" s="201" t="n"/>
      <c r="G95" s="95">
        <f>$P$8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200" t="n"/>
      <c r="P95" s="203" t="n"/>
      <c r="Q95" s="202" t="n"/>
      <c r="R95" s="87" t="n"/>
    </row>
    <row r="96" ht="18" customHeight="1" s="140">
      <c r="A96" s="103" t="inlineStr">
        <is>
          <t>초급기술자</t>
        </is>
      </c>
      <c r="B96" s="18" t="n"/>
      <c r="C96" s="48">
        <f>'10-1 관광(단)지 계획_작업량'!L15</f>
        <v/>
      </c>
      <c r="D96" s="104" t="inlineStr">
        <is>
          <t>인</t>
        </is>
      </c>
      <c r="E96" s="201" t="n"/>
      <c r="F96" s="201" t="n"/>
      <c r="G96" s="95">
        <f>$P$9</f>
        <v/>
      </c>
      <c r="H96" s="95">
        <f>ROUNDDOWN(G96*C96,0)</f>
        <v/>
      </c>
      <c r="I96" s="18" t="n"/>
      <c r="J96" s="18" t="n"/>
      <c r="K96" s="18" t="n"/>
      <c r="L96" s="18" t="n"/>
      <c r="M96" s="36" t="n"/>
      <c r="N96" s="87" t="n"/>
      <c r="O96" s="200" t="n"/>
      <c r="P96" s="203" t="n"/>
      <c r="Q96" s="202" t="n"/>
      <c r="R96" s="87" t="n"/>
    </row>
    <row r="97" ht="18" customHeight="1" s="140">
      <c r="A97" s="47">
        <f>'10-1 관광(단)지 계획_작업량'!A16</f>
        <v/>
      </c>
      <c r="B97" s="18" t="n"/>
      <c r="C97" s="48" t="n"/>
      <c r="D97" s="18" t="n"/>
      <c r="E97" s="18" t="n"/>
      <c r="F97" s="18" t="n"/>
      <c r="G97" s="18" t="n"/>
      <c r="H97" s="95">
        <f>SUM(H98:H102)</f>
        <v/>
      </c>
      <c r="I97" s="18" t="n"/>
      <c r="J97" s="18" t="n"/>
      <c r="K97" s="18" t="n"/>
      <c r="L97" s="18" t="n"/>
      <c r="M97" s="36" t="n"/>
      <c r="N97" s="87" t="n"/>
      <c r="O97" s="190" t="n"/>
      <c r="P97" s="189" t="n"/>
      <c r="Q97" s="200" t="n"/>
      <c r="R97" s="87" t="n"/>
    </row>
    <row r="98" ht="18" customHeight="1" s="140">
      <c r="A98" s="103" t="inlineStr">
        <is>
          <t>기  술  사</t>
        </is>
      </c>
      <c r="B98" s="18" t="n"/>
      <c r="C98" s="48">
        <f>'10-1 관광(단)지 계획_작업량'!H16</f>
        <v/>
      </c>
      <c r="D98" s="104" t="inlineStr">
        <is>
          <t>인</t>
        </is>
      </c>
      <c r="E98" s="18" t="n"/>
      <c r="F98" s="18" t="n"/>
      <c r="G98" s="95">
        <f>$P$5</f>
        <v/>
      </c>
      <c r="H98" s="95">
        <f>ROUNDDOWN(G98*C98,0)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0" t="n"/>
      <c r="R98" s="87" t="n"/>
    </row>
    <row r="99" ht="18" customHeight="1" s="140">
      <c r="A99" s="103" t="inlineStr">
        <is>
          <t>특급기술자</t>
        </is>
      </c>
      <c r="B99" s="18" t="n"/>
      <c r="C99" s="48">
        <f>'10-1 관광(단)지 계획_작업량'!I16</f>
        <v/>
      </c>
      <c r="D99" s="104" t="inlineStr">
        <is>
          <t>인</t>
        </is>
      </c>
      <c r="E99" s="201" t="n"/>
      <c r="F99" s="201" t="n"/>
      <c r="G99" s="95">
        <f>$P$6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190" t="n"/>
      <c r="P99" s="189" t="n"/>
      <c r="Q99" s="202" t="n"/>
      <c r="R99" s="87" t="n"/>
    </row>
    <row r="100" ht="18" customHeight="1" s="140">
      <c r="A100" s="103" t="inlineStr">
        <is>
          <t>고급기술자</t>
        </is>
      </c>
      <c r="B100" s="18" t="n"/>
      <c r="C100" s="48">
        <f>'10-1 관광(단)지 계획_작업량'!J16</f>
        <v/>
      </c>
      <c r="D100" s="104" t="inlineStr">
        <is>
          <t>인</t>
        </is>
      </c>
      <c r="E100" s="201" t="n"/>
      <c r="F100" s="201" t="n"/>
      <c r="G100" s="95">
        <f>$P$7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2" t="n"/>
      <c r="R100" s="87" t="n"/>
    </row>
    <row r="101" ht="18" customHeight="1" s="140">
      <c r="A101" s="103" t="inlineStr">
        <is>
          <t>중급기술자</t>
        </is>
      </c>
      <c r="B101" s="18" t="n"/>
      <c r="C101" s="48">
        <f>'10-1 관광(단)지 계획_작업량'!K16</f>
        <v/>
      </c>
      <c r="D101" s="104" t="inlineStr">
        <is>
          <t>인</t>
        </is>
      </c>
      <c r="E101" s="201" t="n"/>
      <c r="F101" s="201" t="n"/>
      <c r="G101" s="95">
        <f>$P$8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200" t="n"/>
      <c r="P101" s="203" t="n"/>
      <c r="Q101" s="202" t="n"/>
      <c r="R101" s="87" t="n"/>
    </row>
    <row r="102" ht="18" customHeight="1" s="140">
      <c r="A102" s="103" t="inlineStr">
        <is>
          <t>초급기술자</t>
        </is>
      </c>
      <c r="B102" s="18" t="n"/>
      <c r="C102" s="48">
        <f>'10-1 관광(단)지 계획_작업량'!L16</f>
        <v/>
      </c>
      <c r="D102" s="104" t="inlineStr">
        <is>
          <t>인</t>
        </is>
      </c>
      <c r="E102" s="201" t="n"/>
      <c r="F102" s="201" t="n"/>
      <c r="G102" s="95">
        <f>$P$9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200" t="n"/>
      <c r="P102" s="203" t="n"/>
      <c r="Q102" s="202" t="n"/>
      <c r="R102" s="87" t="n"/>
    </row>
    <row r="103" ht="18" customHeight="1" s="140">
      <c r="A103" s="236" t="n"/>
      <c r="B103" s="237" t="n"/>
      <c r="C103" s="93" t="n"/>
      <c r="D103" s="112" t="n"/>
      <c r="E103" s="105" t="n"/>
      <c r="F103" s="153" t="n"/>
      <c r="G103" s="104" t="n"/>
      <c r="H103" s="153" t="n"/>
      <c r="I103" s="104" t="n"/>
      <c r="J103" s="104" t="n"/>
      <c r="K103" s="104" t="n"/>
      <c r="L103" s="104" t="n"/>
      <c r="M103" s="35" t="n"/>
      <c r="N103" s="87" t="n"/>
      <c r="O103" s="189" t="n"/>
      <c r="P103" s="189" t="n"/>
      <c r="Q103" s="190" t="n"/>
      <c r="R103" s="87" t="n"/>
    </row>
    <row r="104" ht="18" customHeight="1" s="140">
      <c r="A104" s="250">
        <f>'10-1 관광(단)지 계획_작업량'!A17</f>
        <v/>
      </c>
      <c r="B104" s="251" t="n"/>
      <c r="C104" s="252" t="n"/>
      <c r="D104" s="251" t="n"/>
      <c r="E104" s="251" t="n"/>
      <c r="F104" s="251" t="n"/>
      <c r="G104" s="251" t="n"/>
      <c r="H104" s="253">
        <f>H105+H111+H117+H123+H129</f>
        <v/>
      </c>
      <c r="I104" s="251" t="n"/>
      <c r="J104" s="251" t="n"/>
      <c r="K104" s="251" t="n"/>
      <c r="L104" s="251" t="n"/>
      <c r="M104" s="65" t="n"/>
      <c r="N104" s="87" t="n"/>
      <c r="O104" s="190" t="n"/>
      <c r="P104" s="189" t="n"/>
      <c r="Q104" s="200" t="n"/>
      <c r="R104" s="87" t="n"/>
    </row>
    <row r="105" ht="18" customHeight="1" s="140">
      <c r="A105" s="47">
        <f>'10-1 관광(단)지 계획_작업량'!A18</f>
        <v/>
      </c>
      <c r="B105" s="18" t="n"/>
      <c r="C105" s="48" t="n"/>
      <c r="D105" s="18" t="n"/>
      <c r="E105" s="18" t="n"/>
      <c r="F105" s="18" t="n"/>
      <c r="G105" s="18" t="n"/>
      <c r="H105" s="95">
        <f>SUM(H106:H110)</f>
        <v/>
      </c>
      <c r="I105" s="18" t="n"/>
      <c r="J105" s="18" t="n"/>
      <c r="K105" s="18" t="n"/>
      <c r="L105" s="18" t="n"/>
      <c r="M105" s="36" t="n"/>
      <c r="N105" s="87" t="n"/>
      <c r="O105" s="190" t="n"/>
      <c r="P105" s="189" t="n"/>
      <c r="Q105" s="200" t="n"/>
      <c r="R105" s="87" t="n"/>
    </row>
    <row r="106" ht="18" customHeight="1" s="140">
      <c r="A106" s="103" t="inlineStr">
        <is>
          <t>기  술  사</t>
        </is>
      </c>
      <c r="B106" s="18" t="n"/>
      <c r="C106" s="48">
        <f>'10-1 관광(단)지 계획_작업량'!H18</f>
        <v/>
      </c>
      <c r="D106" s="104" t="inlineStr">
        <is>
          <t>인</t>
        </is>
      </c>
      <c r="E106" s="18" t="n"/>
      <c r="F106" s="18" t="n"/>
      <c r="G106" s="95">
        <f>$P$5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190" t="n"/>
      <c r="P106" s="189" t="n"/>
      <c r="Q106" s="200" t="n"/>
      <c r="R106" s="87" t="n"/>
    </row>
    <row r="107" ht="18" customHeight="1" s="140">
      <c r="A107" s="103" t="inlineStr">
        <is>
          <t>특급기술자</t>
        </is>
      </c>
      <c r="B107" s="18" t="n"/>
      <c r="C107" s="48">
        <f>'10-1 관광(단)지 계획_작업량'!I18</f>
        <v/>
      </c>
      <c r="D107" s="104" t="inlineStr">
        <is>
          <t>인</t>
        </is>
      </c>
      <c r="E107" s="201" t="n"/>
      <c r="F107" s="201" t="n"/>
      <c r="G107" s="95">
        <f>$P$6</f>
        <v/>
      </c>
      <c r="H107" s="95">
        <f>ROUNDDOWN(G107*C107,0)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2" t="n"/>
      <c r="R107" s="87" t="n"/>
    </row>
    <row r="108" ht="18" customHeight="1" s="140">
      <c r="A108" s="103" t="inlineStr">
        <is>
          <t>고급기술자</t>
        </is>
      </c>
      <c r="B108" s="18" t="n"/>
      <c r="C108" s="48">
        <f>'10-1 관광(단)지 계획_작업량'!J18</f>
        <v/>
      </c>
      <c r="D108" s="104" t="inlineStr">
        <is>
          <t>인</t>
        </is>
      </c>
      <c r="E108" s="201" t="n"/>
      <c r="F108" s="201" t="n"/>
      <c r="G108" s="95">
        <f>$P$7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190" t="n"/>
      <c r="P108" s="189" t="n"/>
      <c r="Q108" s="202" t="n"/>
      <c r="R108" s="87" t="n"/>
    </row>
    <row r="109" ht="18" customHeight="1" s="140">
      <c r="A109" s="103" t="inlineStr">
        <is>
          <t>중급기술자</t>
        </is>
      </c>
      <c r="B109" s="18" t="n"/>
      <c r="C109" s="48">
        <f>'10-1 관광(단)지 계획_작업량'!K18</f>
        <v/>
      </c>
      <c r="D109" s="104" t="inlineStr">
        <is>
          <t>인</t>
        </is>
      </c>
      <c r="E109" s="201" t="n"/>
      <c r="F109" s="201" t="n"/>
      <c r="G109" s="95">
        <f>$P$8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200" t="n"/>
      <c r="P109" s="203" t="n"/>
      <c r="Q109" s="202" t="n"/>
      <c r="R109" s="87" t="n"/>
    </row>
    <row r="110" ht="18" customHeight="1" s="140">
      <c r="A110" s="103" t="inlineStr">
        <is>
          <t>초급기술자</t>
        </is>
      </c>
      <c r="B110" s="18" t="n"/>
      <c r="C110" s="48">
        <f>'10-1 관광(단)지 계획_작업량'!L18</f>
        <v/>
      </c>
      <c r="D110" s="104" t="inlineStr">
        <is>
          <t>인</t>
        </is>
      </c>
      <c r="E110" s="201" t="n"/>
      <c r="F110" s="201" t="n"/>
      <c r="G110" s="95">
        <f>$P$9</f>
        <v/>
      </c>
      <c r="H110" s="95">
        <f>ROUNDDOWN(G110*C110,0)</f>
        <v/>
      </c>
      <c r="I110" s="18" t="n"/>
      <c r="J110" s="18" t="n"/>
      <c r="K110" s="18" t="n"/>
      <c r="L110" s="18" t="n"/>
      <c r="M110" s="36" t="n"/>
      <c r="N110" s="87" t="n"/>
      <c r="O110" s="200" t="n"/>
      <c r="P110" s="203" t="n"/>
      <c r="Q110" s="202" t="n"/>
      <c r="R110" s="87" t="n"/>
    </row>
    <row r="111" ht="18" customHeight="1" s="140">
      <c r="A111" s="47">
        <f>'10-1 관광(단)지 계획_작업량'!A19</f>
        <v/>
      </c>
      <c r="B111" s="18" t="n"/>
      <c r="C111" s="48" t="n"/>
      <c r="D111" s="18" t="n"/>
      <c r="E111" s="18" t="n"/>
      <c r="F111" s="18" t="n"/>
      <c r="G111" s="18" t="n"/>
      <c r="H111" s="95">
        <f>SUM(H112:H116)</f>
        <v/>
      </c>
      <c r="I111" s="18" t="n"/>
      <c r="J111" s="18" t="n"/>
      <c r="K111" s="18" t="n"/>
      <c r="L111" s="18" t="n"/>
      <c r="M111" s="36" t="n"/>
      <c r="N111" s="87" t="n"/>
      <c r="O111" s="190" t="n"/>
      <c r="P111" s="189" t="n"/>
      <c r="Q111" s="200" t="n"/>
      <c r="R111" s="87" t="n"/>
    </row>
    <row r="112" ht="18" customHeight="1" s="140">
      <c r="A112" s="103" t="inlineStr">
        <is>
          <t>기  술  사</t>
        </is>
      </c>
      <c r="B112" s="18" t="n"/>
      <c r="C112" s="48">
        <f>'10-1 관광(단)지 계획_작업량'!H19</f>
        <v/>
      </c>
      <c r="D112" s="104" t="inlineStr">
        <is>
          <t>인</t>
        </is>
      </c>
      <c r="E112" s="18" t="n"/>
      <c r="F112" s="18" t="n"/>
      <c r="G112" s="95">
        <f>$P$5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190" t="n"/>
      <c r="P112" s="189" t="n"/>
      <c r="Q112" s="200" t="n"/>
      <c r="R112" s="87" t="n"/>
    </row>
    <row r="113" ht="18" customHeight="1" s="140">
      <c r="A113" s="103" t="inlineStr">
        <is>
          <t>특급기술자</t>
        </is>
      </c>
      <c r="B113" s="18" t="n"/>
      <c r="C113" s="48">
        <f>'10-1 관광(단)지 계획_작업량'!I19</f>
        <v/>
      </c>
      <c r="D113" s="104" t="inlineStr">
        <is>
          <t>인</t>
        </is>
      </c>
      <c r="E113" s="201" t="n"/>
      <c r="F113" s="201" t="n"/>
      <c r="G113" s="95">
        <f>$P$6</f>
        <v/>
      </c>
      <c r="H113" s="95">
        <f>ROUNDDOWN(G113*C113,0)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2" t="n"/>
      <c r="R113" s="87" t="n"/>
    </row>
    <row r="114" ht="18" customHeight="1" s="140">
      <c r="A114" s="103" t="inlineStr">
        <is>
          <t>고급기술자</t>
        </is>
      </c>
      <c r="B114" s="18" t="n"/>
      <c r="C114" s="48">
        <f>'10-1 관광(단)지 계획_작업량'!J19</f>
        <v/>
      </c>
      <c r="D114" s="104" t="inlineStr">
        <is>
          <t>인</t>
        </is>
      </c>
      <c r="E114" s="201" t="n"/>
      <c r="F114" s="201" t="n"/>
      <c r="G114" s="95">
        <f>$P$7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190" t="n"/>
      <c r="P114" s="189" t="n"/>
      <c r="Q114" s="202" t="n"/>
      <c r="R114" s="87" t="n"/>
    </row>
    <row r="115" ht="18" customHeight="1" s="140">
      <c r="A115" s="103" t="inlineStr">
        <is>
          <t>중급기술자</t>
        </is>
      </c>
      <c r="B115" s="18" t="n"/>
      <c r="C115" s="48">
        <f>'10-1 관광(단)지 계획_작업량'!K19</f>
        <v/>
      </c>
      <c r="D115" s="104" t="inlineStr">
        <is>
          <t>인</t>
        </is>
      </c>
      <c r="E115" s="201" t="n"/>
      <c r="F115" s="201" t="n"/>
      <c r="G115" s="95">
        <f>$P$8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200" t="n"/>
      <c r="P115" s="203" t="n"/>
      <c r="Q115" s="202" t="n"/>
      <c r="R115" s="87" t="n"/>
    </row>
    <row r="116" ht="18" customHeight="1" s="140">
      <c r="A116" s="103" t="inlineStr">
        <is>
          <t>초급기술자</t>
        </is>
      </c>
      <c r="B116" s="18" t="n"/>
      <c r="C116" s="48">
        <f>'10-1 관광(단)지 계획_작업량'!L19</f>
        <v/>
      </c>
      <c r="D116" s="104" t="inlineStr">
        <is>
          <t>인</t>
        </is>
      </c>
      <c r="E116" s="201" t="n"/>
      <c r="F116" s="201" t="n"/>
      <c r="G116" s="95">
        <f>$P$9</f>
        <v/>
      </c>
      <c r="H116" s="95">
        <f>ROUNDDOWN(G116*C116,0)</f>
        <v/>
      </c>
      <c r="I116" s="18" t="n"/>
      <c r="J116" s="18" t="n"/>
      <c r="K116" s="18" t="n"/>
      <c r="L116" s="18" t="n"/>
      <c r="M116" s="36" t="n"/>
      <c r="N116" s="87" t="n"/>
      <c r="O116" s="200" t="n"/>
      <c r="P116" s="203" t="n"/>
      <c r="Q116" s="202" t="n"/>
      <c r="R116" s="87" t="n"/>
    </row>
    <row r="117" ht="18" customHeight="1" s="140">
      <c r="A117" s="47">
        <f>'10-1 관광(단)지 계획_작업량'!A20</f>
        <v/>
      </c>
      <c r="B117" s="18" t="n"/>
      <c r="C117" s="48" t="n"/>
      <c r="D117" s="18" t="n"/>
      <c r="E117" s="18" t="n"/>
      <c r="F117" s="18" t="n"/>
      <c r="G117" s="18" t="n"/>
      <c r="H117" s="95">
        <f>SUM(H118:H122)</f>
        <v/>
      </c>
      <c r="I117" s="18" t="n"/>
      <c r="J117" s="18" t="n"/>
      <c r="K117" s="18" t="n"/>
      <c r="L117" s="18" t="n"/>
      <c r="M117" s="36" t="n"/>
      <c r="N117" s="87" t="n"/>
      <c r="O117" s="190" t="n"/>
      <c r="P117" s="189" t="n"/>
      <c r="Q117" s="200" t="n"/>
      <c r="R117" s="87" t="n"/>
    </row>
    <row r="118" ht="18" customHeight="1" s="140">
      <c r="A118" s="103" t="inlineStr">
        <is>
          <t>기  술  사</t>
        </is>
      </c>
      <c r="B118" s="18" t="n"/>
      <c r="C118" s="48">
        <f>'10-1 관광(단)지 계획_작업량'!H20</f>
        <v/>
      </c>
      <c r="D118" s="104" t="inlineStr">
        <is>
          <t>인</t>
        </is>
      </c>
      <c r="E118" s="18" t="n"/>
      <c r="F118" s="18" t="n"/>
      <c r="G118" s="95">
        <f>$P$5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190" t="n"/>
      <c r="P118" s="189" t="n"/>
      <c r="Q118" s="200" t="n"/>
      <c r="R118" s="87" t="n"/>
    </row>
    <row r="119" ht="18" customHeight="1" s="140">
      <c r="A119" s="103" t="inlineStr">
        <is>
          <t>특급기술자</t>
        </is>
      </c>
      <c r="B119" s="18" t="n"/>
      <c r="C119" s="48">
        <f>'10-1 관광(단)지 계획_작업량'!I20</f>
        <v/>
      </c>
      <c r="D119" s="104" t="inlineStr">
        <is>
          <t>인</t>
        </is>
      </c>
      <c r="E119" s="201" t="n"/>
      <c r="F119" s="201" t="n"/>
      <c r="G119" s="95">
        <f>$P$6</f>
        <v/>
      </c>
      <c r="H119" s="95">
        <f>ROUNDDOWN(G119*C119,0)</f>
        <v/>
      </c>
      <c r="I119" s="18" t="n"/>
      <c r="J119" s="18" t="n"/>
      <c r="K119" s="18" t="n"/>
      <c r="L119" s="18" t="n"/>
      <c r="M119" s="36" t="n"/>
      <c r="N119" s="87" t="n"/>
      <c r="O119" s="190" t="n"/>
      <c r="P119" s="189" t="n"/>
      <c r="Q119" s="202" t="n"/>
      <c r="R119" s="87" t="n"/>
    </row>
    <row r="120" ht="18" customHeight="1" s="140">
      <c r="A120" s="103" t="inlineStr">
        <is>
          <t>고급기술자</t>
        </is>
      </c>
      <c r="B120" s="18" t="n"/>
      <c r="C120" s="48">
        <f>'10-1 관광(단)지 계획_작업량'!J20</f>
        <v/>
      </c>
      <c r="D120" s="104" t="inlineStr">
        <is>
          <t>인</t>
        </is>
      </c>
      <c r="E120" s="201" t="n"/>
      <c r="F120" s="201" t="n"/>
      <c r="G120" s="95">
        <f>$P$7</f>
        <v/>
      </c>
      <c r="H120" s="95">
        <f>ROUNDDOWN(G120*C120,0)</f>
        <v/>
      </c>
      <c r="I120" s="18" t="n"/>
      <c r="J120" s="18" t="n"/>
      <c r="K120" s="18" t="n"/>
      <c r="L120" s="18" t="n"/>
      <c r="M120" s="36" t="n"/>
      <c r="N120" s="87" t="n"/>
      <c r="O120" s="190" t="n"/>
      <c r="P120" s="189" t="n"/>
      <c r="Q120" s="202" t="n"/>
      <c r="R120" s="87" t="n"/>
    </row>
    <row r="121" ht="18" customHeight="1" s="140">
      <c r="A121" s="103" t="inlineStr">
        <is>
          <t>중급기술자</t>
        </is>
      </c>
      <c r="B121" s="18" t="n"/>
      <c r="C121" s="48">
        <f>'10-1 관광(단)지 계획_작업량'!K20</f>
        <v/>
      </c>
      <c r="D121" s="104" t="inlineStr">
        <is>
          <t>인</t>
        </is>
      </c>
      <c r="E121" s="201" t="n"/>
      <c r="F121" s="201" t="n"/>
      <c r="G121" s="95">
        <f>$P$8</f>
        <v/>
      </c>
      <c r="H121" s="95">
        <f>ROUNDDOWN(G121*C121,0)</f>
        <v/>
      </c>
      <c r="I121" s="18" t="n"/>
      <c r="J121" s="18" t="n"/>
      <c r="K121" s="18" t="n"/>
      <c r="L121" s="18" t="n"/>
      <c r="M121" s="36" t="n"/>
      <c r="N121" s="87" t="n"/>
      <c r="O121" s="200" t="n"/>
      <c r="P121" s="203" t="n"/>
      <c r="Q121" s="202" t="n"/>
      <c r="R121" s="87" t="n"/>
    </row>
    <row r="122" ht="18" customHeight="1" s="140">
      <c r="A122" s="103" t="inlineStr">
        <is>
          <t>초급기술자</t>
        </is>
      </c>
      <c r="B122" s="18" t="n"/>
      <c r="C122" s="48">
        <f>'10-1 관광(단)지 계획_작업량'!L20</f>
        <v/>
      </c>
      <c r="D122" s="104" t="inlineStr">
        <is>
          <t>인</t>
        </is>
      </c>
      <c r="E122" s="201" t="n"/>
      <c r="F122" s="201" t="n"/>
      <c r="G122" s="95">
        <f>$P$9</f>
        <v/>
      </c>
      <c r="H122" s="95">
        <f>ROUNDDOWN(G122*C122,0)</f>
        <v/>
      </c>
      <c r="I122" s="18" t="n"/>
      <c r="J122" s="18" t="n"/>
      <c r="K122" s="18" t="n"/>
      <c r="L122" s="18" t="n"/>
      <c r="M122" s="36" t="n"/>
      <c r="N122" s="87" t="n"/>
      <c r="O122" s="200" t="n"/>
      <c r="P122" s="203" t="n"/>
      <c r="Q122" s="202" t="n"/>
      <c r="R122" s="87" t="n"/>
    </row>
    <row r="123" ht="18" customHeight="1" s="140">
      <c r="A123" s="47">
        <f>'10-1 관광(단)지 계획_작업량'!A21</f>
        <v/>
      </c>
      <c r="B123" s="18" t="n"/>
      <c r="C123" s="48" t="n"/>
      <c r="D123" s="18" t="n"/>
      <c r="E123" s="18" t="n"/>
      <c r="F123" s="18" t="n"/>
      <c r="G123" s="18" t="n"/>
      <c r="H123" s="95">
        <f>SUM(H124:H128)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0" t="n"/>
      <c r="R123" s="87" t="n"/>
    </row>
    <row r="124" ht="18" customHeight="1" s="140">
      <c r="A124" s="103" t="inlineStr">
        <is>
          <t>기  술  사</t>
        </is>
      </c>
      <c r="B124" s="18" t="n"/>
      <c r="C124" s="48">
        <f>'10-1 관광(단)지 계획_작업량'!H21</f>
        <v/>
      </c>
      <c r="D124" s="104" t="inlineStr">
        <is>
          <t>인</t>
        </is>
      </c>
      <c r="E124" s="18" t="n"/>
      <c r="F124" s="18" t="n"/>
      <c r="G124" s="95">
        <f>$P$5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0" t="n"/>
      <c r="R124" s="87" t="n"/>
    </row>
    <row r="125" ht="18" customHeight="1" s="140">
      <c r="A125" s="103" t="inlineStr">
        <is>
          <t>특급기술자</t>
        </is>
      </c>
      <c r="B125" s="18" t="n"/>
      <c r="C125" s="48">
        <f>'10-1 관광(단)지 계획_작업량'!I21</f>
        <v/>
      </c>
      <c r="D125" s="104" t="inlineStr">
        <is>
          <t>인</t>
        </is>
      </c>
      <c r="E125" s="201" t="n"/>
      <c r="F125" s="201" t="n"/>
      <c r="G125" s="95">
        <f>$P$6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190" t="n"/>
      <c r="P125" s="189" t="n"/>
      <c r="Q125" s="202" t="n"/>
      <c r="R125" s="87" t="n"/>
    </row>
    <row r="126" ht="18" customHeight="1" s="140">
      <c r="A126" s="103" t="inlineStr">
        <is>
          <t>고급기술자</t>
        </is>
      </c>
      <c r="B126" s="18" t="n"/>
      <c r="C126" s="48">
        <f>'10-1 관광(단)지 계획_작업량'!J21</f>
        <v/>
      </c>
      <c r="D126" s="104" t="inlineStr">
        <is>
          <t>인</t>
        </is>
      </c>
      <c r="E126" s="201" t="n"/>
      <c r="F126" s="201" t="n"/>
      <c r="G126" s="95">
        <f>$P$7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190" t="n"/>
      <c r="P126" s="189" t="n"/>
      <c r="Q126" s="202" t="n"/>
      <c r="R126" s="87" t="n"/>
    </row>
    <row r="127" ht="18" customHeight="1" s="140">
      <c r="A127" s="103" t="inlineStr">
        <is>
          <t>중급기술자</t>
        </is>
      </c>
      <c r="B127" s="18" t="n"/>
      <c r="C127" s="48">
        <f>'10-1 관광(단)지 계획_작업량'!K21</f>
        <v/>
      </c>
      <c r="D127" s="104" t="inlineStr">
        <is>
          <t>인</t>
        </is>
      </c>
      <c r="E127" s="201" t="n"/>
      <c r="F127" s="201" t="n"/>
      <c r="G127" s="95">
        <f>$P$8</f>
        <v/>
      </c>
      <c r="H127" s="95">
        <f>ROUNDDOWN(G127*C127,0)</f>
        <v/>
      </c>
      <c r="I127" s="18" t="n"/>
      <c r="J127" s="18" t="n"/>
      <c r="K127" s="18" t="n"/>
      <c r="L127" s="18" t="n"/>
      <c r="M127" s="36" t="n"/>
      <c r="N127" s="87" t="n"/>
      <c r="O127" s="200" t="n"/>
      <c r="P127" s="203" t="n"/>
      <c r="Q127" s="202" t="n"/>
      <c r="R127" s="87" t="n"/>
    </row>
    <row r="128" ht="18" customHeight="1" s="140">
      <c r="A128" s="103" t="inlineStr">
        <is>
          <t>초급기술자</t>
        </is>
      </c>
      <c r="B128" s="18" t="n"/>
      <c r="C128" s="48">
        <f>'10-1 관광(단)지 계획_작업량'!L21</f>
        <v/>
      </c>
      <c r="D128" s="104" t="inlineStr">
        <is>
          <t>인</t>
        </is>
      </c>
      <c r="E128" s="201" t="n"/>
      <c r="F128" s="201" t="n"/>
      <c r="G128" s="95">
        <f>$P$9</f>
        <v/>
      </c>
      <c r="H128" s="95">
        <f>ROUNDDOWN(G128*C128,0)</f>
        <v/>
      </c>
      <c r="I128" s="18" t="n"/>
      <c r="J128" s="18" t="n"/>
      <c r="K128" s="18" t="n"/>
      <c r="L128" s="18" t="n"/>
      <c r="M128" s="36" t="n"/>
      <c r="N128" s="87" t="n"/>
      <c r="O128" s="200" t="n"/>
      <c r="P128" s="203" t="n"/>
      <c r="Q128" s="202" t="n"/>
      <c r="R128" s="87" t="n"/>
    </row>
    <row r="129" ht="18" customHeight="1" s="140">
      <c r="A129" s="47">
        <f>'10-1 관광(단)지 계획_작업량'!A22</f>
        <v/>
      </c>
      <c r="B129" s="18" t="n"/>
      <c r="C129" s="48" t="n"/>
      <c r="D129" s="18" t="n"/>
      <c r="E129" s="18" t="n"/>
      <c r="F129" s="18" t="n"/>
      <c r="G129" s="18" t="n"/>
      <c r="H129" s="95">
        <f>SUM(H130:H134)</f>
        <v/>
      </c>
      <c r="I129" s="18" t="n"/>
      <c r="J129" s="18" t="n"/>
      <c r="K129" s="18" t="n"/>
      <c r="L129" s="18" t="n"/>
      <c r="M129" s="36" t="n"/>
      <c r="N129" s="87" t="n"/>
      <c r="O129" s="190" t="n"/>
      <c r="P129" s="189" t="n"/>
      <c r="Q129" s="200" t="n"/>
      <c r="R129" s="87" t="n"/>
    </row>
    <row r="130" ht="18" customHeight="1" s="140">
      <c r="A130" s="103" t="inlineStr">
        <is>
          <t>기  술  사</t>
        </is>
      </c>
      <c r="B130" s="18" t="n"/>
      <c r="C130" s="48">
        <f>'10-1 관광(단)지 계획_작업량'!H22</f>
        <v/>
      </c>
      <c r="D130" s="104" t="inlineStr">
        <is>
          <t>인</t>
        </is>
      </c>
      <c r="E130" s="18" t="n"/>
      <c r="F130" s="18" t="n"/>
      <c r="G130" s="95">
        <f>$P$5</f>
        <v/>
      </c>
      <c r="H130" s="95">
        <f>ROUNDDOWN(G130*C130,0)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0" t="n"/>
      <c r="R130" s="87" t="n"/>
    </row>
    <row r="131" ht="18" customHeight="1" s="140">
      <c r="A131" s="103" t="inlineStr">
        <is>
          <t>특급기술자</t>
        </is>
      </c>
      <c r="B131" s="18" t="n"/>
      <c r="C131" s="48">
        <f>'10-1 관광(단)지 계획_작업량'!I22</f>
        <v/>
      </c>
      <c r="D131" s="104" t="inlineStr">
        <is>
          <t>인</t>
        </is>
      </c>
      <c r="E131" s="201" t="n"/>
      <c r="F131" s="201" t="n"/>
      <c r="G131" s="95">
        <f>$P$6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190" t="n"/>
      <c r="P131" s="189" t="n"/>
      <c r="Q131" s="202" t="n"/>
      <c r="R131" s="87" t="n"/>
    </row>
    <row r="132" ht="18" customHeight="1" s="140">
      <c r="A132" s="103" t="inlineStr">
        <is>
          <t>고급기술자</t>
        </is>
      </c>
      <c r="B132" s="18" t="n"/>
      <c r="C132" s="48">
        <f>'10-1 관광(단)지 계획_작업량'!J22</f>
        <v/>
      </c>
      <c r="D132" s="104" t="inlineStr">
        <is>
          <t>인</t>
        </is>
      </c>
      <c r="E132" s="201" t="n"/>
      <c r="F132" s="201" t="n"/>
      <c r="G132" s="95">
        <f>$P$7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190" t="n"/>
      <c r="P132" s="189" t="n"/>
      <c r="Q132" s="202" t="n"/>
      <c r="R132" s="87" t="n"/>
    </row>
    <row r="133" ht="18" customHeight="1" s="140">
      <c r="A133" s="103" t="inlineStr">
        <is>
          <t>중급기술자</t>
        </is>
      </c>
      <c r="B133" s="18" t="n"/>
      <c r="C133" s="48">
        <f>'10-1 관광(단)지 계획_작업량'!K22</f>
        <v/>
      </c>
      <c r="D133" s="104" t="inlineStr">
        <is>
          <t>인</t>
        </is>
      </c>
      <c r="E133" s="201" t="n"/>
      <c r="F133" s="201" t="n"/>
      <c r="G133" s="95">
        <f>$P$8</f>
        <v/>
      </c>
      <c r="H133" s="95">
        <f>ROUNDDOWN(G133*C133,0)</f>
        <v/>
      </c>
      <c r="I133" s="18" t="n"/>
      <c r="J133" s="18" t="n"/>
      <c r="K133" s="18" t="n"/>
      <c r="L133" s="18" t="n"/>
      <c r="M133" s="36" t="n"/>
      <c r="N133" s="87" t="n"/>
      <c r="O133" s="200" t="n"/>
      <c r="P133" s="203" t="n"/>
      <c r="Q133" s="202" t="n"/>
      <c r="R133" s="87" t="n"/>
    </row>
    <row r="134" ht="18" customHeight="1" s="140">
      <c r="A134" s="103" t="inlineStr">
        <is>
          <t>초급기술자</t>
        </is>
      </c>
      <c r="B134" s="18" t="n"/>
      <c r="C134" s="48">
        <f>'10-1 관광(단)지 계획_작업량'!L22</f>
        <v/>
      </c>
      <c r="D134" s="104" t="inlineStr">
        <is>
          <t>인</t>
        </is>
      </c>
      <c r="E134" s="201" t="n"/>
      <c r="F134" s="201" t="n"/>
      <c r="G134" s="95">
        <f>$P$9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200" t="n"/>
      <c r="P134" s="203" t="n"/>
      <c r="Q134" s="202" t="n"/>
      <c r="R134" s="87" t="n"/>
    </row>
    <row r="135" ht="18" customHeight="1" s="140">
      <c r="A135" s="236" t="n"/>
      <c r="B135" s="237" t="n"/>
      <c r="C135" s="93" t="n"/>
      <c r="D135" s="112" t="n"/>
      <c r="E135" s="105" t="n"/>
      <c r="F135" s="153" t="n"/>
      <c r="G135" s="104" t="n"/>
      <c r="H135" s="153" t="n"/>
      <c r="I135" s="104" t="n"/>
      <c r="J135" s="104" t="n"/>
      <c r="K135" s="104" t="n"/>
      <c r="L135" s="104" t="n"/>
      <c r="M135" s="35" t="n"/>
      <c r="N135" s="87" t="n"/>
      <c r="O135" s="189" t="n"/>
      <c r="P135" s="189" t="n"/>
      <c r="Q135" s="190" t="n"/>
      <c r="R135" s="87" t="n"/>
    </row>
    <row r="136" ht="18" customHeight="1" s="140">
      <c r="A136" s="250">
        <f>'10-1 관광(단)지 계획_작업량'!A23</f>
        <v/>
      </c>
      <c r="B136" s="251" t="n"/>
      <c r="C136" s="252" t="n"/>
      <c r="D136" s="251" t="n"/>
      <c r="E136" s="251" t="n"/>
      <c r="F136" s="251" t="n"/>
      <c r="G136" s="251" t="n"/>
      <c r="H136" s="253">
        <f>H137+H143</f>
        <v/>
      </c>
      <c r="I136" s="251" t="n"/>
      <c r="J136" s="251" t="n"/>
      <c r="K136" s="251" t="n"/>
      <c r="L136" s="251" t="n"/>
      <c r="M136" s="65" t="n"/>
      <c r="N136" s="87" t="n"/>
      <c r="O136" s="190" t="n"/>
      <c r="P136" s="189" t="n"/>
      <c r="Q136" s="200" t="n"/>
      <c r="R136" s="87" t="n"/>
    </row>
    <row r="137" ht="18" customHeight="1" s="140">
      <c r="A137" s="47">
        <f>'10-1 관광(단)지 계획_작업량'!A24</f>
        <v/>
      </c>
      <c r="B137" s="18" t="n"/>
      <c r="C137" s="48" t="n"/>
      <c r="D137" s="18" t="n"/>
      <c r="E137" s="18" t="n"/>
      <c r="F137" s="18" t="n"/>
      <c r="G137" s="18" t="n"/>
      <c r="H137" s="95">
        <f>SUM(H138:H142)</f>
        <v/>
      </c>
      <c r="I137" s="18" t="n"/>
      <c r="J137" s="18" t="n"/>
      <c r="K137" s="18" t="n"/>
      <c r="L137" s="18" t="n"/>
      <c r="M137" s="36" t="n"/>
      <c r="N137" s="87" t="n"/>
      <c r="O137" s="190" t="n"/>
      <c r="P137" s="189" t="n"/>
      <c r="Q137" s="200" t="n"/>
      <c r="R137" s="87" t="n"/>
    </row>
    <row r="138" ht="18" customHeight="1" s="140">
      <c r="A138" s="103" t="inlineStr">
        <is>
          <t>기  술  사</t>
        </is>
      </c>
      <c r="B138" s="18" t="n"/>
      <c r="C138" s="48">
        <f>'10-1 관광(단)지 계획_작업량'!H24</f>
        <v/>
      </c>
      <c r="D138" s="104" t="inlineStr">
        <is>
          <t>인</t>
        </is>
      </c>
      <c r="E138" s="18" t="n"/>
      <c r="F138" s="18" t="n"/>
      <c r="G138" s="95">
        <f>$P$5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190" t="n"/>
      <c r="P138" s="189" t="n"/>
      <c r="Q138" s="200" t="n"/>
      <c r="R138" s="87" t="n"/>
    </row>
    <row r="139" ht="18" customHeight="1" s="140">
      <c r="A139" s="103" t="inlineStr">
        <is>
          <t>특급기술자</t>
        </is>
      </c>
      <c r="B139" s="18" t="n"/>
      <c r="C139" s="48">
        <f>'10-1 관광(단)지 계획_작업량'!I24</f>
        <v/>
      </c>
      <c r="D139" s="104" t="inlineStr">
        <is>
          <t>인</t>
        </is>
      </c>
      <c r="E139" s="201" t="n"/>
      <c r="F139" s="201" t="n"/>
      <c r="G139" s="95">
        <f>$P$6</f>
        <v/>
      </c>
      <c r="H139" s="95">
        <f>ROUNDDOWN(G139*C139,0)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2" t="n"/>
      <c r="R139" s="87" t="n"/>
    </row>
    <row r="140" ht="18" customHeight="1" s="140">
      <c r="A140" s="103" t="inlineStr">
        <is>
          <t>고급기술자</t>
        </is>
      </c>
      <c r="B140" s="18" t="n"/>
      <c r="C140" s="48">
        <f>'10-1 관광(단)지 계획_작업량'!J24</f>
        <v/>
      </c>
      <c r="D140" s="104" t="inlineStr">
        <is>
          <t>인</t>
        </is>
      </c>
      <c r="E140" s="201" t="n"/>
      <c r="F140" s="201" t="n"/>
      <c r="G140" s="95">
        <f>$P$7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190" t="n"/>
      <c r="P140" s="189" t="n"/>
      <c r="Q140" s="202" t="n"/>
      <c r="R140" s="87" t="n"/>
    </row>
    <row r="141" ht="18" customHeight="1" s="140">
      <c r="A141" s="103" t="inlineStr">
        <is>
          <t>중급기술자</t>
        </is>
      </c>
      <c r="B141" s="18" t="n"/>
      <c r="C141" s="48">
        <f>'10-1 관광(단)지 계획_작업량'!K24</f>
        <v/>
      </c>
      <c r="D141" s="104" t="inlineStr">
        <is>
          <t>인</t>
        </is>
      </c>
      <c r="E141" s="201" t="n"/>
      <c r="F141" s="201" t="n"/>
      <c r="G141" s="95">
        <f>$P$8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200" t="n"/>
      <c r="P141" s="203" t="n"/>
      <c r="Q141" s="202" t="n"/>
      <c r="R141" s="87" t="n"/>
    </row>
    <row r="142" ht="18" customHeight="1" s="140">
      <c r="A142" s="103" t="inlineStr">
        <is>
          <t>초급기술자</t>
        </is>
      </c>
      <c r="B142" s="18" t="n"/>
      <c r="C142" s="48">
        <f>'10-1 관광(단)지 계획_작업량'!L24</f>
        <v/>
      </c>
      <c r="D142" s="104" t="inlineStr">
        <is>
          <t>인</t>
        </is>
      </c>
      <c r="E142" s="201" t="n"/>
      <c r="F142" s="201" t="n"/>
      <c r="G142" s="95">
        <f>$P$9</f>
        <v/>
      </c>
      <c r="H142" s="95">
        <f>ROUNDDOWN(G142*C142,0)</f>
        <v/>
      </c>
      <c r="I142" s="18" t="n"/>
      <c r="J142" s="18" t="n"/>
      <c r="K142" s="18" t="n"/>
      <c r="L142" s="18" t="n"/>
      <c r="M142" s="36" t="n"/>
      <c r="N142" s="87" t="n"/>
      <c r="O142" s="200" t="n"/>
      <c r="P142" s="203" t="n"/>
      <c r="Q142" s="202" t="n"/>
      <c r="R142" s="87" t="n"/>
    </row>
    <row r="143" ht="18" customHeight="1" s="140">
      <c r="A143" s="47">
        <f>'10-1 관광(단)지 계획_작업량'!A25</f>
        <v/>
      </c>
      <c r="B143" s="18" t="n"/>
      <c r="C143" s="48" t="n"/>
      <c r="D143" s="18" t="n"/>
      <c r="E143" s="18" t="n"/>
      <c r="F143" s="18" t="n"/>
      <c r="G143" s="18" t="n"/>
      <c r="H143" s="95">
        <f>SUM(H144:H148)</f>
        <v/>
      </c>
      <c r="I143" s="18" t="n"/>
      <c r="J143" s="18" t="n"/>
      <c r="K143" s="18" t="n"/>
      <c r="L143" s="18" t="n"/>
      <c r="M143" s="36" t="n"/>
      <c r="N143" s="87" t="n"/>
      <c r="O143" s="190" t="n"/>
      <c r="P143" s="189" t="n"/>
      <c r="Q143" s="200" t="n"/>
      <c r="R143" s="87" t="n"/>
    </row>
    <row r="144" ht="18" customHeight="1" s="140">
      <c r="A144" s="103" t="inlineStr">
        <is>
          <t>기  술  사</t>
        </is>
      </c>
      <c r="B144" s="18" t="n"/>
      <c r="C144" s="48">
        <f>'10-1 관광(단)지 계획_작업량'!H25</f>
        <v/>
      </c>
      <c r="D144" s="104" t="inlineStr">
        <is>
          <t>인</t>
        </is>
      </c>
      <c r="E144" s="18" t="n"/>
      <c r="F144" s="18" t="n"/>
      <c r="G144" s="95">
        <f>$P$5</f>
        <v/>
      </c>
      <c r="H144" s="95">
        <f>ROUNDDOWN(G144*C144,0)</f>
        <v/>
      </c>
      <c r="I144" s="18" t="n"/>
      <c r="J144" s="18" t="n"/>
      <c r="K144" s="18" t="n"/>
      <c r="L144" s="18" t="n"/>
      <c r="M144" s="36" t="n"/>
      <c r="N144" s="87" t="n"/>
      <c r="O144" s="190" t="n"/>
      <c r="P144" s="189" t="n"/>
      <c r="Q144" s="200" t="n"/>
      <c r="R144" s="87" t="n"/>
    </row>
    <row r="145" ht="18" customHeight="1" s="140">
      <c r="A145" s="103" t="inlineStr">
        <is>
          <t>특급기술자</t>
        </is>
      </c>
      <c r="B145" s="18" t="n"/>
      <c r="C145" s="48">
        <f>'10-1 관광(단)지 계획_작업량'!I25</f>
        <v/>
      </c>
      <c r="D145" s="104" t="inlineStr">
        <is>
          <t>인</t>
        </is>
      </c>
      <c r="E145" s="201" t="n"/>
      <c r="F145" s="201" t="n"/>
      <c r="G145" s="95">
        <f>$P$6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190" t="n"/>
      <c r="P145" s="189" t="n"/>
      <c r="Q145" s="202" t="n"/>
      <c r="R145" s="87" t="n"/>
    </row>
    <row r="146" ht="18" customHeight="1" s="140">
      <c r="A146" s="103" t="inlineStr">
        <is>
          <t>고급기술자</t>
        </is>
      </c>
      <c r="B146" s="18" t="n"/>
      <c r="C146" s="48">
        <f>'10-1 관광(단)지 계획_작업량'!J25</f>
        <v/>
      </c>
      <c r="D146" s="104" t="inlineStr">
        <is>
          <t>인</t>
        </is>
      </c>
      <c r="E146" s="201" t="n"/>
      <c r="F146" s="201" t="n"/>
      <c r="G146" s="95">
        <f>$P$7</f>
        <v/>
      </c>
      <c r="H146" s="95">
        <f>ROUNDDOWN(G146*C146,0)</f>
        <v/>
      </c>
      <c r="I146" s="18" t="n"/>
      <c r="J146" s="18" t="n"/>
      <c r="K146" s="18" t="n"/>
      <c r="L146" s="18" t="n"/>
      <c r="M146" s="36" t="n"/>
      <c r="N146" s="87" t="n"/>
      <c r="O146" s="190" t="n"/>
      <c r="P146" s="189" t="n"/>
      <c r="Q146" s="202" t="n"/>
      <c r="R146" s="87" t="n"/>
    </row>
    <row r="147" ht="18" customHeight="1" s="140">
      <c r="A147" s="103" t="inlineStr">
        <is>
          <t>중급기술자</t>
        </is>
      </c>
      <c r="B147" s="18" t="n"/>
      <c r="C147" s="48">
        <f>'10-1 관광(단)지 계획_작업량'!K25</f>
        <v/>
      </c>
      <c r="D147" s="104" t="inlineStr">
        <is>
          <t>인</t>
        </is>
      </c>
      <c r="E147" s="201" t="n"/>
      <c r="F147" s="201" t="n"/>
      <c r="G147" s="95">
        <f>$P$8</f>
        <v/>
      </c>
      <c r="H147" s="95">
        <f>ROUNDDOWN(G147*C147,0)</f>
        <v/>
      </c>
      <c r="I147" s="18" t="n"/>
      <c r="J147" s="18" t="n"/>
      <c r="K147" s="18" t="n"/>
      <c r="L147" s="18" t="n"/>
      <c r="M147" s="36" t="n"/>
      <c r="N147" s="87" t="n"/>
      <c r="O147" s="200" t="n"/>
      <c r="P147" s="203" t="n"/>
      <c r="Q147" s="202" t="n"/>
      <c r="R147" s="87" t="n"/>
    </row>
    <row r="148" ht="18" customHeight="1" s="140">
      <c r="A148" s="103" t="inlineStr">
        <is>
          <t>초급기술자</t>
        </is>
      </c>
      <c r="B148" s="18" t="n"/>
      <c r="C148" s="48">
        <f>'10-1 관광(단)지 계획_작업량'!L25</f>
        <v/>
      </c>
      <c r="D148" s="104" t="inlineStr">
        <is>
          <t>인</t>
        </is>
      </c>
      <c r="E148" s="201" t="n"/>
      <c r="F148" s="201" t="n"/>
      <c r="G148" s="95">
        <f>$P$9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200" t="n"/>
      <c r="P148" s="203" t="n"/>
      <c r="Q148" s="202" t="n"/>
      <c r="R148" s="87" t="n"/>
    </row>
    <row r="149" ht="18" customHeight="1" s="140">
      <c r="A149" s="236" t="n"/>
      <c r="B149" s="237" t="n"/>
      <c r="C149" s="93" t="n"/>
      <c r="D149" s="112" t="n"/>
      <c r="E149" s="105" t="n"/>
      <c r="F149" s="153" t="n"/>
      <c r="G149" s="104" t="n"/>
      <c r="H149" s="153" t="n"/>
      <c r="I149" s="104" t="n"/>
      <c r="J149" s="104" t="n"/>
      <c r="K149" s="104" t="n"/>
      <c r="L149" s="104" t="n"/>
      <c r="M149" s="35" t="n"/>
      <c r="N149" s="87" t="n"/>
      <c r="O149" s="189" t="n"/>
      <c r="P149" s="189" t="n"/>
      <c r="Q149" s="190" t="n"/>
      <c r="R149" s="87" t="n"/>
    </row>
    <row r="150" ht="18" customHeight="1" s="140">
      <c r="A150" s="250">
        <f>'10-1 관광(단)지 계획_작업량'!A26</f>
        <v/>
      </c>
      <c r="B150" s="251" t="n"/>
      <c r="C150" s="252" t="n"/>
      <c r="D150" s="251" t="n"/>
      <c r="E150" s="251" t="n"/>
      <c r="F150" s="251" t="n"/>
      <c r="G150" s="251" t="n"/>
      <c r="H150" s="253">
        <f>H151+H157</f>
        <v/>
      </c>
      <c r="I150" s="251" t="n"/>
      <c r="J150" s="251" t="n"/>
      <c r="K150" s="251" t="n"/>
      <c r="L150" s="251" t="n"/>
      <c r="M150" s="65" t="n"/>
      <c r="N150" s="87" t="n"/>
      <c r="O150" s="190" t="n"/>
      <c r="P150" s="189" t="n"/>
      <c r="Q150" s="200" t="n"/>
      <c r="R150" s="87" t="n"/>
    </row>
    <row r="151" ht="18" customHeight="1" s="140">
      <c r="A151" s="47">
        <f>'10-1 관광(단)지 계획_작업량'!A27</f>
        <v/>
      </c>
      <c r="B151" s="18" t="n"/>
      <c r="C151" s="48" t="n"/>
      <c r="D151" s="18" t="n"/>
      <c r="E151" s="18" t="n"/>
      <c r="F151" s="18" t="n"/>
      <c r="G151" s="18" t="n"/>
      <c r="H151" s="95">
        <f>SUM(H152:H156)</f>
        <v/>
      </c>
      <c r="I151" s="18" t="n"/>
      <c r="J151" s="18" t="n"/>
      <c r="K151" s="18" t="n"/>
      <c r="L151" s="18" t="n"/>
      <c r="M151" s="36" t="n"/>
      <c r="N151" s="87" t="n"/>
      <c r="O151" s="190" t="n"/>
      <c r="P151" s="189" t="n"/>
      <c r="Q151" s="200" t="n"/>
      <c r="R151" s="87" t="n"/>
    </row>
    <row r="152" ht="18" customHeight="1" s="140">
      <c r="A152" s="103" t="inlineStr">
        <is>
          <t>기  술  사</t>
        </is>
      </c>
      <c r="B152" s="18" t="n"/>
      <c r="C152" s="48">
        <f>'10-1 관광(단)지 계획_작업량'!H27</f>
        <v/>
      </c>
      <c r="D152" s="104" t="inlineStr">
        <is>
          <t>인</t>
        </is>
      </c>
      <c r="E152" s="18" t="n"/>
      <c r="F152" s="18" t="n"/>
      <c r="G152" s="95">
        <f>$P$5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190" t="n"/>
      <c r="P152" s="189" t="n"/>
      <c r="Q152" s="200" t="n"/>
      <c r="R152" s="87" t="n"/>
    </row>
    <row r="153" ht="18" customHeight="1" s="140">
      <c r="A153" s="103" t="inlineStr">
        <is>
          <t>특급기술자</t>
        </is>
      </c>
      <c r="B153" s="18" t="n"/>
      <c r="C153" s="48">
        <f>'10-1 관광(단)지 계획_작업량'!I27</f>
        <v/>
      </c>
      <c r="D153" s="104" t="inlineStr">
        <is>
          <t>인</t>
        </is>
      </c>
      <c r="E153" s="201" t="n"/>
      <c r="F153" s="201" t="n"/>
      <c r="G153" s="95">
        <f>$P$6</f>
        <v/>
      </c>
      <c r="H153" s="95">
        <f>ROUNDDOWN(G153*C153,0)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2" t="n"/>
      <c r="R153" s="87" t="n"/>
    </row>
    <row r="154" ht="18" customHeight="1" s="140">
      <c r="A154" s="103" t="inlineStr">
        <is>
          <t>고급기술자</t>
        </is>
      </c>
      <c r="B154" s="18" t="n"/>
      <c r="C154" s="48">
        <f>'10-1 관광(단)지 계획_작업량'!J27</f>
        <v/>
      </c>
      <c r="D154" s="104" t="inlineStr">
        <is>
          <t>인</t>
        </is>
      </c>
      <c r="E154" s="201" t="n"/>
      <c r="F154" s="201" t="n"/>
      <c r="G154" s="95">
        <f>$P$7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190" t="n"/>
      <c r="P154" s="189" t="n"/>
      <c r="Q154" s="202" t="n"/>
      <c r="R154" s="87" t="n"/>
    </row>
    <row r="155" ht="18" customHeight="1" s="140">
      <c r="A155" s="103" t="inlineStr">
        <is>
          <t>중급기술자</t>
        </is>
      </c>
      <c r="B155" s="18" t="n"/>
      <c r="C155" s="48">
        <f>'10-1 관광(단)지 계획_작업량'!K27</f>
        <v/>
      </c>
      <c r="D155" s="104" t="inlineStr">
        <is>
          <t>인</t>
        </is>
      </c>
      <c r="E155" s="201" t="n"/>
      <c r="F155" s="201" t="n"/>
      <c r="G155" s="95">
        <f>$P$8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200" t="n"/>
      <c r="P155" s="203" t="n"/>
      <c r="Q155" s="202" t="n"/>
      <c r="R155" s="87" t="n"/>
    </row>
    <row r="156" ht="18" customHeight="1" s="140">
      <c r="A156" s="103" t="inlineStr">
        <is>
          <t>초급기술자</t>
        </is>
      </c>
      <c r="B156" s="18" t="n"/>
      <c r="C156" s="48">
        <f>'10-1 관광(단)지 계획_작업량'!L27</f>
        <v/>
      </c>
      <c r="D156" s="104" t="inlineStr">
        <is>
          <t>인</t>
        </is>
      </c>
      <c r="E156" s="201" t="n"/>
      <c r="F156" s="201" t="n"/>
      <c r="G156" s="95">
        <f>$P$9</f>
        <v/>
      </c>
      <c r="H156" s="95">
        <f>ROUNDDOWN(G156*C156,0)</f>
        <v/>
      </c>
      <c r="I156" s="18" t="n"/>
      <c r="J156" s="18" t="n"/>
      <c r="K156" s="18" t="n"/>
      <c r="L156" s="18" t="n"/>
      <c r="M156" s="36" t="n"/>
      <c r="N156" s="87" t="n"/>
      <c r="O156" s="200" t="n"/>
      <c r="P156" s="203" t="n"/>
      <c r="Q156" s="202" t="n"/>
      <c r="R156" s="87" t="n"/>
    </row>
    <row r="157" ht="18" customHeight="1" s="140">
      <c r="A157" s="47">
        <f>'10-1 관광(단)지 계획_작업량'!A28</f>
        <v/>
      </c>
      <c r="B157" s="18" t="n"/>
      <c r="C157" s="48" t="n"/>
      <c r="D157" s="18" t="n"/>
      <c r="E157" s="18" t="n"/>
      <c r="F157" s="18" t="n"/>
      <c r="G157" s="18" t="n"/>
      <c r="H157" s="95">
        <f>SUM(H158:H162)</f>
        <v/>
      </c>
      <c r="I157" s="18" t="n"/>
      <c r="J157" s="18" t="n"/>
      <c r="K157" s="18" t="n"/>
      <c r="L157" s="18" t="n"/>
      <c r="M157" s="36" t="n"/>
      <c r="N157" s="87" t="n"/>
      <c r="O157" s="190" t="n"/>
      <c r="P157" s="189" t="n"/>
      <c r="Q157" s="200" t="n"/>
      <c r="R157" s="87" t="n"/>
    </row>
    <row r="158" ht="18" customHeight="1" s="140">
      <c r="A158" s="103" t="inlineStr">
        <is>
          <t>기  술  사</t>
        </is>
      </c>
      <c r="B158" s="18" t="n"/>
      <c r="C158" s="48">
        <f>'10-1 관광(단)지 계획_작업량'!H28</f>
        <v/>
      </c>
      <c r="D158" s="104" t="inlineStr">
        <is>
          <t>인</t>
        </is>
      </c>
      <c r="E158" s="18" t="n"/>
      <c r="F158" s="18" t="n"/>
      <c r="G158" s="95">
        <f>$P$5</f>
        <v/>
      </c>
      <c r="H158" s="95">
        <f>ROUNDDOWN(G158*C158,0)</f>
        <v/>
      </c>
      <c r="I158" s="18" t="n"/>
      <c r="J158" s="18" t="n"/>
      <c r="K158" s="18" t="n"/>
      <c r="L158" s="18" t="n"/>
      <c r="M158" s="36" t="n"/>
      <c r="N158" s="87" t="n"/>
      <c r="O158" s="190" t="n"/>
      <c r="P158" s="189" t="n"/>
      <c r="Q158" s="200" t="n"/>
      <c r="R158" s="87" t="n"/>
    </row>
    <row r="159" ht="18" customHeight="1" s="140">
      <c r="A159" s="103" t="inlineStr">
        <is>
          <t>특급기술자</t>
        </is>
      </c>
      <c r="B159" s="18" t="n"/>
      <c r="C159" s="48">
        <f>'10-1 관광(단)지 계획_작업량'!I28</f>
        <v/>
      </c>
      <c r="D159" s="104" t="inlineStr">
        <is>
          <t>인</t>
        </is>
      </c>
      <c r="E159" s="201" t="n"/>
      <c r="F159" s="201" t="n"/>
      <c r="G159" s="95">
        <f>$P$6</f>
        <v/>
      </c>
      <c r="H159" s="95">
        <f>ROUNDDOWN(G159*C159,0)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2" t="n"/>
      <c r="R159" s="87" t="n"/>
    </row>
    <row r="160" ht="18" customHeight="1" s="140">
      <c r="A160" s="103" t="inlineStr">
        <is>
          <t>고급기술자</t>
        </is>
      </c>
      <c r="B160" s="18" t="n"/>
      <c r="C160" s="48">
        <f>'10-1 관광(단)지 계획_작업량'!J28</f>
        <v/>
      </c>
      <c r="D160" s="104" t="inlineStr">
        <is>
          <t>인</t>
        </is>
      </c>
      <c r="E160" s="201" t="n"/>
      <c r="F160" s="201" t="n"/>
      <c r="G160" s="95">
        <f>$P$7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2" t="n"/>
      <c r="R160" s="87" t="n"/>
    </row>
    <row r="161" ht="18" customHeight="1" s="140">
      <c r="A161" s="103" t="inlineStr">
        <is>
          <t>중급기술자</t>
        </is>
      </c>
      <c r="B161" s="18" t="n"/>
      <c r="C161" s="48">
        <f>'10-1 관광(단)지 계획_작업량'!K28</f>
        <v/>
      </c>
      <c r="D161" s="104" t="inlineStr">
        <is>
          <t>인</t>
        </is>
      </c>
      <c r="E161" s="201" t="n"/>
      <c r="F161" s="201" t="n"/>
      <c r="G161" s="95">
        <f>$P$8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200" t="n"/>
      <c r="P161" s="203" t="n"/>
      <c r="Q161" s="202" t="n"/>
      <c r="R161" s="87" t="n"/>
    </row>
    <row r="162" ht="18" customHeight="1" s="140">
      <c r="A162" s="103" t="inlineStr">
        <is>
          <t>초급기술자</t>
        </is>
      </c>
      <c r="B162" s="18" t="n"/>
      <c r="C162" s="48">
        <f>'10-1 관광(단)지 계획_작업량'!L28</f>
        <v/>
      </c>
      <c r="D162" s="104" t="inlineStr">
        <is>
          <t>인</t>
        </is>
      </c>
      <c r="E162" s="201" t="n"/>
      <c r="F162" s="201" t="n"/>
      <c r="G162" s="95">
        <f>$P$9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200" t="n"/>
      <c r="P162" s="203" t="n"/>
      <c r="Q162" s="202" t="n"/>
      <c r="R162" s="87" t="n"/>
    </row>
    <row r="163" ht="18" customHeight="1" s="140">
      <c r="A163" s="236" t="n"/>
      <c r="B163" s="237" t="n"/>
      <c r="C163" s="93" t="n"/>
      <c r="D163" s="112" t="n"/>
      <c r="E163" s="105" t="n"/>
      <c r="F163" s="153" t="n"/>
      <c r="G163" s="104" t="n"/>
      <c r="H163" s="153" t="n"/>
      <c r="I163" s="104" t="n"/>
      <c r="J163" s="104" t="n"/>
      <c r="K163" s="104" t="n"/>
      <c r="L163" s="104" t="n"/>
      <c r="M163" s="35" t="n"/>
      <c r="N163" s="87" t="n"/>
      <c r="O163" s="189" t="n"/>
      <c r="P163" s="189" t="n"/>
      <c r="Q163" s="190" t="n"/>
      <c r="R163" s="87" t="n"/>
    </row>
    <row r="164" ht="18" customHeight="1" s="140">
      <c r="A164" s="250">
        <f>'10-1 관광(단)지 계획_작업량'!A29</f>
        <v/>
      </c>
      <c r="B164" s="251" t="n"/>
      <c r="C164" s="252" t="n"/>
      <c r="D164" s="251" t="n"/>
      <c r="E164" s="251" t="n"/>
      <c r="F164" s="251" t="n"/>
      <c r="G164" s="251" t="n"/>
      <c r="H164" s="253">
        <f>H165+H171+H177+H183+H189+H195</f>
        <v/>
      </c>
      <c r="I164" s="251" t="n"/>
      <c r="J164" s="251" t="n"/>
      <c r="K164" s="251" t="n"/>
      <c r="L164" s="251" t="n"/>
      <c r="M164" s="65" t="n"/>
      <c r="N164" s="87" t="n"/>
      <c r="O164" s="190" t="n"/>
      <c r="P164" s="189" t="n"/>
      <c r="Q164" s="200" t="n"/>
      <c r="R164" s="87" t="n"/>
    </row>
    <row r="165" ht="18" customHeight="1" s="140">
      <c r="A165" s="47">
        <f>'10-1 관광(단)지 계획_작업량'!A30</f>
        <v/>
      </c>
      <c r="B165" s="18" t="n"/>
      <c r="C165" s="48" t="n"/>
      <c r="D165" s="18" t="n"/>
      <c r="E165" s="18" t="n"/>
      <c r="F165" s="18" t="n"/>
      <c r="G165" s="18" t="n"/>
      <c r="H165" s="95">
        <f>SUM(H166:H170)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'10-1 관광(단)지 계획_작업량'!H30</f>
        <v/>
      </c>
      <c r="D166" s="104" t="inlineStr">
        <is>
          <t>인</t>
        </is>
      </c>
      <c r="E166" s="18" t="n"/>
      <c r="F166" s="18" t="n"/>
      <c r="G166" s="95">
        <f>$P$5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0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'10-1 관광(단)지 계획_작업량'!I30</f>
        <v/>
      </c>
      <c r="D167" s="104" t="inlineStr">
        <is>
          <t>인</t>
        </is>
      </c>
      <c r="E167" s="201" t="n"/>
      <c r="F167" s="201" t="n"/>
      <c r="G167" s="95">
        <f>$P$6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'10-1 관광(단)지 계획_작업량'!J30</f>
        <v/>
      </c>
      <c r="D168" s="104" t="inlineStr">
        <is>
          <t>인</t>
        </is>
      </c>
      <c r="E168" s="201" t="n"/>
      <c r="F168" s="201" t="n"/>
      <c r="G168" s="95">
        <f>$P$7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190" t="n"/>
      <c r="P168" s="189" t="n"/>
      <c r="Q168" s="202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'10-1 관광(단)지 계획_작업량'!K30</f>
        <v/>
      </c>
      <c r="D169" s="104" t="inlineStr">
        <is>
          <t>인</t>
        </is>
      </c>
      <c r="E169" s="201" t="n"/>
      <c r="F169" s="201" t="n"/>
      <c r="G169" s="95">
        <f>$P$8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'10-1 관광(단)지 계획_작업량'!L30</f>
        <v/>
      </c>
      <c r="D170" s="104" t="inlineStr">
        <is>
          <t>인</t>
        </is>
      </c>
      <c r="E170" s="201" t="n"/>
      <c r="F170" s="201" t="n"/>
      <c r="G170" s="95">
        <f>$P$9</f>
        <v/>
      </c>
      <c r="H170" s="95">
        <f>ROUNDDOWN(G170*C170,0)</f>
        <v/>
      </c>
      <c r="I170" s="18" t="n"/>
      <c r="J170" s="18" t="n"/>
      <c r="K170" s="18" t="n"/>
      <c r="L170" s="18" t="n"/>
      <c r="M170" s="36" t="n"/>
      <c r="N170" s="87" t="n"/>
      <c r="O170" s="200" t="n"/>
      <c r="P170" s="203" t="n"/>
      <c r="Q170" s="202" t="n"/>
      <c r="R170" s="87" t="n"/>
    </row>
    <row r="171" ht="18" customHeight="1" s="140">
      <c r="A171" s="47">
        <f>'10-1 관광(단)지 계획_작업량'!A31</f>
        <v/>
      </c>
      <c r="B171" s="18" t="n"/>
      <c r="C171" s="48" t="n"/>
      <c r="D171" s="18" t="n"/>
      <c r="E171" s="18" t="n"/>
      <c r="F171" s="18" t="n"/>
      <c r="G171" s="18" t="n"/>
      <c r="H171" s="95">
        <f>SUM(H172:H176)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기  술  사</t>
        </is>
      </c>
      <c r="B172" s="18" t="n"/>
      <c r="C172" s="48">
        <f>'10-1 관광(단)지 계획_작업량'!H31</f>
        <v/>
      </c>
      <c r="D172" s="104" t="inlineStr">
        <is>
          <t>인</t>
        </is>
      </c>
      <c r="E172" s="18" t="n"/>
      <c r="F172" s="18" t="n"/>
      <c r="G172" s="95">
        <f>$P$5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0" t="n"/>
      <c r="R172" s="87" t="n"/>
    </row>
    <row r="173" ht="18" customHeight="1" s="140">
      <c r="A173" s="103" t="inlineStr">
        <is>
          <t>특급기술자</t>
        </is>
      </c>
      <c r="B173" s="18" t="n"/>
      <c r="C173" s="48">
        <f>'10-1 관광(단)지 계획_작업량'!I31</f>
        <v/>
      </c>
      <c r="D173" s="104" t="inlineStr">
        <is>
          <t>인</t>
        </is>
      </c>
      <c r="E173" s="201" t="n"/>
      <c r="F173" s="201" t="n"/>
      <c r="G173" s="95">
        <f>$P$6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고급기술자</t>
        </is>
      </c>
      <c r="B174" s="18" t="n"/>
      <c r="C174" s="48">
        <f>'10-1 관광(단)지 계획_작업량'!J31</f>
        <v/>
      </c>
      <c r="D174" s="104" t="inlineStr">
        <is>
          <t>인</t>
        </is>
      </c>
      <c r="E174" s="201" t="n"/>
      <c r="F174" s="201" t="n"/>
      <c r="G174" s="95">
        <f>$P$7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190" t="n"/>
      <c r="P174" s="189" t="n"/>
      <c r="Q174" s="202" t="n"/>
      <c r="R174" s="87" t="n"/>
    </row>
    <row r="175" ht="18" customHeight="1" s="140">
      <c r="A175" s="103" t="inlineStr">
        <is>
          <t>중급기술자</t>
        </is>
      </c>
      <c r="B175" s="18" t="n"/>
      <c r="C175" s="48">
        <f>'10-1 관광(단)지 계획_작업량'!K31</f>
        <v/>
      </c>
      <c r="D175" s="104" t="inlineStr">
        <is>
          <t>인</t>
        </is>
      </c>
      <c r="E175" s="201" t="n"/>
      <c r="F175" s="201" t="n"/>
      <c r="G175" s="95">
        <f>$P$8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103" t="inlineStr">
        <is>
          <t>초급기술자</t>
        </is>
      </c>
      <c r="B176" s="18" t="n"/>
      <c r="C176" s="48">
        <f>'10-1 관광(단)지 계획_작업량'!L31</f>
        <v/>
      </c>
      <c r="D176" s="104" t="inlineStr">
        <is>
          <t>인</t>
        </is>
      </c>
      <c r="E176" s="201" t="n"/>
      <c r="F176" s="201" t="n"/>
      <c r="G176" s="95">
        <f>$P$9</f>
        <v/>
      </c>
      <c r="H176" s="95">
        <f>ROUNDDOWN(G176*C176,0)</f>
        <v/>
      </c>
      <c r="I176" s="18" t="n"/>
      <c r="J176" s="18" t="n"/>
      <c r="K176" s="18" t="n"/>
      <c r="L176" s="18" t="n"/>
      <c r="M176" s="36" t="n"/>
      <c r="N176" s="87" t="n"/>
      <c r="O176" s="200" t="n"/>
      <c r="P176" s="203" t="n"/>
      <c r="Q176" s="202" t="n"/>
      <c r="R176" s="87" t="n"/>
    </row>
    <row r="177" ht="18" customHeight="1" s="140">
      <c r="A177" s="47">
        <f>'10-1 관광(단)지 계획_작업량'!A32</f>
        <v/>
      </c>
      <c r="B177" s="18" t="n"/>
      <c r="C177" s="48" t="n"/>
      <c r="D177" s="18" t="n"/>
      <c r="E177" s="18" t="n"/>
      <c r="F177" s="18" t="n"/>
      <c r="G177" s="18" t="n"/>
      <c r="H177" s="95">
        <f>SUM(H178:H182)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기  술  사</t>
        </is>
      </c>
      <c r="B178" s="18" t="n"/>
      <c r="C178" s="48">
        <f>'10-1 관광(단)지 계획_작업량'!H32</f>
        <v/>
      </c>
      <c r="D178" s="104" t="inlineStr">
        <is>
          <t>인</t>
        </is>
      </c>
      <c r="E178" s="18" t="n"/>
      <c r="F178" s="18" t="n"/>
      <c r="G178" s="95">
        <f>$P$5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0" t="n"/>
      <c r="R178" s="87" t="n"/>
    </row>
    <row r="179" ht="18" customHeight="1" s="140">
      <c r="A179" s="103" t="inlineStr">
        <is>
          <t>특급기술자</t>
        </is>
      </c>
      <c r="B179" s="18" t="n"/>
      <c r="C179" s="48">
        <f>'10-1 관광(단)지 계획_작업량'!I32</f>
        <v/>
      </c>
      <c r="D179" s="104" t="inlineStr">
        <is>
          <t>인</t>
        </is>
      </c>
      <c r="E179" s="201" t="n"/>
      <c r="F179" s="201" t="n"/>
      <c r="G179" s="95">
        <f>$P$6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고급기술자</t>
        </is>
      </c>
      <c r="B180" s="18" t="n"/>
      <c r="C180" s="48">
        <f>'10-1 관광(단)지 계획_작업량'!J32</f>
        <v/>
      </c>
      <c r="D180" s="104" t="inlineStr">
        <is>
          <t>인</t>
        </is>
      </c>
      <c r="E180" s="201" t="n"/>
      <c r="F180" s="201" t="n"/>
      <c r="G180" s="95">
        <f>$P$7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190" t="n"/>
      <c r="P180" s="189" t="n"/>
      <c r="Q180" s="202" t="n"/>
      <c r="R180" s="87" t="n"/>
    </row>
    <row r="181" ht="18" customHeight="1" s="140">
      <c r="A181" s="103" t="inlineStr">
        <is>
          <t>중급기술자</t>
        </is>
      </c>
      <c r="B181" s="18" t="n"/>
      <c r="C181" s="48">
        <f>'10-1 관광(단)지 계획_작업량'!K32</f>
        <v/>
      </c>
      <c r="D181" s="104" t="inlineStr">
        <is>
          <t>인</t>
        </is>
      </c>
      <c r="E181" s="201" t="n"/>
      <c r="F181" s="201" t="n"/>
      <c r="G181" s="95">
        <f>$P$8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103" t="inlineStr">
        <is>
          <t>초급기술자</t>
        </is>
      </c>
      <c r="B182" s="18" t="n"/>
      <c r="C182" s="48">
        <f>'10-1 관광(단)지 계획_작업량'!L32</f>
        <v/>
      </c>
      <c r="D182" s="104" t="inlineStr">
        <is>
          <t>인</t>
        </is>
      </c>
      <c r="E182" s="201" t="n"/>
      <c r="F182" s="201" t="n"/>
      <c r="G182" s="95">
        <f>$P$9</f>
        <v/>
      </c>
      <c r="H182" s="95">
        <f>ROUNDDOWN(G182*C182,0)</f>
        <v/>
      </c>
      <c r="I182" s="18" t="n"/>
      <c r="J182" s="18" t="n"/>
      <c r="K182" s="18" t="n"/>
      <c r="L182" s="18" t="n"/>
      <c r="M182" s="36" t="n"/>
      <c r="N182" s="87" t="n"/>
      <c r="O182" s="200" t="n"/>
      <c r="P182" s="203" t="n"/>
      <c r="Q182" s="202" t="n"/>
      <c r="R182" s="87" t="n"/>
    </row>
    <row r="183" ht="18" customHeight="1" s="140">
      <c r="A183" s="47">
        <f>'10-1 관광(단)지 계획_작업량'!A33</f>
        <v/>
      </c>
      <c r="B183" s="18" t="n"/>
      <c r="C183" s="48" t="n"/>
      <c r="D183" s="18" t="n"/>
      <c r="E183" s="18" t="n"/>
      <c r="F183" s="18" t="n"/>
      <c r="G183" s="18" t="n"/>
      <c r="H183" s="95">
        <f>SUM(H184:H188)</f>
        <v/>
      </c>
      <c r="I183" s="18" t="n"/>
      <c r="J183" s="18" t="n"/>
      <c r="K183" s="18" t="n"/>
      <c r="L183" s="18" t="n"/>
      <c r="M183" s="36" t="n"/>
      <c r="N183" s="87" t="n"/>
      <c r="O183" s="190" t="n"/>
      <c r="P183" s="189" t="n"/>
      <c r="Q183" s="200" t="n"/>
      <c r="R183" s="87" t="n"/>
    </row>
    <row r="184" ht="18" customHeight="1" s="140">
      <c r="A184" s="103" t="inlineStr">
        <is>
          <t>기  술  사</t>
        </is>
      </c>
      <c r="B184" s="18" t="n"/>
      <c r="C184" s="48">
        <f>'10-1 관광(단)지 계획_작업량'!H33</f>
        <v/>
      </c>
      <c r="D184" s="104" t="inlineStr">
        <is>
          <t>인</t>
        </is>
      </c>
      <c r="E184" s="18" t="n"/>
      <c r="F184" s="18" t="n"/>
      <c r="G184" s="95">
        <f>$P$5</f>
        <v/>
      </c>
      <c r="H184" s="95">
        <f>ROUNDDOWN(G184*C184,0)</f>
        <v/>
      </c>
      <c r="I184" s="18" t="n"/>
      <c r="J184" s="18" t="n"/>
      <c r="K184" s="18" t="n"/>
      <c r="L184" s="18" t="n"/>
      <c r="M184" s="36" t="n"/>
      <c r="N184" s="87" t="n"/>
      <c r="O184" s="190" t="n"/>
      <c r="P184" s="189" t="n"/>
      <c r="Q184" s="200" t="n"/>
      <c r="R184" s="87" t="n"/>
    </row>
    <row r="185" ht="18" customHeight="1" s="140">
      <c r="A185" s="103" t="inlineStr">
        <is>
          <t>특급기술자</t>
        </is>
      </c>
      <c r="B185" s="18" t="n"/>
      <c r="C185" s="48">
        <f>'10-1 관광(단)지 계획_작업량'!I33</f>
        <v/>
      </c>
      <c r="D185" s="104" t="inlineStr">
        <is>
          <t>인</t>
        </is>
      </c>
      <c r="E185" s="201" t="n"/>
      <c r="F185" s="201" t="n"/>
      <c r="G185" s="95">
        <f>$P$6</f>
        <v/>
      </c>
      <c r="H185" s="95">
        <f>ROUNDDOWN(G185*C185,0)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2" t="n"/>
      <c r="R185" s="87" t="n"/>
    </row>
    <row r="186" ht="18" customHeight="1" s="140">
      <c r="A186" s="103" t="inlineStr">
        <is>
          <t>고급기술자</t>
        </is>
      </c>
      <c r="B186" s="18" t="n"/>
      <c r="C186" s="48">
        <f>'10-1 관광(단)지 계획_작업량'!J33</f>
        <v/>
      </c>
      <c r="D186" s="104" t="inlineStr">
        <is>
          <t>인</t>
        </is>
      </c>
      <c r="E186" s="201" t="n"/>
      <c r="F186" s="201" t="n"/>
      <c r="G186" s="95">
        <f>$P$7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190" t="n"/>
      <c r="P186" s="189" t="n"/>
      <c r="Q186" s="202" t="n"/>
      <c r="R186" s="87" t="n"/>
    </row>
    <row r="187" ht="18" customHeight="1" s="140">
      <c r="A187" s="103" t="inlineStr">
        <is>
          <t>중급기술자</t>
        </is>
      </c>
      <c r="B187" s="18" t="n"/>
      <c r="C187" s="48">
        <f>'10-1 관광(단)지 계획_작업량'!K33</f>
        <v/>
      </c>
      <c r="D187" s="104" t="inlineStr">
        <is>
          <t>인</t>
        </is>
      </c>
      <c r="E187" s="201" t="n"/>
      <c r="F187" s="201" t="n"/>
      <c r="G187" s="95">
        <f>$P$8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200" t="n"/>
      <c r="P187" s="203" t="n"/>
      <c r="Q187" s="202" t="n"/>
      <c r="R187" s="87" t="n"/>
    </row>
    <row r="188" ht="18" customHeight="1" s="140">
      <c r="A188" s="103" t="inlineStr">
        <is>
          <t>초급기술자</t>
        </is>
      </c>
      <c r="B188" s="18" t="n"/>
      <c r="C188" s="48">
        <f>'10-1 관광(단)지 계획_작업량'!L33</f>
        <v/>
      </c>
      <c r="D188" s="104" t="inlineStr">
        <is>
          <t>인</t>
        </is>
      </c>
      <c r="E188" s="201" t="n"/>
      <c r="F188" s="201" t="n"/>
      <c r="G188" s="95">
        <f>$P$9</f>
        <v/>
      </c>
      <c r="H188" s="95">
        <f>ROUNDDOWN(G188*C188,0)</f>
        <v/>
      </c>
      <c r="I188" s="18" t="n"/>
      <c r="J188" s="18" t="n"/>
      <c r="K188" s="18" t="n"/>
      <c r="L188" s="18" t="n"/>
      <c r="M188" s="36" t="n"/>
      <c r="N188" s="87" t="n"/>
      <c r="O188" s="200" t="n"/>
      <c r="P188" s="203" t="n"/>
      <c r="Q188" s="202" t="n"/>
      <c r="R188" s="87" t="n"/>
    </row>
    <row r="189" ht="18" customHeight="1" s="140">
      <c r="A189" s="47">
        <f>'10-1 관광(단)지 계획_작업량'!A34</f>
        <v/>
      </c>
      <c r="B189" s="18" t="n"/>
      <c r="C189" s="48" t="n"/>
      <c r="D189" s="18" t="n"/>
      <c r="E189" s="18" t="n"/>
      <c r="F189" s="18" t="n"/>
      <c r="G189" s="18" t="n"/>
      <c r="H189" s="95">
        <f>SUM(H190:H194)</f>
        <v/>
      </c>
      <c r="I189" s="18" t="n"/>
      <c r="J189" s="18" t="n"/>
      <c r="K189" s="18" t="n"/>
      <c r="L189" s="18" t="n"/>
      <c r="M189" s="36" t="n"/>
      <c r="N189" s="87" t="n"/>
      <c r="O189" s="190" t="n"/>
      <c r="P189" s="189" t="n"/>
      <c r="Q189" s="200" t="n"/>
      <c r="R189" s="87" t="n"/>
    </row>
    <row r="190" ht="18" customHeight="1" s="140">
      <c r="A190" s="103" t="inlineStr">
        <is>
          <t>기  술  사</t>
        </is>
      </c>
      <c r="B190" s="18" t="n"/>
      <c r="C190" s="48">
        <f>'10-1 관광(단)지 계획_작업량'!H34</f>
        <v/>
      </c>
      <c r="D190" s="104" t="inlineStr">
        <is>
          <t>인</t>
        </is>
      </c>
      <c r="E190" s="18" t="n"/>
      <c r="F190" s="18" t="n"/>
      <c r="G190" s="95">
        <f>$P$5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190" t="n"/>
      <c r="P190" s="189" t="n"/>
      <c r="Q190" s="200" t="n"/>
      <c r="R190" s="87" t="n"/>
    </row>
    <row r="191" ht="18" customHeight="1" s="140">
      <c r="A191" s="103" t="inlineStr">
        <is>
          <t>특급기술자</t>
        </is>
      </c>
      <c r="B191" s="18" t="n"/>
      <c r="C191" s="48">
        <f>'10-1 관광(단)지 계획_작업량'!I34</f>
        <v/>
      </c>
      <c r="D191" s="104" t="inlineStr">
        <is>
          <t>인</t>
        </is>
      </c>
      <c r="E191" s="201" t="n"/>
      <c r="F191" s="201" t="n"/>
      <c r="G191" s="95">
        <f>$P$6</f>
        <v/>
      </c>
      <c r="H191" s="95">
        <f>ROUNDDOWN(G191*C191,0)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2" t="n"/>
      <c r="R191" s="87" t="n"/>
    </row>
    <row r="192" ht="18" customHeight="1" s="140">
      <c r="A192" s="103" t="inlineStr">
        <is>
          <t>고급기술자</t>
        </is>
      </c>
      <c r="B192" s="18" t="n"/>
      <c r="C192" s="48">
        <f>'10-1 관광(단)지 계획_작업량'!J34</f>
        <v/>
      </c>
      <c r="D192" s="104" t="inlineStr">
        <is>
          <t>인</t>
        </is>
      </c>
      <c r="E192" s="201" t="n"/>
      <c r="F192" s="201" t="n"/>
      <c r="G192" s="95">
        <f>$P$7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190" t="n"/>
      <c r="P192" s="189" t="n"/>
      <c r="Q192" s="202" t="n"/>
      <c r="R192" s="87" t="n"/>
    </row>
    <row r="193" ht="18" customHeight="1" s="140">
      <c r="A193" s="103" t="inlineStr">
        <is>
          <t>중급기술자</t>
        </is>
      </c>
      <c r="B193" s="18" t="n"/>
      <c r="C193" s="48">
        <f>'10-1 관광(단)지 계획_작업량'!K34</f>
        <v/>
      </c>
      <c r="D193" s="104" t="inlineStr">
        <is>
          <t>인</t>
        </is>
      </c>
      <c r="E193" s="201" t="n"/>
      <c r="F193" s="201" t="n"/>
      <c r="G193" s="95">
        <f>$P$8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200" t="n"/>
      <c r="P193" s="203" t="n"/>
      <c r="Q193" s="202" t="n"/>
      <c r="R193" s="87" t="n"/>
    </row>
    <row r="194" ht="18" customHeight="1" s="140">
      <c r="A194" s="103" t="inlineStr">
        <is>
          <t>초급기술자</t>
        </is>
      </c>
      <c r="B194" s="18" t="n"/>
      <c r="C194" s="48">
        <f>'10-1 관광(단)지 계획_작업량'!L34</f>
        <v/>
      </c>
      <c r="D194" s="104" t="inlineStr">
        <is>
          <t>인</t>
        </is>
      </c>
      <c r="E194" s="201" t="n"/>
      <c r="F194" s="201" t="n"/>
      <c r="G194" s="95">
        <f>$P$9</f>
        <v/>
      </c>
      <c r="H194" s="95">
        <f>ROUNDDOWN(G194*C194,0)</f>
        <v/>
      </c>
      <c r="I194" s="18" t="n"/>
      <c r="J194" s="18" t="n"/>
      <c r="K194" s="18" t="n"/>
      <c r="L194" s="18" t="n"/>
      <c r="M194" s="36" t="n"/>
      <c r="N194" s="87" t="n"/>
      <c r="O194" s="200" t="n"/>
      <c r="P194" s="203" t="n"/>
      <c r="Q194" s="202" t="n"/>
      <c r="R194" s="87" t="n"/>
    </row>
    <row r="195" ht="18" customHeight="1" s="140">
      <c r="A195" s="47">
        <f>'10-1 관광(단)지 계획_작업량'!A35</f>
        <v/>
      </c>
      <c r="B195" s="18" t="n"/>
      <c r="C195" s="48" t="n"/>
      <c r="D195" s="18" t="n"/>
      <c r="E195" s="18" t="n"/>
      <c r="F195" s="18" t="n"/>
      <c r="G195" s="18" t="n"/>
      <c r="H195" s="95">
        <f>SUM(H196:H200)</f>
        <v/>
      </c>
      <c r="I195" s="18" t="n"/>
      <c r="J195" s="18" t="n"/>
      <c r="K195" s="18" t="n"/>
      <c r="L195" s="18" t="n"/>
      <c r="M195" s="36" t="n"/>
      <c r="N195" s="87" t="n"/>
      <c r="O195" s="190" t="n"/>
      <c r="P195" s="189" t="n"/>
      <c r="Q195" s="200" t="n"/>
      <c r="R195" s="87" t="n"/>
    </row>
    <row r="196" ht="18" customHeight="1" s="140">
      <c r="A196" s="103" t="inlineStr">
        <is>
          <t>기  술  사</t>
        </is>
      </c>
      <c r="B196" s="18" t="n"/>
      <c r="C196" s="48">
        <f>'10-1 관광(단)지 계획_작업량'!H35</f>
        <v/>
      </c>
      <c r="D196" s="104" t="inlineStr">
        <is>
          <t>인</t>
        </is>
      </c>
      <c r="E196" s="18" t="n"/>
      <c r="F196" s="18" t="n"/>
      <c r="G196" s="95">
        <f>$P$5</f>
        <v/>
      </c>
      <c r="H196" s="95">
        <f>ROUNDDOWN(G196*C196,0)</f>
        <v/>
      </c>
      <c r="I196" s="18" t="n"/>
      <c r="J196" s="18" t="n"/>
      <c r="K196" s="18" t="n"/>
      <c r="L196" s="18" t="n"/>
      <c r="M196" s="36" t="n"/>
      <c r="N196" s="87" t="n"/>
      <c r="O196" s="190" t="n"/>
      <c r="P196" s="189" t="n"/>
      <c r="Q196" s="200" t="n"/>
      <c r="R196" s="87" t="n"/>
    </row>
    <row r="197" ht="18" customHeight="1" s="140">
      <c r="A197" s="103" t="inlineStr">
        <is>
          <t>특급기술자</t>
        </is>
      </c>
      <c r="B197" s="18" t="n"/>
      <c r="C197" s="48">
        <f>'10-1 관광(단)지 계획_작업량'!I35</f>
        <v/>
      </c>
      <c r="D197" s="104" t="inlineStr">
        <is>
          <t>인</t>
        </is>
      </c>
      <c r="E197" s="201" t="n"/>
      <c r="F197" s="201" t="n"/>
      <c r="G197" s="95">
        <f>$P$6</f>
        <v/>
      </c>
      <c r="H197" s="95">
        <f>ROUNDDOWN(G197*C197,0)</f>
        <v/>
      </c>
      <c r="I197" s="18" t="n"/>
      <c r="J197" s="18" t="n"/>
      <c r="K197" s="18" t="n"/>
      <c r="L197" s="18" t="n"/>
      <c r="M197" s="36" t="n"/>
      <c r="N197" s="87" t="n"/>
      <c r="O197" s="190" t="n"/>
      <c r="P197" s="189" t="n"/>
      <c r="Q197" s="202" t="n"/>
      <c r="R197" s="87" t="n"/>
    </row>
    <row r="198" ht="18" customHeight="1" s="140">
      <c r="A198" s="103" t="inlineStr">
        <is>
          <t>고급기술자</t>
        </is>
      </c>
      <c r="B198" s="18" t="n"/>
      <c r="C198" s="48">
        <f>'10-1 관광(단)지 계획_작업량'!J35</f>
        <v/>
      </c>
      <c r="D198" s="104" t="inlineStr">
        <is>
          <t>인</t>
        </is>
      </c>
      <c r="E198" s="201" t="n"/>
      <c r="F198" s="201" t="n"/>
      <c r="G198" s="95">
        <f>$P$7</f>
        <v/>
      </c>
      <c r="H198" s="95">
        <f>ROUNDDOWN(G198*C198,0)</f>
        <v/>
      </c>
      <c r="I198" s="18" t="n"/>
      <c r="J198" s="18" t="n"/>
      <c r="K198" s="18" t="n"/>
      <c r="L198" s="18" t="n"/>
      <c r="M198" s="36" t="n"/>
      <c r="N198" s="87" t="n"/>
      <c r="O198" s="190" t="n"/>
      <c r="P198" s="189" t="n"/>
      <c r="Q198" s="202" t="n"/>
      <c r="R198" s="87" t="n"/>
    </row>
    <row r="199" ht="18" customHeight="1" s="140">
      <c r="A199" s="103" t="inlineStr">
        <is>
          <t>중급기술자</t>
        </is>
      </c>
      <c r="B199" s="18" t="n"/>
      <c r="C199" s="48">
        <f>'10-1 관광(단)지 계획_작업량'!K35</f>
        <v/>
      </c>
      <c r="D199" s="104" t="inlineStr">
        <is>
          <t>인</t>
        </is>
      </c>
      <c r="E199" s="201" t="n"/>
      <c r="F199" s="201" t="n"/>
      <c r="G199" s="95">
        <f>$P$8</f>
        <v/>
      </c>
      <c r="H199" s="95">
        <f>ROUNDDOWN(G199*C199,0)</f>
        <v/>
      </c>
      <c r="I199" s="18" t="n"/>
      <c r="J199" s="18" t="n"/>
      <c r="K199" s="18" t="n"/>
      <c r="L199" s="18" t="n"/>
      <c r="M199" s="36" t="n"/>
      <c r="N199" s="87" t="n"/>
      <c r="O199" s="200" t="n"/>
      <c r="P199" s="203" t="n"/>
      <c r="Q199" s="202" t="n"/>
      <c r="R199" s="87" t="n"/>
    </row>
    <row r="200" ht="18" customHeight="1" s="140">
      <c r="A200" s="103" t="inlineStr">
        <is>
          <t>초급기술자</t>
        </is>
      </c>
      <c r="B200" s="18" t="n"/>
      <c r="C200" s="48">
        <f>'10-1 관광(단)지 계획_작업량'!L35</f>
        <v/>
      </c>
      <c r="D200" s="104" t="inlineStr">
        <is>
          <t>인</t>
        </is>
      </c>
      <c r="E200" s="201" t="n"/>
      <c r="F200" s="201" t="n"/>
      <c r="G200" s="95">
        <f>$P$9</f>
        <v/>
      </c>
      <c r="H200" s="95">
        <f>ROUNDDOWN(G200*C200,0)</f>
        <v/>
      </c>
      <c r="I200" s="18" t="n"/>
      <c r="J200" s="18" t="n"/>
      <c r="K200" s="18" t="n"/>
      <c r="L200" s="18" t="n"/>
      <c r="M200" s="36" t="n"/>
      <c r="N200" s="87" t="n"/>
      <c r="O200" s="200" t="n"/>
      <c r="P200" s="203" t="n"/>
      <c r="Q200" s="202" t="n"/>
      <c r="R200" s="87" t="n"/>
    </row>
    <row r="201" ht="18" customHeight="1" s="140">
      <c r="A201" s="236" t="n"/>
      <c r="B201" s="237" t="n"/>
      <c r="C201" s="93" t="n"/>
      <c r="D201" s="112" t="n"/>
      <c r="E201" s="105" t="n"/>
      <c r="F201" s="153" t="n"/>
      <c r="G201" s="104" t="n"/>
      <c r="H201" s="153" t="n"/>
      <c r="I201" s="104" t="n"/>
      <c r="J201" s="104" t="n"/>
      <c r="K201" s="104" t="n"/>
      <c r="L201" s="104" t="n"/>
      <c r="M201" s="35" t="n"/>
      <c r="N201" s="87" t="n"/>
      <c r="O201" s="189" t="n"/>
      <c r="P201" s="189" t="n"/>
      <c r="Q201" s="190" t="n"/>
      <c r="R201" s="87" t="n"/>
    </row>
  </sheetData>
  <mergeCells count="17">
    <mergeCell ref="G2:H2"/>
    <mergeCell ref="E2:F2"/>
    <mergeCell ref="K2:L2"/>
    <mergeCell ref="I2:J2"/>
    <mergeCell ref="A11:B11"/>
    <mergeCell ref="A5:B5"/>
    <mergeCell ref="M2:M3"/>
    <mergeCell ref="B2:B3"/>
    <mergeCell ref="D2:D3"/>
    <mergeCell ref="A6:B6"/>
    <mergeCell ref="A4:B4"/>
    <mergeCell ref="A7:B7"/>
    <mergeCell ref="A10:B10"/>
    <mergeCell ref="A13:B13"/>
    <mergeCell ref="A2:A3"/>
    <mergeCell ref="C2:C3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" customWidth="1" style="140" min="1" max="1"/>
    <col width="7.25" customWidth="1" style="140" min="2" max="2"/>
    <col width="13" customWidth="1" style="140" min="3" max="15"/>
    <col width="13" customWidth="1" style="140" min="4" max="4"/>
    <col width="13" customWidth="1" style="140" min="5" max="5"/>
    <col width="13" customWidth="1" style="140" min="6" max="6"/>
    <col width="13" customWidth="1" style="140" min="7" max="7"/>
    <col width="13" customWidth="1" style="140" min="8" max="8"/>
    <col width="13" customWidth="1" style="140" min="9" max="9"/>
    <col width="13" customWidth="1" style="140" min="10" max="10"/>
    <col width="13" customWidth="1" style="140" min="11" max="11"/>
    <col width="13" customWidth="1" style="140" min="12" max="12"/>
    <col width="13" customWidth="1" style="140" min="13" max="13"/>
    <col width="7.125" customWidth="1" style="140" min="14" max="14"/>
    <col width="13" customWidth="1" style="140" min="15" max="15"/>
    <col width="13" customWidth="1" style="140" min="16" max="16"/>
    <col width="13" customWidth="1" style="140" min="17" max="17"/>
  </cols>
  <sheetData>
    <row r="1" ht="26.25" customHeight="1" s="140">
      <c r="A1" t="inlineStr">
        <is>
          <t>&lt;10-1 관광(단)지 계획 직접인력 소요작업량 산정&gt;</t>
        </is>
      </c>
    </row>
    <row r="2" s="140">
      <c r="A2" s="279" t="inlineStr">
        <is>
          <t>대상면적</t>
        </is>
      </c>
      <c r="B2" s="280" t="n">
        <v>10000</v>
      </c>
      <c r="C2" s="281" t="inlineStr">
        <is>
          <t>기준면적</t>
        </is>
      </c>
      <c r="D2" s="280" t="n">
        <v>10000</v>
      </c>
      <c r="E2" s="281" t="inlineStr">
        <is>
          <t>승수</t>
        </is>
      </c>
      <c r="F2" s="282" t="n">
        <v>0.5</v>
      </c>
      <c r="G2" s="281" t="inlineStr">
        <is>
          <t>환산계수1</t>
        </is>
      </c>
      <c r="H2" s="282" t="n">
        <v>1</v>
      </c>
      <c r="I2" s="281" t="inlineStr">
        <is>
          <t>환산계수2</t>
        </is>
      </c>
      <c r="J2" s="282" t="n">
        <v>1</v>
      </c>
      <c r="K2" s="281" t="inlineStr">
        <is>
          <t>적용비율</t>
        </is>
      </c>
      <c r="L2" s="283" t="n">
        <v>1</v>
      </c>
      <c r="M2" s="281" t="n"/>
      <c r="N2" s="281" t="n"/>
      <c r="O2" s="284" t="n"/>
      <c r="P2" s="284" t="n"/>
    </row>
    <row r="3" s="140">
      <c r="A3" s="281" t="inlineStr">
        <is>
          <t>산식 : a=(대상면적/기준면적)^(승수)</t>
        </is>
      </c>
      <c r="B3" s="285">
        <f>IF(D2=0,0,ROUND((B2/D2)^F2,2))</f>
        <v/>
      </c>
      <c r="C3" s="281" t="n"/>
      <c r="D3" s="281" t="n"/>
      <c r="E3" s="281" t="n"/>
      <c r="F3" s="281" t="n"/>
      <c r="G3" s="285">
        <f>ROUND(B3*H2*J2*L2,2)</f>
        <v/>
      </c>
      <c r="H3" s="281" t="inlineStr">
        <is>
          <t>(적용보정계수)</t>
        </is>
      </c>
      <c r="I3" s="281" t="n"/>
      <c r="J3" s="281" t="n"/>
      <c r="K3" s="281" t="n"/>
      <c r="L3" s="281" t="n"/>
      <c r="M3" s="281" t="n"/>
      <c r="N3" s="281" t="n"/>
      <c r="O3" s="284" t="n"/>
      <c r="P3" s="284" t="n"/>
    </row>
    <row r="4" ht="24" customHeight="1" s="140">
      <c r="A4" s="286" t="inlineStr">
        <is>
          <t>구분</t>
        </is>
      </c>
      <c r="B4" s="287" t="inlineStr">
        <is>
          <t>보 정 전</t>
        </is>
      </c>
      <c r="C4" s="288" t="n"/>
      <c r="D4" s="288" t="n"/>
      <c r="E4" s="288" t="n"/>
      <c r="F4" s="288" t="n"/>
      <c r="G4" s="289" t="n"/>
      <c r="H4" s="290" t="inlineStr">
        <is>
          <t>보 정 후</t>
        </is>
      </c>
      <c r="I4" s="288" t="n"/>
      <c r="J4" s="288" t="n"/>
      <c r="K4" s="288" t="n"/>
      <c r="L4" s="288" t="n"/>
      <c r="M4" s="289" t="n"/>
      <c r="N4" s="291" t="inlineStr">
        <is>
          <t>비   고</t>
        </is>
      </c>
    </row>
    <row r="5" ht="24" customHeight="1" s="140">
      <c r="A5" s="292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93" t="inlineStr">
        <is>
          <t>보조원</t>
        </is>
      </c>
      <c r="H5" s="294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93" t="inlineStr">
        <is>
          <t>보조원</t>
        </is>
      </c>
      <c r="N5" s="295" t="inlineStr">
        <is>
          <t>보정계수</t>
        </is>
      </c>
    </row>
    <row r="6" ht="24" customHeight="1" s="140">
      <c r="A6" s="296" t="inlineStr">
        <is>
          <t>1. 조사분석</t>
        </is>
      </c>
      <c r="B6" s="297" t="n"/>
      <c r="C6" s="298" t="n"/>
      <c r="D6" s="298" t="n"/>
      <c r="E6" s="298" t="n"/>
      <c r="F6" s="298" t="n"/>
      <c r="G6" s="299" t="n"/>
      <c r="H6" s="300" t="n"/>
      <c r="I6" s="298" t="n"/>
      <c r="J6" s="298" t="n"/>
      <c r="K6" s="298" t="n"/>
      <c r="L6" s="298" t="n"/>
      <c r="M6" s="299" t="n"/>
      <c r="N6" s="301" t="n"/>
    </row>
    <row r="7" ht="24" customHeight="1" s="140">
      <c r="A7" s="302" t="inlineStr">
        <is>
          <t>1.1 개발여건분석</t>
        </is>
      </c>
      <c r="B7" s="69" t="n">
        <v>1</v>
      </c>
      <c r="C7" s="19" t="n">
        <v>2</v>
      </c>
      <c r="D7" s="19" t="n">
        <v>3.9</v>
      </c>
      <c r="E7" s="19" t="n">
        <v>5.6</v>
      </c>
      <c r="F7" s="19" t="n">
        <v>8.199999999999999</v>
      </c>
      <c r="G7" s="303" t="n"/>
      <c r="H7" s="304">
        <f>ROUND(B7*N7,2)</f>
        <v/>
      </c>
      <c r="I7" s="19">
        <f>ROUND(C7*N7,2)</f>
        <v/>
      </c>
      <c r="J7" s="19">
        <f>ROUND(D7*N7,2)</f>
        <v/>
      </c>
      <c r="K7" s="19">
        <f>ROUND(E7*N7,2)</f>
        <v/>
      </c>
      <c r="L7" s="19">
        <f>ROUND(F7*N7,2)</f>
        <v/>
      </c>
      <c r="M7" s="303" t="n"/>
      <c r="N7" s="305">
        <f>$G$3</f>
        <v/>
      </c>
    </row>
    <row r="8" ht="24" customHeight="1" s="140">
      <c r="A8" s="302" t="inlineStr">
        <is>
          <t>1.2 입지여건분석</t>
        </is>
      </c>
      <c r="B8" s="69" t="n">
        <v>1.2</v>
      </c>
      <c r="C8" s="19" t="n">
        <v>2.6</v>
      </c>
      <c r="D8" s="19" t="n">
        <v>4.9</v>
      </c>
      <c r="E8" s="19" t="n">
        <v>6.2</v>
      </c>
      <c r="F8" s="19" t="n">
        <v>8.6</v>
      </c>
      <c r="G8" s="303" t="n"/>
      <c r="H8" s="304">
        <f>ROUND(B8*N8,2)</f>
        <v/>
      </c>
      <c r="I8" s="19">
        <f>ROUND(C8*N8,2)</f>
        <v/>
      </c>
      <c r="J8" s="19">
        <f>ROUND(D8*N8,2)</f>
        <v/>
      </c>
      <c r="K8" s="19">
        <f>ROUND(E8*N8,2)</f>
        <v/>
      </c>
      <c r="L8" s="19">
        <f>ROUND(F8*N8,2)</f>
        <v/>
      </c>
      <c r="M8" s="303" t="n"/>
      <c r="N8" s="305">
        <f>$G$3</f>
        <v/>
      </c>
    </row>
    <row r="9" ht="24" customHeight="1" s="140">
      <c r="A9" s="302" t="inlineStr">
        <is>
          <t>1.3 관광자원분석</t>
        </is>
      </c>
      <c r="B9" s="69" t="n">
        <v>1.3</v>
      </c>
      <c r="C9" s="19" t="n">
        <v>2.2</v>
      </c>
      <c r="D9" s="19" t="n">
        <v>5</v>
      </c>
      <c r="E9" s="19" t="n">
        <v>6.3</v>
      </c>
      <c r="F9" s="19" t="n">
        <v>8.699999999999999</v>
      </c>
      <c r="G9" s="303" t="n"/>
      <c r="H9" s="304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303" t="n"/>
      <c r="N9" s="305">
        <f>$G$3</f>
        <v/>
      </c>
    </row>
    <row r="10" ht="24" customHeight="1" s="140">
      <c r="A10" s="302" t="inlineStr">
        <is>
          <t>1.4 종합분석</t>
        </is>
      </c>
      <c r="B10" s="69" t="n">
        <v>1.6</v>
      </c>
      <c r="C10" s="19" t="n">
        <v>3.2</v>
      </c>
      <c r="D10" s="19" t="n">
        <v>6.5</v>
      </c>
      <c r="E10" s="19" t="n">
        <v>7.6</v>
      </c>
      <c r="F10" s="19" t="n">
        <v>10.7</v>
      </c>
      <c r="G10" s="303" t="n"/>
      <c r="H10" s="304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303" t="n"/>
      <c r="N10" s="305">
        <f>$G$3</f>
        <v/>
      </c>
    </row>
    <row r="11" ht="24" customHeight="1" s="140">
      <c r="A11" s="296" t="inlineStr">
        <is>
          <t>2. 기본구상</t>
        </is>
      </c>
      <c r="B11" s="297" t="n"/>
      <c r="C11" s="298" t="n"/>
      <c r="D11" s="298" t="n"/>
      <c r="E11" s="298" t="n"/>
      <c r="F11" s="298" t="n"/>
      <c r="G11" s="299" t="n"/>
      <c r="H11" s="300" t="n"/>
      <c r="I11" s="298" t="n"/>
      <c r="J11" s="298" t="n"/>
      <c r="K11" s="298" t="n"/>
      <c r="L11" s="298" t="n"/>
      <c r="M11" s="299" t="n"/>
      <c r="N11" s="301" t="n"/>
      <c r="O11" s="141" t="n"/>
      <c r="P11" s="141" t="n"/>
    </row>
    <row r="12" ht="24" customHeight="1" s="140">
      <c r="A12" s="302" t="inlineStr">
        <is>
          <t>2.1 개발방향설정</t>
        </is>
      </c>
      <c r="B12" s="69" t="n">
        <v>1.7</v>
      </c>
      <c r="C12" s="19" t="n">
        <v>4.5</v>
      </c>
      <c r="D12" s="19" t="n">
        <v>7.2</v>
      </c>
      <c r="E12" s="19" t="n">
        <v>7.6</v>
      </c>
      <c r="F12" s="19" t="n">
        <v>10.4</v>
      </c>
      <c r="G12" s="303" t="n"/>
      <c r="H12" s="304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303" t="n"/>
      <c r="N12" s="305">
        <f>$G$3</f>
        <v/>
      </c>
      <c r="O12" s="141" t="n"/>
      <c r="P12" s="141" t="n"/>
    </row>
    <row r="13" ht="24" customHeight="1" s="140">
      <c r="A13" s="302" t="inlineStr">
        <is>
          <t>2.2 수급분석 및 예측</t>
        </is>
      </c>
      <c r="B13" s="69" t="n">
        <v>2.2</v>
      </c>
      <c r="C13" s="19" t="n">
        <v>6</v>
      </c>
      <c r="D13" s="19" t="n">
        <v>9.6</v>
      </c>
      <c r="E13" s="19" t="n">
        <v>9.4</v>
      </c>
      <c r="F13" s="19" t="n">
        <v>12.5</v>
      </c>
      <c r="G13" s="303" t="n"/>
      <c r="H13" s="304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303" t="n"/>
      <c r="N13" s="305">
        <f>$G$3</f>
        <v/>
      </c>
      <c r="O13" s="141" t="n"/>
      <c r="P13" s="141" t="n"/>
    </row>
    <row r="14" ht="24" customHeight="1" s="140">
      <c r="A14" s="302" t="inlineStr">
        <is>
          <t>2.3 공급규모 산정</t>
        </is>
      </c>
      <c r="B14" s="69" t="n">
        <v>1.8</v>
      </c>
      <c r="C14" s="19" t="n">
        <v>4.8</v>
      </c>
      <c r="D14" s="19" t="n">
        <v>8.300000000000001</v>
      </c>
      <c r="E14" s="19" t="n">
        <v>9</v>
      </c>
      <c r="F14" s="19" t="n">
        <v>12.5</v>
      </c>
      <c r="G14" s="303" t="n"/>
      <c r="H14" s="304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303" t="n"/>
      <c r="N14" s="305">
        <f>$G$3</f>
        <v/>
      </c>
      <c r="O14" s="141" t="n"/>
      <c r="P14" s="141" t="n"/>
    </row>
    <row r="15" ht="24" customHeight="1" s="140">
      <c r="A15" s="302" t="inlineStr">
        <is>
          <t>2.4 공간구성체계</t>
        </is>
      </c>
      <c r="B15" s="69" t="n">
        <v>1.6</v>
      </c>
      <c r="C15" s="19" t="n">
        <v>4.6</v>
      </c>
      <c r="D15" s="19" t="n">
        <v>7.7</v>
      </c>
      <c r="E15" s="19" t="n">
        <v>8.6</v>
      </c>
      <c r="F15" s="19" t="n">
        <v>12.3</v>
      </c>
      <c r="G15" s="303" t="n"/>
      <c r="H15" s="304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303" t="n"/>
      <c r="N15" s="305">
        <f>$G$3</f>
        <v/>
      </c>
      <c r="O15" s="141" t="n"/>
      <c r="P15" s="141" t="n"/>
    </row>
    <row r="16" ht="24" customHeight="1" s="140">
      <c r="A16" s="302" t="inlineStr">
        <is>
          <t>2.5 동선체계구상</t>
        </is>
      </c>
      <c r="B16" s="69" t="n">
        <v>1.7</v>
      </c>
      <c r="C16" s="19" t="n">
        <v>5</v>
      </c>
      <c r="D16" s="19" t="n">
        <v>8.1</v>
      </c>
      <c r="E16" s="19" t="n">
        <v>8</v>
      </c>
      <c r="F16" s="19" t="n">
        <v>11.1</v>
      </c>
      <c r="G16" s="303" t="n"/>
      <c r="H16" s="304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303" t="n"/>
      <c r="N16" s="305">
        <f>$G$3</f>
        <v/>
      </c>
      <c r="O16" s="141" t="n"/>
      <c r="P16" s="141" t="n"/>
    </row>
    <row r="17" ht="24" customHeight="1" s="140">
      <c r="A17" s="296" t="inlineStr">
        <is>
          <t>3. 기본계획</t>
        </is>
      </c>
      <c r="B17" s="297" t="n"/>
      <c r="C17" s="298" t="n"/>
      <c r="D17" s="298" t="n"/>
      <c r="E17" s="298" t="n"/>
      <c r="F17" s="298" t="n"/>
      <c r="G17" s="299" t="n"/>
      <c r="H17" s="300" t="n"/>
      <c r="I17" s="298" t="n"/>
      <c r="J17" s="298" t="n"/>
      <c r="K17" s="298" t="n"/>
      <c r="L17" s="298" t="n"/>
      <c r="M17" s="299" t="n"/>
      <c r="N17" s="301" t="n"/>
      <c r="O17" s="141" t="n"/>
      <c r="P17" s="141" t="n"/>
    </row>
    <row r="18" ht="24" customHeight="1" s="140">
      <c r="A18" s="302" t="inlineStr">
        <is>
          <t>3.1 토지이용계획</t>
        </is>
      </c>
      <c r="B18" s="69" t="n">
        <v>3</v>
      </c>
      <c r="C18" s="19" t="n">
        <v>6.7</v>
      </c>
      <c r="D18" s="19" t="n">
        <v>11.1</v>
      </c>
      <c r="E18" s="19" t="n">
        <v>12.5</v>
      </c>
      <c r="F18" s="19" t="n">
        <v>14.4</v>
      </c>
      <c r="G18" s="303" t="n"/>
      <c r="H18" s="304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303" t="n"/>
      <c r="N18" s="305">
        <f>$G$3</f>
        <v/>
      </c>
      <c r="O18" s="141" t="n"/>
      <c r="P18" s="141" t="n"/>
    </row>
    <row r="19" ht="24" customHeight="1" s="140">
      <c r="A19" s="302" t="inlineStr">
        <is>
          <t>3.2 교통동선계획</t>
        </is>
      </c>
      <c r="B19" s="69" t="n">
        <v>2.5</v>
      </c>
      <c r="C19" s="19" t="n">
        <v>5.7</v>
      </c>
      <c r="D19" s="19" t="n">
        <v>9.300000000000001</v>
      </c>
      <c r="E19" s="19" t="n">
        <v>10.5</v>
      </c>
      <c r="F19" s="19" t="n">
        <v>12.2</v>
      </c>
      <c r="G19" s="303" t="n"/>
      <c r="H19" s="304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303" t="n"/>
      <c r="N19" s="305">
        <f>$G$3</f>
        <v/>
      </c>
      <c r="O19" s="141" t="n"/>
      <c r="P19" s="141" t="n"/>
    </row>
    <row r="20" ht="24" customHeight="1" s="140">
      <c r="A20" s="302" t="inlineStr">
        <is>
          <t>3.3 시설물배치계획</t>
        </is>
      </c>
      <c r="B20" s="69" t="n">
        <v>3.1</v>
      </c>
      <c r="C20" s="19" t="n">
        <v>5.7</v>
      </c>
      <c r="D20" s="19" t="n">
        <v>9.9</v>
      </c>
      <c r="E20" s="19" t="n">
        <v>10.1</v>
      </c>
      <c r="F20" s="19" t="n">
        <v>12.8</v>
      </c>
      <c r="G20" s="303" t="n"/>
      <c r="H20" s="304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303" t="n"/>
      <c r="N20" s="305">
        <f>$G$3</f>
        <v/>
      </c>
      <c r="O20" s="141" t="n"/>
      <c r="P20" s="141" t="n"/>
    </row>
    <row r="21" ht="24" customHeight="1" s="140">
      <c r="A21" s="302" t="inlineStr">
        <is>
          <t>3.4 식재계획</t>
        </is>
      </c>
      <c r="B21" s="69" t="n">
        <v>2.1</v>
      </c>
      <c r="C21" s="19" t="n">
        <v>5</v>
      </c>
      <c r="D21" s="19" t="n">
        <v>7.7</v>
      </c>
      <c r="E21" s="19" t="n">
        <v>9.4</v>
      </c>
      <c r="F21" s="19" t="n">
        <v>13.7</v>
      </c>
      <c r="G21" s="303" t="n"/>
      <c r="H21" s="304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303" t="n"/>
      <c r="N21" s="305">
        <f>$G$3</f>
        <v/>
      </c>
      <c r="O21" s="141" t="n"/>
      <c r="P21" s="141" t="n"/>
    </row>
    <row r="22" ht="24" customHeight="1" s="140">
      <c r="A22" s="302" t="inlineStr">
        <is>
          <t>3.5 공급처리시설계획</t>
        </is>
      </c>
      <c r="B22" s="69" t="n">
        <v>2.5</v>
      </c>
      <c r="C22" s="19" t="n">
        <v>5.6</v>
      </c>
      <c r="D22" s="19" t="n">
        <v>8.6</v>
      </c>
      <c r="E22" s="19" t="n">
        <v>10.3</v>
      </c>
      <c r="F22" s="19" t="n">
        <v>12.6</v>
      </c>
      <c r="G22" s="303" t="n"/>
      <c r="H22" s="304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303" t="n"/>
      <c r="N22" s="305">
        <f>$G$3</f>
        <v/>
      </c>
      <c r="O22" s="141" t="n"/>
      <c r="P22" s="141" t="n"/>
    </row>
    <row r="23" ht="24" customHeight="1" s="140">
      <c r="A23" s="296" t="inlineStr">
        <is>
          <t>4. 집행(사업)계획</t>
        </is>
      </c>
      <c r="B23" s="297" t="n"/>
      <c r="C23" s="298" t="n"/>
      <c r="D23" s="298" t="n"/>
      <c r="E23" s="298" t="n"/>
      <c r="F23" s="298" t="n"/>
      <c r="G23" s="299" t="n"/>
      <c r="H23" s="300" t="n"/>
      <c r="I23" s="298" t="n"/>
      <c r="J23" s="298" t="n"/>
      <c r="K23" s="298" t="n"/>
      <c r="L23" s="298" t="n"/>
      <c r="M23" s="299" t="n"/>
      <c r="N23" s="301" t="n"/>
      <c r="O23" s="141" t="n"/>
      <c r="P23" s="141" t="n"/>
    </row>
    <row r="24" ht="24" customHeight="1" s="140">
      <c r="A24" s="302" t="inlineStr">
        <is>
          <t>4.1 개발추진계획</t>
        </is>
      </c>
      <c r="B24" s="69" t="n">
        <v>1.8</v>
      </c>
      <c r="C24" s="19" t="n">
        <v>4.5</v>
      </c>
      <c r="D24" s="19" t="n">
        <v>6.3</v>
      </c>
      <c r="E24" s="19" t="n">
        <v>7.7</v>
      </c>
      <c r="F24" s="19" t="n">
        <v>9.5</v>
      </c>
      <c r="G24" s="303" t="n"/>
      <c r="H24" s="304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303" t="n"/>
      <c r="N24" s="305">
        <f>$G$3</f>
        <v/>
      </c>
      <c r="O24" s="141" t="n"/>
      <c r="P24" s="141" t="n"/>
    </row>
    <row r="25" ht="24" customHeight="1" s="140">
      <c r="A25" s="302" t="inlineStr">
        <is>
          <t>4.2 관리운영계획</t>
        </is>
      </c>
      <c r="B25" s="69" t="n">
        <v>1.5</v>
      </c>
      <c r="C25" s="19" t="n">
        <v>4.1</v>
      </c>
      <c r="D25" s="19" t="n">
        <v>6</v>
      </c>
      <c r="E25" s="19" t="n">
        <v>7.7</v>
      </c>
      <c r="F25" s="19" t="n">
        <v>9.199999999999999</v>
      </c>
      <c r="G25" s="303" t="n"/>
      <c r="H25" s="304">
        <f>ROUND(B25*N25,2)</f>
        <v/>
      </c>
      <c r="I25" s="19">
        <f>ROUND(C25*N25,2)</f>
        <v/>
      </c>
      <c r="J25" s="19">
        <f>ROUND(D25*N25,2)</f>
        <v/>
      </c>
      <c r="K25" s="19">
        <f>ROUND(E25*N25,2)</f>
        <v/>
      </c>
      <c r="L25" s="19">
        <f>ROUND(F25*N25,2)</f>
        <v/>
      </c>
      <c r="M25" s="303" t="n"/>
      <c r="N25" s="305">
        <f>$G$3</f>
        <v/>
      </c>
      <c r="O25" s="141" t="n"/>
      <c r="P25" s="141" t="n"/>
    </row>
    <row r="26" ht="24" customHeight="1" s="140">
      <c r="A26" s="296" t="inlineStr">
        <is>
          <t>5. 성과품 작성</t>
        </is>
      </c>
      <c r="B26" s="297" t="n"/>
      <c r="C26" s="298" t="n"/>
      <c r="D26" s="298" t="n"/>
      <c r="E26" s="298" t="n"/>
      <c r="F26" s="298" t="n"/>
      <c r="G26" s="299" t="n"/>
      <c r="H26" s="300" t="n"/>
      <c r="I26" s="298" t="n"/>
      <c r="J26" s="298" t="n"/>
      <c r="K26" s="298" t="n"/>
      <c r="L26" s="298" t="n"/>
      <c r="M26" s="299" t="n"/>
      <c r="N26" s="301" t="n"/>
      <c r="O26" s="141" t="n"/>
      <c r="P26" s="141" t="n"/>
    </row>
    <row r="27" ht="24" customHeight="1" s="140">
      <c r="A27" s="302" t="inlineStr">
        <is>
          <t>5.1 보고서</t>
        </is>
      </c>
      <c r="B27" s="69" t="n">
        <v>1.4</v>
      </c>
      <c r="C27" s="19" t="n">
        <v>2.8</v>
      </c>
      <c r="D27" s="19" t="n">
        <v>5.4</v>
      </c>
      <c r="E27" s="19" t="n">
        <v>8.5</v>
      </c>
      <c r="F27" s="19" t="n">
        <v>10.6</v>
      </c>
      <c r="G27" s="303" t="n"/>
      <c r="H27" s="304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303" t="n"/>
      <c r="N27" s="305">
        <f>$G$3</f>
        <v/>
      </c>
      <c r="O27" s="141" t="n"/>
      <c r="P27" s="141" t="n"/>
    </row>
    <row r="28" ht="24" customHeight="1" s="140">
      <c r="A28" s="302" t="inlineStr">
        <is>
          <t>5.2 관련 도서</t>
        </is>
      </c>
      <c r="B28" s="69" t="n">
        <v>2.7</v>
      </c>
      <c r="C28" s="19" t="n">
        <v>5.6</v>
      </c>
      <c r="D28" s="19" t="n">
        <v>10.7</v>
      </c>
      <c r="E28" s="19" t="n">
        <v>16.9</v>
      </c>
      <c r="F28" s="19" t="n">
        <v>21.4</v>
      </c>
      <c r="G28" s="303" t="n"/>
      <c r="H28" s="304">
        <f>ROUND(B28*N28,2)</f>
        <v/>
      </c>
      <c r="I28" s="19">
        <f>ROUND(C28*N28,2)</f>
        <v/>
      </c>
      <c r="J28" s="19">
        <f>ROUND(D28*N28,2)</f>
        <v/>
      </c>
      <c r="K28" s="19">
        <f>ROUND(E28*N28,2)</f>
        <v/>
      </c>
      <c r="L28" s="19">
        <f>ROUND(F28*N28,2)</f>
        <v/>
      </c>
      <c r="M28" s="303" t="n"/>
      <c r="N28" s="305">
        <f>$G$3</f>
        <v/>
      </c>
      <c r="O28" s="141" t="n"/>
      <c r="P28" s="141" t="n"/>
    </row>
    <row r="29" ht="24" customHeight="1" s="140">
      <c r="A29" s="296" t="inlineStr">
        <is>
          <t>6. 기술협의</t>
        </is>
      </c>
      <c r="B29" s="297" t="n"/>
      <c r="C29" s="298" t="n"/>
      <c r="D29" s="298" t="n"/>
      <c r="E29" s="298" t="n"/>
      <c r="F29" s="298" t="n"/>
      <c r="G29" s="299" t="n"/>
      <c r="H29" s="300" t="n"/>
      <c r="I29" s="298" t="n"/>
      <c r="J29" s="298" t="n"/>
      <c r="K29" s="298" t="n"/>
      <c r="L29" s="298" t="n"/>
      <c r="M29" s="299" t="n"/>
      <c r="N29" s="301" t="n"/>
      <c r="O29" s="141" t="n"/>
      <c r="P29" s="141" t="n"/>
    </row>
    <row r="30" ht="24" customHeight="1" s="140">
      <c r="A30" s="302" t="inlineStr">
        <is>
          <t>6.1 주민의견청취ㆍ주민공람</t>
        </is>
      </c>
      <c r="B30" s="69" t="n">
        <v>3</v>
      </c>
      <c r="C30" s="19" t="n">
        <v>3</v>
      </c>
      <c r="D30" s="19" t="n">
        <v>3</v>
      </c>
      <c r="E30" s="19" t="n">
        <v>6</v>
      </c>
      <c r="F30" s="19" t="n">
        <v>6</v>
      </c>
      <c r="G30" s="303" t="n"/>
      <c r="H30" s="304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303" t="n"/>
      <c r="N30" s="305" t="n">
        <v>1</v>
      </c>
      <c r="O30" s="141" t="n"/>
      <c r="P30" s="141" t="n"/>
    </row>
    <row r="31" ht="24" customHeight="1" s="140">
      <c r="A31" s="302" t="inlineStr">
        <is>
          <t>6.2 주민설명회ㆍ공청회</t>
        </is>
      </c>
      <c r="B31" s="69" t="n">
        <v>3</v>
      </c>
      <c r="C31" s="19" t="n">
        <v>3</v>
      </c>
      <c r="D31" s="19" t="n">
        <v>3</v>
      </c>
      <c r="E31" s="19" t="n">
        <v>6</v>
      </c>
      <c r="F31" s="19" t="n">
        <v>6</v>
      </c>
      <c r="G31" s="303" t="n"/>
      <c r="H31" s="304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303" t="n"/>
      <c r="N31" s="305" t="n">
        <v>1</v>
      </c>
      <c r="O31" s="141" t="n"/>
      <c r="P31" s="141" t="n"/>
    </row>
    <row r="32" ht="24" customHeight="1" s="140">
      <c r="A32" s="302" t="inlineStr">
        <is>
          <t>6.3 관계기관협의</t>
        </is>
      </c>
      <c r="B32" s="69" t="n">
        <v>4</v>
      </c>
      <c r="C32" s="19" t="n">
        <v>4</v>
      </c>
      <c r="D32" s="19" t="n">
        <v>4</v>
      </c>
      <c r="E32" s="19" t="n">
        <v>8</v>
      </c>
      <c r="F32" s="19" t="n">
        <v>8</v>
      </c>
      <c r="G32" s="303" t="n"/>
      <c r="H32" s="304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303" t="n"/>
      <c r="N32" s="305" t="n">
        <v>1</v>
      </c>
      <c r="O32" s="141" t="n"/>
      <c r="P32" s="141" t="n"/>
    </row>
    <row r="33" ht="24" customHeight="1" s="140">
      <c r="A33" s="302" t="inlineStr">
        <is>
          <t>6.4 협의의견 조정ㆍ반영</t>
        </is>
      </c>
      <c r="B33" s="69" t="n">
        <v>10</v>
      </c>
      <c r="C33" s="19" t="n">
        <v>10</v>
      </c>
      <c r="D33" s="19" t="n">
        <v>10</v>
      </c>
      <c r="E33" s="19" t="n">
        <v>13</v>
      </c>
      <c r="F33" s="19" t="n">
        <v>13</v>
      </c>
      <c r="G33" s="303" t="n"/>
      <c r="H33" s="304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303" t="n"/>
      <c r="N33" s="305" t="n">
        <v>1</v>
      </c>
      <c r="O33" s="141" t="n"/>
      <c r="P33" s="141" t="n"/>
    </row>
    <row r="34" ht="24" customHeight="1" s="140">
      <c r="A34" s="302" t="inlineStr">
        <is>
          <t>6.5 의회의견 청취</t>
        </is>
      </c>
      <c r="B34" s="69" t="n">
        <v>2</v>
      </c>
      <c r="C34" s="19" t="n">
        <v>2</v>
      </c>
      <c r="D34" s="19" t="n">
        <v>2</v>
      </c>
      <c r="E34" s="19" t="n">
        <v>4</v>
      </c>
      <c r="F34" s="19" t="n">
        <v>4</v>
      </c>
      <c r="G34" s="303" t="n"/>
      <c r="H34" s="304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303" t="n"/>
      <c r="N34" s="305" t="n">
        <v>1</v>
      </c>
      <c r="O34" s="141" t="n"/>
      <c r="P34" s="141" t="n"/>
    </row>
    <row r="35" ht="24" customHeight="1" s="140">
      <c r="A35" s="302" t="inlineStr">
        <is>
          <t>6.6 위원회 자문ㆍ심의지원</t>
        </is>
      </c>
      <c r="B35" s="69" t="n">
        <v>4</v>
      </c>
      <c r="C35" s="19" t="n">
        <v>4</v>
      </c>
      <c r="D35" s="19" t="n">
        <v>4</v>
      </c>
      <c r="E35" s="19" t="n">
        <v>8</v>
      </c>
      <c r="F35" s="19" t="n">
        <v>8</v>
      </c>
      <c r="G35" s="303" t="n"/>
      <c r="H35" s="304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303" t="n"/>
      <c r="N35" s="305" t="n">
        <v>1</v>
      </c>
      <c r="O35" s="141" t="n"/>
      <c r="P35" s="141" t="n"/>
    </row>
    <row r="36" ht="24" customHeight="1" s="140">
      <c r="A36" s="306" t="inlineStr">
        <is>
          <t>소 계</t>
        </is>
      </c>
      <c r="B36" s="307">
        <f>SUM(B6:B35)</f>
        <v/>
      </c>
      <c r="C36" s="308">
        <f>SUM(C6:C35)</f>
        <v/>
      </c>
      <c r="D36" s="308">
        <f>SUM(D6:D35)</f>
        <v/>
      </c>
      <c r="E36" s="308">
        <f>SUM(E6:E35)</f>
        <v/>
      </c>
      <c r="F36" s="308">
        <f>SUM(F6:F35)</f>
        <v/>
      </c>
      <c r="G36" s="309" t="n"/>
      <c r="H36" s="310">
        <f>SUM(H6:H35)</f>
        <v/>
      </c>
      <c r="I36" s="311">
        <f>SUM(I6:I35)</f>
        <v/>
      </c>
      <c r="J36" s="311">
        <f>SUM(J6:J35)</f>
        <v/>
      </c>
      <c r="K36" s="311">
        <f>SUM(K6:K35)</f>
        <v/>
      </c>
      <c r="L36" s="311">
        <f>SUM(L6:L35)</f>
        <v/>
      </c>
      <c r="M36" s="309" t="n"/>
      <c r="N36" s="312" t="n"/>
    </row>
    <row r="37" ht="17.1" customHeight="1" s="140">
      <c r="A37" s="313">
        <f>'10-1 관광(단)지 계획_PDF'!A44</f>
        <v/>
      </c>
      <c r="B37" s="314" t="n"/>
      <c r="C37" s="314" t="n"/>
      <c r="D37" s="314" t="n"/>
      <c r="E37" s="314" t="n"/>
      <c r="F37" s="314" t="n"/>
      <c r="G37" s="314" t="n"/>
      <c r="H37" s="314" t="n"/>
      <c r="I37" s="315" t="n"/>
      <c r="J37" s="315" t="n"/>
      <c r="K37" s="316" t="n"/>
      <c r="L37" s="315" t="n"/>
      <c r="M37" s="315" t="n"/>
      <c r="N37" s="315" t="n"/>
      <c r="O37" s="317" t="n"/>
      <c r="P37" s="317" t="n"/>
    </row>
    <row r="38" ht="17.1" customHeight="1" s="140">
      <c r="A38" s="313">
        <f>'10-1 관광(단)지 계획_PDF'!A45</f>
        <v/>
      </c>
      <c r="B38" s="314" t="n"/>
      <c r="C38" s="314" t="n"/>
      <c r="D38" s="314" t="n"/>
      <c r="E38" s="314" t="n"/>
      <c r="F38" s="314" t="n"/>
      <c r="G38" s="314" t="n"/>
      <c r="H38" s="314" t="n"/>
      <c r="I38" s="315" t="n"/>
      <c r="J38" s="315" t="n"/>
      <c r="K38" s="316" t="n"/>
      <c r="L38" s="315" t="n"/>
      <c r="M38" s="315" t="n"/>
      <c r="N38" s="315" t="n"/>
      <c r="O38" s="317" t="n"/>
      <c r="P38" s="317" t="n"/>
    </row>
    <row r="39" ht="17.1" customHeight="1" s="140">
      <c r="A39" s="313">
        <f>'10-1 관광(단)지 계획_PDF'!A46</f>
        <v/>
      </c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  <c r="N39" s="319" t="n"/>
      <c r="O39" s="317" t="n"/>
      <c r="P39" s="317" t="n"/>
    </row>
    <row r="40" ht="17.1" customHeight="1" s="140">
      <c r="A40" s="313">
        <f>'10-1 관광(단)지 계획_PDF'!A47</f>
        <v/>
      </c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  <c r="N40" s="319" t="n"/>
      <c r="O40" s="317" t="n"/>
      <c r="P40" s="317" t="n"/>
    </row>
    <row r="41" ht="17.1" customHeight="1" s="140">
      <c r="A41" s="313">
        <f>'10-1 관광(단)지 계획_PDF'!A48</f>
        <v/>
      </c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  <c r="N41" s="319" t="n"/>
      <c r="O41" s="317" t="n"/>
      <c r="P41" s="317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  <col width="10" customWidth="1" style="140" min="9" max="9"/>
    <col width="10" customWidth="1" style="140" min="10" max="10"/>
  </cols>
  <sheetData>
    <row r="1">
      <c r="A1" s="320" t="inlineStr">
        <is>
          <t>출처 PDF</t>
        </is>
      </c>
      <c r="B1" s="0" t="inlineStr">
        <is>
          <t>C:\Users\saman\Desktop\Ai 실습\_새 폴더\10-1 관광(단)지 계획.pdf</t>
        </is>
      </c>
    </row>
    <row r="2">
      <c r="A2" s="320" t="inlineStr">
        <is>
          <t>쪽수</t>
        </is>
      </c>
      <c r="B2" s="0" t="n">
        <v>1</v>
      </c>
    </row>
    <row r="3">
      <c r="A3" s="320" t="inlineStr">
        <is>
          <t>추출일시</t>
        </is>
      </c>
      <c r="B3" s="0" t="inlineStr">
        <is>
          <t>2026-05-14 16:24:30</t>
        </is>
      </c>
    </row>
    <row r="4"/>
    <row r="5">
      <c r="A5" s="321" t="inlineStr">
        <is>
          <t>상단 머릿글</t>
        </is>
      </c>
    </row>
    <row r="6">
      <c r="A6" s="322" t="inlineStr">
        <is>
          <t>국토계획 제10장 관광레저분야</t>
        </is>
      </c>
    </row>
    <row r="7">
      <c r="A7" s="322" t="inlineStr">
        <is>
          <t>라. 투입인원수 산정기준</t>
        </is>
      </c>
    </row>
    <row r="8"/>
    <row r="9">
      <c r="A9" s="321" t="inlineStr">
        <is>
          <t>표 1</t>
        </is>
      </c>
    </row>
    <row r="10">
      <c r="A10" s="322" t="inlineStr">
        <is>
          <t>기본업무</t>
        </is>
      </c>
      <c r="B10" s="322" t="inlineStr">
        <is>
          <t>단위</t>
        </is>
      </c>
      <c r="C10" s="322" t="inlineStr">
        <is>
          <t>기준인원수(인ㆍ일/단위)</t>
        </is>
      </c>
      <c r="D10" s="322" t="inlineStr"/>
      <c r="E10" s="322" t="inlineStr"/>
      <c r="F10" s="322" t="inlineStr"/>
      <c r="G10" s="322" t="inlineStr"/>
      <c r="H10" s="322" t="inlineStr">
        <is>
          <t>환산
계수</t>
        </is>
      </c>
      <c r="I10" s="322" t="inlineStr">
        <is>
          <t>보정 계수</t>
        </is>
      </c>
      <c r="J10" s="322" t="inlineStr"/>
    </row>
    <row r="11">
      <c r="A11" s="322" t="inlineStr"/>
      <c r="B11" s="322" t="inlineStr"/>
      <c r="C11" s="322" t="inlineStr">
        <is>
          <t>기술사</t>
        </is>
      </c>
      <c r="D11" s="322" t="inlineStr">
        <is>
          <t>특 급
기술자</t>
        </is>
      </c>
      <c r="E11" s="322" t="inlineStr">
        <is>
          <t>고 급
기술자</t>
        </is>
      </c>
      <c r="F11" s="322" t="inlineStr">
        <is>
          <t>중 급
기술자</t>
        </is>
      </c>
      <c r="G11" s="322" t="inlineStr">
        <is>
          <t>초 급
기술자</t>
        </is>
      </c>
      <c r="H11" s="322" t="inlineStr"/>
      <c r="I11" s="322" t="inlineStr">
        <is>
          <t>㉮</t>
        </is>
      </c>
      <c r="J11" s="322" t="inlineStr">
        <is>
          <t>㉯</t>
        </is>
      </c>
    </row>
    <row r="12">
      <c r="A12" s="322" t="inlineStr">
        <is>
          <t>1. 조사분석</t>
        </is>
      </c>
      <c r="B12" s="322" t="inlineStr"/>
      <c r="C12" s="322" t="inlineStr"/>
      <c r="D12" s="322" t="inlineStr"/>
      <c r="E12" s="322" t="inlineStr"/>
      <c r="F12" s="322" t="inlineStr"/>
      <c r="G12" s="322" t="inlineStr"/>
      <c r="H12" s="322" t="inlineStr"/>
      <c r="I12" s="322" t="inlineStr"/>
      <c r="J12" s="322" t="inlineStr"/>
    </row>
    <row r="13">
      <c r="A13" s="322" t="inlineStr">
        <is>
          <t>1.1 개발여건분석</t>
        </is>
      </c>
      <c r="B13" s="322" t="inlineStr">
        <is>
          <t>20만㎡</t>
        </is>
      </c>
      <c r="C13" s="322" t="inlineStr">
        <is>
          <t>1.0</t>
        </is>
      </c>
      <c r="D13" s="322" t="inlineStr">
        <is>
          <t>2.0</t>
        </is>
      </c>
      <c r="E13" s="322" t="inlineStr">
        <is>
          <t>3.9</t>
        </is>
      </c>
      <c r="F13" s="322" t="inlineStr">
        <is>
          <t>5.6</t>
        </is>
      </c>
      <c r="G13" s="322" t="inlineStr">
        <is>
          <t>8.2</t>
        </is>
      </c>
      <c r="H13" s="322" t="inlineStr">
        <is>
          <t>①</t>
        </is>
      </c>
      <c r="I13" s="322" t="inlineStr">
        <is>
          <t>●</t>
        </is>
      </c>
      <c r="J13" s="322" t="inlineStr">
        <is>
          <t>●</t>
        </is>
      </c>
    </row>
    <row r="14">
      <c r="A14" s="322" t="inlineStr">
        <is>
          <t>1.2 입지여건분석</t>
        </is>
      </c>
      <c r="B14" s="322" t="inlineStr">
        <is>
          <t>20만㎡</t>
        </is>
      </c>
      <c r="C14" s="322" t="inlineStr">
        <is>
          <t>1.2</t>
        </is>
      </c>
      <c r="D14" s="322" t="inlineStr">
        <is>
          <t>2.6</t>
        </is>
      </c>
      <c r="E14" s="322" t="inlineStr">
        <is>
          <t>4.9</t>
        </is>
      </c>
      <c r="F14" s="322" t="inlineStr">
        <is>
          <t>6.2</t>
        </is>
      </c>
      <c r="G14" s="322" t="inlineStr">
        <is>
          <t>8.6</t>
        </is>
      </c>
      <c r="H14" s="322" t="inlineStr">
        <is>
          <t>①</t>
        </is>
      </c>
      <c r="I14" s="322" t="inlineStr">
        <is>
          <t>●</t>
        </is>
      </c>
      <c r="J14" s="322" t="inlineStr">
        <is>
          <t>●</t>
        </is>
      </c>
    </row>
    <row r="15">
      <c r="A15" s="322" t="inlineStr">
        <is>
          <t>1.3 관광자원분석</t>
        </is>
      </c>
      <c r="B15" s="322" t="inlineStr">
        <is>
          <t>20만㎡</t>
        </is>
      </c>
      <c r="C15" s="322" t="inlineStr">
        <is>
          <t>1.3</t>
        </is>
      </c>
      <c r="D15" s="322" t="inlineStr">
        <is>
          <t>2.2</t>
        </is>
      </c>
      <c r="E15" s="322" t="inlineStr">
        <is>
          <t>5.0</t>
        </is>
      </c>
      <c r="F15" s="322" t="inlineStr">
        <is>
          <t>6.3</t>
        </is>
      </c>
      <c r="G15" s="322" t="inlineStr">
        <is>
          <t>8.7</t>
        </is>
      </c>
      <c r="H15" s="322" t="inlineStr">
        <is>
          <t>①</t>
        </is>
      </c>
      <c r="I15" s="322" t="inlineStr">
        <is>
          <t>●</t>
        </is>
      </c>
      <c r="J15" s="322" t="inlineStr">
        <is>
          <t>●</t>
        </is>
      </c>
    </row>
    <row r="16">
      <c r="A16" s="322" t="inlineStr">
        <is>
          <t>1.4 종합분석</t>
        </is>
      </c>
      <c r="B16" s="322" t="inlineStr">
        <is>
          <t>20만㎡</t>
        </is>
      </c>
      <c r="C16" s="322" t="inlineStr">
        <is>
          <t>1.6</t>
        </is>
      </c>
      <c r="D16" s="322" t="inlineStr">
        <is>
          <t>3.2</t>
        </is>
      </c>
      <c r="E16" s="322" t="inlineStr">
        <is>
          <t>6.5</t>
        </is>
      </c>
      <c r="F16" s="322" t="inlineStr">
        <is>
          <t>7.6</t>
        </is>
      </c>
      <c r="G16" s="322" t="inlineStr">
        <is>
          <t>10.7</t>
        </is>
      </c>
      <c r="H16" s="322" t="inlineStr">
        <is>
          <t>①</t>
        </is>
      </c>
      <c r="I16" s="322" t="inlineStr">
        <is>
          <t>●</t>
        </is>
      </c>
      <c r="J16" s="322" t="inlineStr">
        <is>
          <t>●</t>
        </is>
      </c>
    </row>
    <row r="17">
      <c r="A17" s="322" t="inlineStr">
        <is>
          <t>2. 기본구상</t>
        </is>
      </c>
      <c r="B17" s="322" t="inlineStr"/>
      <c r="C17" s="322" t="inlineStr"/>
      <c r="D17" s="322" t="inlineStr"/>
      <c r="E17" s="322" t="inlineStr"/>
      <c r="F17" s="322" t="inlineStr"/>
      <c r="G17" s="322" t="inlineStr"/>
      <c r="H17" s="322" t="inlineStr"/>
      <c r="I17" s="322" t="inlineStr"/>
      <c r="J17" s="322" t="inlineStr"/>
    </row>
    <row r="18">
      <c r="A18" s="322" t="inlineStr">
        <is>
          <t>2.1 개발방향설정</t>
        </is>
      </c>
      <c r="B18" s="322" t="inlineStr">
        <is>
          <t>20만㎡</t>
        </is>
      </c>
      <c r="C18" s="322" t="inlineStr">
        <is>
          <t>1.7</t>
        </is>
      </c>
      <c r="D18" s="322" t="inlineStr">
        <is>
          <t>4.5</t>
        </is>
      </c>
      <c r="E18" s="322" t="inlineStr">
        <is>
          <t>7.2</t>
        </is>
      </c>
      <c r="F18" s="322" t="inlineStr">
        <is>
          <t>7.6</t>
        </is>
      </c>
      <c r="G18" s="322" t="inlineStr">
        <is>
          <t>10.4</t>
        </is>
      </c>
      <c r="H18" s="322" t="inlineStr">
        <is>
          <t>①</t>
        </is>
      </c>
      <c r="I18" s="322" t="inlineStr">
        <is>
          <t>●</t>
        </is>
      </c>
      <c r="J18" s="322" t="inlineStr">
        <is>
          <t>●</t>
        </is>
      </c>
    </row>
    <row r="19">
      <c r="A19" s="322" t="inlineStr">
        <is>
          <t>2.2 수급분석 및 예측</t>
        </is>
      </c>
      <c r="B19" s="322" t="inlineStr">
        <is>
          <t>20만㎡</t>
        </is>
      </c>
      <c r="C19" s="322" t="inlineStr">
        <is>
          <t>2.2</t>
        </is>
      </c>
      <c r="D19" s="322" t="inlineStr">
        <is>
          <t>6.0</t>
        </is>
      </c>
      <c r="E19" s="322" t="inlineStr">
        <is>
          <t>9.6</t>
        </is>
      </c>
      <c r="F19" s="322" t="inlineStr">
        <is>
          <t>9.4</t>
        </is>
      </c>
      <c r="G19" s="322" t="inlineStr">
        <is>
          <t>12.5</t>
        </is>
      </c>
      <c r="H19" s="322" t="inlineStr">
        <is>
          <t>①</t>
        </is>
      </c>
      <c r="I19" s="322" t="inlineStr">
        <is>
          <t>●</t>
        </is>
      </c>
      <c r="J19" s="322" t="inlineStr">
        <is>
          <t>●</t>
        </is>
      </c>
    </row>
    <row r="20">
      <c r="A20" s="322" t="inlineStr">
        <is>
          <t>2.3 공급규모 산정</t>
        </is>
      </c>
      <c r="B20" s="322" t="inlineStr">
        <is>
          <t>20만㎡</t>
        </is>
      </c>
      <c r="C20" s="322" t="inlineStr">
        <is>
          <t>1.8</t>
        </is>
      </c>
      <c r="D20" s="322" t="inlineStr">
        <is>
          <t>4.8</t>
        </is>
      </c>
      <c r="E20" s="322" t="inlineStr">
        <is>
          <t>8.3</t>
        </is>
      </c>
      <c r="F20" s="322" t="inlineStr">
        <is>
          <t>9.0</t>
        </is>
      </c>
      <c r="G20" s="322" t="inlineStr">
        <is>
          <t>12.5</t>
        </is>
      </c>
      <c r="H20" s="322" t="inlineStr">
        <is>
          <t>①</t>
        </is>
      </c>
      <c r="I20" s="322" t="inlineStr">
        <is>
          <t>●</t>
        </is>
      </c>
      <c r="J20" s="322" t="inlineStr">
        <is>
          <t>●</t>
        </is>
      </c>
    </row>
    <row r="21">
      <c r="A21" s="322" t="inlineStr">
        <is>
          <t>2.4 공간구성체계</t>
        </is>
      </c>
      <c r="B21" s="322" t="inlineStr">
        <is>
          <t>20만㎡</t>
        </is>
      </c>
      <c r="C21" s="322" t="inlineStr">
        <is>
          <t>1.6</t>
        </is>
      </c>
      <c r="D21" s="322" t="inlineStr">
        <is>
          <t>4.6</t>
        </is>
      </c>
      <c r="E21" s="322" t="inlineStr">
        <is>
          <t>7.7</t>
        </is>
      </c>
      <c r="F21" s="322" t="inlineStr">
        <is>
          <t>8.6</t>
        </is>
      </c>
      <c r="G21" s="322" t="inlineStr">
        <is>
          <t>12.3</t>
        </is>
      </c>
      <c r="H21" s="322" t="inlineStr">
        <is>
          <t>①</t>
        </is>
      </c>
      <c r="I21" s="322" t="inlineStr">
        <is>
          <t>●</t>
        </is>
      </c>
      <c r="J21" s="322" t="inlineStr">
        <is>
          <t>●</t>
        </is>
      </c>
    </row>
    <row r="22">
      <c r="A22" s="322" t="inlineStr">
        <is>
          <t>2.5 동선체계구상</t>
        </is>
      </c>
      <c r="B22" s="322" t="inlineStr">
        <is>
          <t>20만㎡</t>
        </is>
      </c>
      <c r="C22" s="322" t="inlineStr">
        <is>
          <t>1.7</t>
        </is>
      </c>
      <c r="D22" s="322" t="inlineStr">
        <is>
          <t>5.0</t>
        </is>
      </c>
      <c r="E22" s="322" t="inlineStr">
        <is>
          <t>8.1</t>
        </is>
      </c>
      <c r="F22" s="322" t="inlineStr">
        <is>
          <t>8.0</t>
        </is>
      </c>
      <c r="G22" s="322" t="inlineStr">
        <is>
          <t>11.1</t>
        </is>
      </c>
      <c r="H22" s="322" t="inlineStr">
        <is>
          <t>①</t>
        </is>
      </c>
      <c r="I22" s="322" t="inlineStr">
        <is>
          <t>●</t>
        </is>
      </c>
      <c r="J22" s="322" t="inlineStr">
        <is>
          <t>●</t>
        </is>
      </c>
    </row>
    <row r="23">
      <c r="A23" s="322" t="inlineStr">
        <is>
          <t>3. 기본계획</t>
        </is>
      </c>
      <c r="B23" s="322" t="inlineStr"/>
      <c r="C23" s="322" t="inlineStr"/>
      <c r="D23" s="322" t="inlineStr"/>
      <c r="E23" s="322" t="inlineStr"/>
      <c r="F23" s="322" t="inlineStr"/>
      <c r="G23" s="322" t="inlineStr"/>
      <c r="H23" s="322" t="inlineStr"/>
      <c r="I23" s="322" t="inlineStr"/>
      <c r="J23" s="322" t="inlineStr"/>
    </row>
    <row r="24">
      <c r="A24" s="322" t="inlineStr">
        <is>
          <t>3.1 토지이용계획</t>
        </is>
      </c>
      <c r="B24" s="322" t="inlineStr">
        <is>
          <t>20만㎡</t>
        </is>
      </c>
      <c r="C24" s="322" t="inlineStr">
        <is>
          <t>3.0</t>
        </is>
      </c>
      <c r="D24" s="322" t="inlineStr">
        <is>
          <t>6.7</t>
        </is>
      </c>
      <c r="E24" s="322" t="inlineStr">
        <is>
          <t>11.1</t>
        </is>
      </c>
      <c r="F24" s="322" t="inlineStr">
        <is>
          <t>12.5</t>
        </is>
      </c>
      <c r="G24" s="322" t="inlineStr">
        <is>
          <t>14.4</t>
        </is>
      </c>
      <c r="H24" s="322" t="inlineStr">
        <is>
          <t>①</t>
        </is>
      </c>
      <c r="I24" s="322" t="inlineStr">
        <is>
          <t>●</t>
        </is>
      </c>
      <c r="J24" s="322" t="inlineStr">
        <is>
          <t>●</t>
        </is>
      </c>
    </row>
    <row r="25">
      <c r="A25" s="322" t="inlineStr">
        <is>
          <t>3.2 교통동선계획</t>
        </is>
      </c>
      <c r="B25" s="322" t="inlineStr">
        <is>
          <t>20만㎡</t>
        </is>
      </c>
      <c r="C25" s="322" t="inlineStr">
        <is>
          <t>2.5</t>
        </is>
      </c>
      <c r="D25" s="322" t="inlineStr">
        <is>
          <t>5.7</t>
        </is>
      </c>
      <c r="E25" s="322" t="inlineStr">
        <is>
          <t>9.3</t>
        </is>
      </c>
      <c r="F25" s="322" t="inlineStr">
        <is>
          <t>10.5</t>
        </is>
      </c>
      <c r="G25" s="322" t="inlineStr">
        <is>
          <t>12.2</t>
        </is>
      </c>
      <c r="H25" s="322" t="inlineStr">
        <is>
          <t>①</t>
        </is>
      </c>
      <c r="I25" s="322" t="inlineStr">
        <is>
          <t>●</t>
        </is>
      </c>
      <c r="J25" s="322" t="inlineStr">
        <is>
          <t>●</t>
        </is>
      </c>
    </row>
    <row r="26">
      <c r="A26" s="322" t="inlineStr">
        <is>
          <t>3.3 시설물배치계획</t>
        </is>
      </c>
      <c r="B26" s="322" t="inlineStr">
        <is>
          <t>20만㎡</t>
        </is>
      </c>
      <c r="C26" s="322" t="inlineStr">
        <is>
          <t>3.1</t>
        </is>
      </c>
      <c r="D26" s="322" t="inlineStr">
        <is>
          <t>5.7</t>
        </is>
      </c>
      <c r="E26" s="322" t="inlineStr">
        <is>
          <t>9.9</t>
        </is>
      </c>
      <c r="F26" s="322" t="inlineStr">
        <is>
          <t>10.1</t>
        </is>
      </c>
      <c r="G26" s="322" t="inlineStr">
        <is>
          <t>12.8</t>
        </is>
      </c>
      <c r="H26" s="322" t="inlineStr">
        <is>
          <t>①</t>
        </is>
      </c>
      <c r="I26" s="322" t="inlineStr">
        <is>
          <t>●</t>
        </is>
      </c>
      <c r="J26" s="322" t="inlineStr">
        <is>
          <t>●</t>
        </is>
      </c>
    </row>
    <row r="27">
      <c r="A27" s="322" t="inlineStr">
        <is>
          <t>3.4 식재계획</t>
        </is>
      </c>
      <c r="B27" s="322" t="inlineStr">
        <is>
          <t>20만㎡</t>
        </is>
      </c>
      <c r="C27" s="322" t="inlineStr">
        <is>
          <t>2.1</t>
        </is>
      </c>
      <c r="D27" s="322" t="inlineStr">
        <is>
          <t>5.0</t>
        </is>
      </c>
      <c r="E27" s="322" t="inlineStr">
        <is>
          <t>7.7</t>
        </is>
      </c>
      <c r="F27" s="322" t="inlineStr">
        <is>
          <t>9.4</t>
        </is>
      </c>
      <c r="G27" s="322" t="inlineStr">
        <is>
          <t>13.7</t>
        </is>
      </c>
      <c r="H27" s="322" t="inlineStr">
        <is>
          <t>①</t>
        </is>
      </c>
      <c r="I27" s="322" t="inlineStr">
        <is>
          <t>●</t>
        </is>
      </c>
      <c r="J27" s="322" t="inlineStr">
        <is>
          <t>●</t>
        </is>
      </c>
    </row>
    <row r="28">
      <c r="A28" s="322" t="inlineStr">
        <is>
          <t>3.5 공급처리시설계획</t>
        </is>
      </c>
      <c r="B28" s="322" t="inlineStr">
        <is>
          <t>20만㎡</t>
        </is>
      </c>
      <c r="C28" s="322" t="inlineStr">
        <is>
          <t>2.5</t>
        </is>
      </c>
      <c r="D28" s="322" t="inlineStr">
        <is>
          <t>5.6</t>
        </is>
      </c>
      <c r="E28" s="322" t="inlineStr">
        <is>
          <t>8.6</t>
        </is>
      </c>
      <c r="F28" s="322" t="inlineStr">
        <is>
          <t>10.3</t>
        </is>
      </c>
      <c r="G28" s="322" t="inlineStr">
        <is>
          <t>12.6</t>
        </is>
      </c>
      <c r="H28" s="322" t="inlineStr">
        <is>
          <t>①</t>
        </is>
      </c>
      <c r="I28" s="322" t="inlineStr">
        <is>
          <t>●</t>
        </is>
      </c>
      <c r="J28" s="322" t="inlineStr">
        <is>
          <t>●</t>
        </is>
      </c>
    </row>
    <row r="29">
      <c r="A29" s="322" t="inlineStr">
        <is>
          <t>4. 집행(사업)계획</t>
        </is>
      </c>
      <c r="B29" s="322" t="inlineStr"/>
      <c r="C29" s="322" t="inlineStr"/>
      <c r="D29" s="322" t="inlineStr"/>
      <c r="E29" s="322" t="inlineStr"/>
      <c r="F29" s="322" t="inlineStr"/>
      <c r="G29" s="322" t="inlineStr"/>
      <c r="H29" s="322" t="inlineStr"/>
      <c r="I29" s="322" t="inlineStr"/>
      <c r="J29" s="322" t="inlineStr"/>
    </row>
    <row r="30">
      <c r="A30" s="322" t="inlineStr">
        <is>
          <t>4.1 개발추진계획</t>
        </is>
      </c>
      <c r="B30" s="322" t="inlineStr">
        <is>
          <t>20만㎡</t>
        </is>
      </c>
      <c r="C30" s="322" t="inlineStr">
        <is>
          <t>1.8</t>
        </is>
      </c>
      <c r="D30" s="322" t="inlineStr">
        <is>
          <t>4.5</t>
        </is>
      </c>
      <c r="E30" s="322" t="inlineStr">
        <is>
          <t>6.3</t>
        </is>
      </c>
      <c r="F30" s="322" t="inlineStr">
        <is>
          <t>7.7</t>
        </is>
      </c>
      <c r="G30" s="322" t="inlineStr">
        <is>
          <t>9.5</t>
        </is>
      </c>
      <c r="H30" s="322" t="inlineStr">
        <is>
          <t>①</t>
        </is>
      </c>
      <c r="I30" s="322" t="inlineStr">
        <is>
          <t>●</t>
        </is>
      </c>
      <c r="J30" s="322" t="inlineStr">
        <is>
          <t>●</t>
        </is>
      </c>
    </row>
    <row r="31">
      <c r="A31" s="322" t="inlineStr">
        <is>
          <t>4.2 관리운영계획</t>
        </is>
      </c>
      <c r="B31" s="322" t="inlineStr">
        <is>
          <t>20만㎡</t>
        </is>
      </c>
      <c r="C31" s="322" t="inlineStr">
        <is>
          <t>1.5</t>
        </is>
      </c>
      <c r="D31" s="322" t="inlineStr">
        <is>
          <t>4.1</t>
        </is>
      </c>
      <c r="E31" s="322" t="inlineStr">
        <is>
          <t>6.0</t>
        </is>
      </c>
      <c r="F31" s="322" t="inlineStr">
        <is>
          <t>7.7</t>
        </is>
      </c>
      <c r="G31" s="322" t="inlineStr">
        <is>
          <t>9.2</t>
        </is>
      </c>
      <c r="H31" s="322" t="inlineStr">
        <is>
          <t>①</t>
        </is>
      </c>
      <c r="I31" s="322" t="inlineStr">
        <is>
          <t>●</t>
        </is>
      </c>
      <c r="J31" s="322" t="inlineStr">
        <is>
          <t>●</t>
        </is>
      </c>
    </row>
    <row r="32">
      <c r="A32" s="322" t="inlineStr">
        <is>
          <t>5. 성과품 작성</t>
        </is>
      </c>
      <c r="B32" s="322" t="inlineStr"/>
      <c r="C32" s="322" t="inlineStr"/>
      <c r="D32" s="322" t="inlineStr"/>
      <c r="E32" s="322" t="inlineStr"/>
      <c r="F32" s="322" t="inlineStr"/>
      <c r="G32" s="322" t="inlineStr"/>
      <c r="H32" s="322" t="inlineStr"/>
      <c r="I32" s="322" t="inlineStr"/>
      <c r="J32" s="322" t="inlineStr"/>
    </row>
    <row r="33">
      <c r="A33" s="322" t="inlineStr">
        <is>
          <t>5.1 보고서</t>
        </is>
      </c>
      <c r="B33" s="322" t="inlineStr">
        <is>
          <t>20만㎡</t>
        </is>
      </c>
      <c r="C33" s="322" t="inlineStr">
        <is>
          <t>1.4</t>
        </is>
      </c>
      <c r="D33" s="322" t="inlineStr">
        <is>
          <t>2.8</t>
        </is>
      </c>
      <c r="E33" s="322" t="inlineStr">
        <is>
          <t>5.4</t>
        </is>
      </c>
      <c r="F33" s="322" t="inlineStr">
        <is>
          <t>8.5</t>
        </is>
      </c>
      <c r="G33" s="322" t="inlineStr">
        <is>
          <t>10.6</t>
        </is>
      </c>
      <c r="H33" s="322" t="inlineStr">
        <is>
          <t>①</t>
        </is>
      </c>
      <c r="I33" s="322" t="inlineStr">
        <is>
          <t>●</t>
        </is>
      </c>
      <c r="J33" s="322" t="inlineStr">
        <is>
          <t>●</t>
        </is>
      </c>
    </row>
    <row r="34">
      <c r="A34" s="322" t="inlineStr">
        <is>
          <t>5.2 관련 도서</t>
        </is>
      </c>
      <c r="B34" s="322" t="inlineStr">
        <is>
          <t>20만㎡</t>
        </is>
      </c>
      <c r="C34" s="322" t="inlineStr">
        <is>
          <t>2.7</t>
        </is>
      </c>
      <c r="D34" s="322" t="inlineStr">
        <is>
          <t>5.6</t>
        </is>
      </c>
      <c r="E34" s="322" t="inlineStr">
        <is>
          <t>10.7</t>
        </is>
      </c>
      <c r="F34" s="322" t="inlineStr">
        <is>
          <t>16.9</t>
        </is>
      </c>
      <c r="G34" s="322" t="inlineStr">
        <is>
          <t>21.4</t>
        </is>
      </c>
      <c r="H34" s="322" t="inlineStr">
        <is>
          <t>①</t>
        </is>
      </c>
      <c r="I34" s="322" t="inlineStr">
        <is>
          <t>●</t>
        </is>
      </c>
      <c r="J34" s="322" t="inlineStr">
        <is>
          <t>●</t>
        </is>
      </c>
    </row>
    <row r="35">
      <c r="A35" s="322" t="inlineStr">
        <is>
          <t>6. 기술협의</t>
        </is>
      </c>
      <c r="B35" s="322" t="inlineStr"/>
      <c r="C35" s="322" t="inlineStr"/>
      <c r="D35" s="322" t="inlineStr"/>
      <c r="E35" s="322" t="inlineStr"/>
      <c r="F35" s="322" t="inlineStr"/>
      <c r="G35" s="322" t="inlineStr"/>
      <c r="H35" s="322" t="inlineStr"/>
      <c r="I35" s="322" t="inlineStr"/>
      <c r="J35" s="322" t="inlineStr"/>
    </row>
    <row r="36">
      <c r="A36" s="322" t="inlineStr">
        <is>
          <t>6.1 주민의견청취ㆍ주민공람</t>
        </is>
      </c>
      <c r="B36" s="322" t="inlineStr">
        <is>
          <t>식</t>
        </is>
      </c>
      <c r="C36" s="322" t="inlineStr">
        <is>
          <t>3.0</t>
        </is>
      </c>
      <c r="D36" s="322" t="inlineStr">
        <is>
          <t>3.0</t>
        </is>
      </c>
      <c r="E36" s="322" t="inlineStr">
        <is>
          <t>3.0</t>
        </is>
      </c>
      <c r="F36" s="322" t="inlineStr">
        <is>
          <t>6.0</t>
        </is>
      </c>
      <c r="G36" s="322" t="inlineStr">
        <is>
          <t>6.0</t>
        </is>
      </c>
      <c r="H36" s="322" t="inlineStr">
        <is>
          <t>②</t>
        </is>
      </c>
      <c r="I36" s="322" t="inlineStr"/>
      <c r="J36" s="322" t="inlineStr"/>
    </row>
    <row r="37">
      <c r="A37" s="322" t="inlineStr">
        <is>
          <t>6.2 주민설명회ㆍ공청회</t>
        </is>
      </c>
      <c r="B37" s="322" t="inlineStr">
        <is>
          <t>식</t>
        </is>
      </c>
      <c r="C37" s="322" t="inlineStr">
        <is>
          <t>3.0</t>
        </is>
      </c>
      <c r="D37" s="322" t="inlineStr">
        <is>
          <t>3.0</t>
        </is>
      </c>
      <c r="E37" s="322" t="inlineStr">
        <is>
          <t>3.0</t>
        </is>
      </c>
      <c r="F37" s="322" t="inlineStr">
        <is>
          <t>6.0</t>
        </is>
      </c>
      <c r="G37" s="322" t="inlineStr">
        <is>
          <t>6.0</t>
        </is>
      </c>
      <c r="H37" s="322" t="inlineStr">
        <is>
          <t>②</t>
        </is>
      </c>
      <c r="I37" s="322" t="inlineStr"/>
      <c r="J37" s="322" t="inlineStr"/>
    </row>
    <row r="38">
      <c r="A38" s="322" t="inlineStr">
        <is>
          <t>6.3 관계기관협의</t>
        </is>
      </c>
      <c r="B38" s="322" t="inlineStr">
        <is>
          <t>식</t>
        </is>
      </c>
      <c r="C38" s="322" t="inlineStr">
        <is>
          <t>4.0</t>
        </is>
      </c>
      <c r="D38" s="322" t="inlineStr">
        <is>
          <t>4.0</t>
        </is>
      </c>
      <c r="E38" s="322" t="inlineStr">
        <is>
          <t>4.0</t>
        </is>
      </c>
      <c r="F38" s="322" t="inlineStr">
        <is>
          <t>8.0</t>
        </is>
      </c>
      <c r="G38" s="322" t="inlineStr">
        <is>
          <t>8.0</t>
        </is>
      </c>
      <c r="H38" s="322" t="inlineStr">
        <is>
          <t>②</t>
        </is>
      </c>
      <c r="I38" s="322" t="inlineStr"/>
      <c r="J38" s="322" t="inlineStr"/>
    </row>
    <row r="39">
      <c r="A39" s="322" t="inlineStr">
        <is>
          <t>6.4 협의의견 조정ㆍ반영</t>
        </is>
      </c>
      <c r="B39" s="322" t="inlineStr">
        <is>
          <t>식</t>
        </is>
      </c>
      <c r="C39" s="322" t="inlineStr">
        <is>
          <t>10.0</t>
        </is>
      </c>
      <c r="D39" s="322" t="inlineStr">
        <is>
          <t>10.0</t>
        </is>
      </c>
      <c r="E39" s="322" t="inlineStr">
        <is>
          <t>10.0</t>
        </is>
      </c>
      <c r="F39" s="322" t="inlineStr">
        <is>
          <t>13.0</t>
        </is>
      </c>
      <c r="G39" s="322" t="inlineStr">
        <is>
          <t>13.0</t>
        </is>
      </c>
      <c r="H39" s="322" t="inlineStr">
        <is>
          <t>②</t>
        </is>
      </c>
      <c r="I39" s="322" t="inlineStr"/>
      <c r="J39" s="322" t="inlineStr"/>
    </row>
    <row r="40">
      <c r="A40" s="322" t="inlineStr">
        <is>
          <t>6.5 의회의견 청취</t>
        </is>
      </c>
      <c r="B40" s="322" t="inlineStr">
        <is>
          <t>식</t>
        </is>
      </c>
      <c r="C40" s="322" t="inlineStr">
        <is>
          <t>2.0</t>
        </is>
      </c>
      <c r="D40" s="322" t="inlineStr">
        <is>
          <t>2.0</t>
        </is>
      </c>
      <c r="E40" s="322" t="inlineStr">
        <is>
          <t>2.0</t>
        </is>
      </c>
      <c r="F40" s="322" t="inlineStr">
        <is>
          <t>4.0</t>
        </is>
      </c>
      <c r="G40" s="322" t="inlineStr">
        <is>
          <t>4.0</t>
        </is>
      </c>
      <c r="H40" s="322" t="inlineStr">
        <is>
          <t>②</t>
        </is>
      </c>
      <c r="I40" s="322" t="inlineStr"/>
      <c r="J40" s="322" t="inlineStr"/>
    </row>
    <row r="41">
      <c r="A41" s="322" t="inlineStr">
        <is>
          <t>6.6 위원회 자문ㆍ심의지원</t>
        </is>
      </c>
      <c r="B41" s="322" t="inlineStr">
        <is>
          <t>식</t>
        </is>
      </c>
      <c r="C41" s="322" t="inlineStr">
        <is>
          <t>4.0</t>
        </is>
      </c>
      <c r="D41" s="322" t="inlineStr">
        <is>
          <t>4.0</t>
        </is>
      </c>
      <c r="E41" s="322" t="inlineStr">
        <is>
          <t>4.0</t>
        </is>
      </c>
      <c r="F41" s="322" t="inlineStr">
        <is>
          <t>8.0</t>
        </is>
      </c>
      <c r="G41" s="322" t="inlineStr">
        <is>
          <t>8.0</t>
        </is>
      </c>
      <c r="H41" s="322" t="inlineStr">
        <is>
          <t>②</t>
        </is>
      </c>
      <c r="I41" s="322" t="inlineStr"/>
      <c r="J41" s="322" t="inlineStr"/>
    </row>
    <row r="42"/>
    <row r="43">
      <c r="A43" s="141" t="inlineStr">
        <is>
          <t>주기</t>
        </is>
      </c>
    </row>
    <row r="44" ht="17.1" customHeight="1" s="140">
      <c r="A44" s="323" t="inlineStr">
        <is>
          <t>주 1) 각종 영향평가 및 영향성 검토(환경, 교통, 재해, 인구, 경관 등) 등은 별도 산정한다.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4" t="n"/>
      <c r="J44" s="324" t="n"/>
    </row>
    <row r="45" ht="17.1" customHeight="1" s="140">
      <c r="A45" s="323" t="inlineStr">
        <is>
          <t>2) 각종 인허가 업무를 위한 추가업무(농지전용, 산지전용, 하천점용 등)는 별도 산정한다.</t>
        </is>
      </c>
      <c r="B45" s="324" t="n"/>
      <c r="C45" s="324" t="n"/>
      <c r="D45" s="324" t="n"/>
      <c r="E45" s="324" t="n"/>
      <c r="F45" s="324" t="n"/>
      <c r="G45" s="324" t="n"/>
      <c r="H45" s="324" t="n"/>
      <c r="I45" s="324" t="n"/>
      <c r="J45" s="324" t="n"/>
    </row>
    <row r="46" ht="17.1" customHeight="1" s="140">
      <c r="A46" s="323" t="inlineStr">
        <is>
          <t>3) 관광(단)지의 운영관리를 위한 경미한(소규모) 변경이 필요할 경우 각 기본업무의 20~40%로 적용한다.</t>
        </is>
      </c>
      <c r="B46" s="324" t="n"/>
      <c r="C46" s="324" t="n"/>
      <c r="D46" s="324" t="n"/>
      <c r="E46" s="324" t="n"/>
      <c r="F46" s="324" t="n"/>
      <c r="G46" s="324" t="n"/>
      <c r="H46" s="324" t="n"/>
      <c r="I46" s="324" t="n"/>
      <c r="J46" s="324" t="n"/>
    </row>
    <row r="47" ht="17.1" customHeight="1" s="140">
      <c r="A47" s="323" t="inlineStr">
        <is>
          <t>4) 기술협의 단위‘식’이란 인허가 신청 후 승인 고시까지의 업무이며, 고시 이후에는 별도 산정한다.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4" t="n"/>
      <c r="J47" s="324" t="n"/>
    </row>
    <row r="48" ht="17.1" customHeight="1" s="140">
      <c r="A48" s="323" t="inlineStr">
        <is>
          <t>5) 위원회 자문ㆍ심의지원 중 공동심의, 통합심의일 경우 50%를 가산한다.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4" t="n"/>
      <c r="J48" s="3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2026-05-14T07:24:31Z</dcterms:modified>
  <cp:lastModifiedBy>saman</cp:lastModifiedBy>
</cp:coreProperties>
</file>