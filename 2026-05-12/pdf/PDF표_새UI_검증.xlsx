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5" tabRatio="600" firstSheet="0" activeTab="0" autoFilterDateGrouping="1"/>
  </bookViews>
  <sheets>
    <sheet name="_변환기록" sheetId="1" state="visible" r:id="rId1"/>
    <sheet name="실시계획인가_작업량" sheetId="2" state="visible" r:id="rId2"/>
    <sheet name="실시계획인가_금액" sheetId="3" state="visible" r:id="rId3"/>
    <sheet name="실시계획인가_PDF" sheetId="4" state="visible" r:id="rId4"/>
  </sheets>
  <definedNames/>
  <calcPr calcId="162913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_-* #,##0_-;\-* #,##0_-;_-* &quot;-&quot;_-;_-@_-"/>
    <numFmt numFmtId="165" formatCode="0.00_ "/>
    <numFmt numFmtId="166" formatCode="0.000"/>
  </numFmts>
  <fonts count="2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2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color indexed="10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i val="1"/>
      <color theme="1"/>
      <sz val="12"/>
      <scheme val="minor"/>
    </font>
    <font>
      <name val="돋움"/>
      <charset val="129"/>
      <family val="3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charset val="129"/>
      <family val="2"/>
      <color theme="1"/>
      <sz val="10"/>
      <scheme val="minor"/>
    </font>
    <font>
      <name val="굴림"/>
      <charset val="129"/>
      <family val="3"/>
      <b val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D9EAD3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8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2" fillId="0" borderId="0"/>
    <xf numFmtId="41" fontId="2" fillId="0" borderId="0" applyAlignment="1">
      <alignment vertical="center"/>
    </xf>
    <xf numFmtId="41" fontId="2" fillId="0" borderId="0"/>
    <xf numFmtId="0" fontId="18" fillId="0" borderId="0"/>
    <xf numFmtId="41" fontId="2" fillId="0" borderId="0"/>
  </cellStyleXfs>
  <cellXfs count="182">
    <xf numFmtId="0" fontId="0" fillId="0" borderId="0" applyAlignment="1" pivotButton="0" quotePrefix="0" xfId="0">
      <alignment vertical="center"/>
    </xf>
    <xf numFmtId="0" fontId="6" fillId="0" borderId="1" pivotButton="0" quotePrefix="0" xfId="3"/>
    <xf numFmtId="164" fontId="7" fillId="0" borderId="2" applyAlignment="1" pivotButton="0" quotePrefix="0" xfId="1">
      <alignment vertical="center"/>
    </xf>
    <xf numFmtId="0" fontId="6" fillId="0" borderId="2" applyAlignment="1" pivotButton="0" quotePrefix="0" xfId="3">
      <alignment horizontal="right" vertical="center"/>
    </xf>
    <xf numFmtId="165" fontId="8" fillId="0" borderId="2" applyAlignment="1" pivotButton="0" quotePrefix="0" xfId="3">
      <alignment vertical="center"/>
    </xf>
    <xf numFmtId="0" fontId="6" fillId="0" borderId="2" applyAlignment="1" pivotButton="0" quotePrefix="0" xfId="3">
      <alignment vertical="center"/>
    </xf>
    <xf numFmtId="0" fontId="9" fillId="0" borderId="2" applyAlignment="1" pivotButton="0" quotePrefix="0" xfId="3">
      <alignment vertical="center"/>
    </xf>
    <xf numFmtId="0" fontId="6" fillId="0" borderId="2" pivotButton="0" quotePrefix="0" xfId="3"/>
    <xf numFmtId="0" fontId="10" fillId="0" borderId="2" pivotButton="0" quotePrefix="0" xfId="3"/>
    <xf numFmtId="0" fontId="6" fillId="0" borderId="3" pivotButton="0" quotePrefix="0" xfId="3"/>
    <xf numFmtId="0" fontId="6" fillId="0" borderId="4" pivotButton="0" quotePrefix="0" xfId="3"/>
    <xf numFmtId="0" fontId="6" fillId="0" borderId="5" applyAlignment="1" pivotButton="0" quotePrefix="0" xfId="3">
      <alignment vertical="center"/>
    </xf>
    <xf numFmtId="0" fontId="6" fillId="0" borderId="5" applyAlignment="1" pivotButton="0" quotePrefix="0" xfId="3">
      <alignment horizontal="right" vertical="center"/>
    </xf>
    <xf numFmtId="166" fontId="8" fillId="0" borderId="5" applyAlignment="1" pivotButton="0" quotePrefix="0" xfId="3">
      <alignment horizontal="left" vertical="center"/>
    </xf>
    <xf numFmtId="0" fontId="8" fillId="0" borderId="5" applyAlignment="1" pivotButton="0" quotePrefix="0" xfId="3">
      <alignment vertical="center"/>
    </xf>
    <xf numFmtId="0" fontId="6" fillId="0" borderId="5" pivotButton="0" quotePrefix="0" xfId="3"/>
    <xf numFmtId="0" fontId="6" fillId="0" borderId="6" pivotButton="0" quotePrefix="0" xfId="3"/>
    <xf numFmtId="0" fontId="7" fillId="2" borderId="10" applyAlignment="1" pivotButton="0" quotePrefix="0" xfId="3">
      <alignment horizontal="center" vertical="center"/>
    </xf>
    <xf numFmtId="0" fontId="6" fillId="0" borderId="12" applyAlignment="1" pivotButton="0" quotePrefix="0" xfId="3">
      <alignment vertical="center"/>
    </xf>
    <xf numFmtId="2" fontId="6" fillId="0" borderId="12" applyAlignment="1" pivotButton="0" quotePrefix="0" xfId="3">
      <alignment vertical="center"/>
    </xf>
    <xf numFmtId="2" fontId="8" fillId="0" borderId="10" applyAlignment="1" pivotButton="0" quotePrefix="0" xfId="3">
      <alignment vertical="center"/>
    </xf>
    <xf numFmtId="0" fontId="13" fillId="0" borderId="0" applyAlignment="1" pivotButton="0" quotePrefix="0" xfId="3">
      <alignment vertical="center"/>
    </xf>
    <xf numFmtId="0" fontId="7" fillId="0" borderId="0" applyAlignment="1" pivotButton="0" quotePrefix="0" xfId="3">
      <alignment vertical="center"/>
    </xf>
    <xf numFmtId="0" fontId="10" fillId="0" borderId="0" pivotButton="0" quotePrefix="0" xfId="3"/>
    <xf numFmtId="0" fontId="14" fillId="0" borderId="0" pivotButton="0" quotePrefix="0" xfId="3"/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8" fillId="2" borderId="10" applyAlignment="1" pivotButton="0" quotePrefix="0" xfId="3">
      <alignment horizontal="center" vertical="center"/>
    </xf>
    <xf numFmtId="164" fontId="6" fillId="0" borderId="12" applyAlignment="1" pivotButton="0" quotePrefix="0" xfId="4">
      <alignment horizontal="right" vertical="center"/>
    </xf>
    <xf numFmtId="0" fontId="8" fillId="0" borderId="12" applyAlignment="1" pivotButton="0" quotePrefix="0" xfId="3">
      <alignment vertical="center"/>
    </xf>
    <xf numFmtId="9" fontId="6" fillId="0" borderId="12" applyAlignment="1" pivotButton="0" quotePrefix="0" xfId="3">
      <alignment horizontal="left" vertical="center"/>
    </xf>
    <xf numFmtId="9" fontId="6" fillId="0" borderId="12" applyAlignment="1" pivotButton="0" quotePrefix="0" xfId="3">
      <alignment vertical="center"/>
    </xf>
    <xf numFmtId="0" fontId="6" fillId="0" borderId="12" applyAlignment="1" pivotButton="0" quotePrefix="1" xfId="3">
      <alignment horizontal="right" vertical="center"/>
    </xf>
    <xf numFmtId="3" fontId="6" fillId="0" borderId="12" applyAlignment="1" pivotButton="0" quotePrefix="0" xfId="3">
      <alignment vertical="center"/>
    </xf>
    <xf numFmtId="0" fontId="6" fillId="0" borderId="14" applyAlignment="1" pivotButton="0" quotePrefix="0" xfId="3">
      <alignment horizontal="center" vertical="center"/>
    </xf>
    <xf numFmtId="0" fontId="6" fillId="0" borderId="14" applyAlignment="1" pivotButton="0" quotePrefix="0" xfId="3">
      <alignment vertical="center"/>
    </xf>
    <xf numFmtId="0" fontId="6" fillId="0" borderId="9" applyAlignment="1" pivotButton="0" quotePrefix="0" xfId="3">
      <alignment horizontal="center" vertical="center"/>
    </xf>
    <xf numFmtId="0" fontId="6" fillId="0" borderId="11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0" applyAlignment="1" pivotButton="0" quotePrefix="0" xfId="3">
      <alignment horizontal="left" vertical="center"/>
    </xf>
    <xf numFmtId="0" fontId="6" fillId="0" borderId="25" applyAlignment="1" pivotButton="0" quotePrefix="0" xfId="3">
      <alignment horizontal="center" vertical="center"/>
    </xf>
    <xf numFmtId="0" fontId="8" fillId="0" borderId="7" applyAlignment="1" pivotButton="0" quotePrefix="0" xfId="3">
      <alignment vertical="center"/>
    </xf>
    <xf numFmtId="0" fontId="6" fillId="0" borderId="8" applyAlignment="1" pivotButton="0" quotePrefix="0" xfId="3">
      <alignment vertical="center"/>
    </xf>
    <xf numFmtId="4" fontId="6" fillId="0" borderId="8" applyAlignment="1" pivotButton="0" quotePrefix="0" xfId="3">
      <alignment vertical="center"/>
    </xf>
    <xf numFmtId="3" fontId="8" fillId="0" borderId="8" applyAlignment="1" pivotButton="0" quotePrefix="0" xfId="3">
      <alignment horizontal="right" vertical="center"/>
    </xf>
    <xf numFmtId="0" fontId="6" fillId="0" borderId="26" applyAlignment="1" pivotButton="0" quotePrefix="0" xfId="3">
      <alignment vertical="center"/>
    </xf>
    <xf numFmtId="0" fontId="8" fillId="0" borderId="13" applyAlignment="1" pivotButton="0" quotePrefix="0" xfId="3">
      <alignment vertical="center"/>
    </xf>
    <xf numFmtId="4" fontId="6" fillId="0" borderId="12" applyAlignment="1" pivotButton="0" quotePrefix="0" xfId="3">
      <alignment vertical="center"/>
    </xf>
    <xf numFmtId="3" fontId="6" fillId="0" borderId="12" applyAlignment="1" pivotButton="0" quotePrefix="0" xfId="3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164" fontId="6" fillId="0" borderId="12" applyAlignment="1" pivotButton="0" quotePrefix="0" xfId="4">
      <alignment vertical="center"/>
    </xf>
    <xf numFmtId="0" fontId="8" fillId="0" borderId="13" applyAlignment="1" pivotButton="0" quotePrefix="0" xfId="3">
      <alignment horizontal="center" vertical="center"/>
    </xf>
    <xf numFmtId="4" fontId="8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3" fontId="8" fillId="0" borderId="12" applyAlignment="1" pivotButton="0" quotePrefix="0" xfId="3">
      <alignment horizontal="right" vertical="center"/>
    </xf>
    <xf numFmtId="0" fontId="12" fillId="2" borderId="26" applyAlignment="1" pivotButton="0" quotePrefix="0" xfId="3">
      <alignment horizontal="center" vertical="center"/>
    </xf>
    <xf numFmtId="0" fontId="10" fillId="0" borderId="13" pivotButton="0" quotePrefix="0" xfId="3"/>
    <xf numFmtId="166" fontId="6" fillId="0" borderId="14" applyAlignment="1" pivotButton="0" quotePrefix="0" xfId="3">
      <alignment vertical="center"/>
    </xf>
    <xf numFmtId="0" fontId="10" fillId="0" borderId="16" pivotButton="0" quotePrefix="0" xfId="3"/>
    <xf numFmtId="0" fontId="6" fillId="0" borderId="25" applyAlignment="1" pivotButton="0" quotePrefix="0" xfId="3">
      <alignment vertical="center"/>
    </xf>
    <xf numFmtId="0" fontId="8" fillId="0" borderId="27" applyAlignment="1" pivotButton="0" quotePrefix="0" xfId="3">
      <alignment vertical="center"/>
    </xf>
    <xf numFmtId="2" fontId="6" fillId="0" borderId="28" applyAlignment="1" pivotButton="0" quotePrefix="0" xfId="3">
      <alignment vertical="center"/>
    </xf>
    <xf numFmtId="2" fontId="6" fillId="0" borderId="28" pivotButton="0" quotePrefix="0" xfId="3"/>
    <xf numFmtId="0" fontId="6" fillId="0" borderId="24" applyAlignment="1" pivotButton="0" quotePrefix="0" xfId="3">
      <alignment vertical="center"/>
    </xf>
    <xf numFmtId="0" fontId="7" fillId="2" borderId="25" applyAlignment="1" pivotButton="0" quotePrefix="0" xfId="3">
      <alignment horizontal="center" vertical="center"/>
    </xf>
    <xf numFmtId="0" fontId="7" fillId="2" borderId="29" applyAlignment="1" pivotButton="0" quotePrefix="0" xfId="3">
      <alignment horizontal="center" vertical="center"/>
    </xf>
    <xf numFmtId="2" fontId="6" fillId="0" borderId="30" applyAlignment="1" pivotButton="0" quotePrefix="0" xfId="3">
      <alignment vertical="center"/>
    </xf>
    <xf numFmtId="2" fontId="6" fillId="0" borderId="31" applyAlignment="1" pivotButton="0" quotePrefix="0" xfId="3">
      <alignment vertical="center"/>
    </xf>
    <xf numFmtId="0" fontId="7" fillId="0" borderId="14" applyAlignment="1" pivotButton="0" quotePrefix="0" xfId="3">
      <alignment horizontal="distributed" vertical="center"/>
    </xf>
    <xf numFmtId="0" fontId="12" fillId="0" borderId="25" applyAlignment="1" pivotButton="0" quotePrefix="0" xfId="3">
      <alignment horizontal="distributed" vertical="center"/>
    </xf>
    <xf numFmtId="9" fontId="11" fillId="0" borderId="5" applyAlignment="1" pivotButton="0" quotePrefix="0" xfId="2">
      <alignment horizontal="center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0" fontId="19" fillId="0" borderId="37" applyAlignment="1" pivotButton="0" quotePrefix="0" xfId="6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0" fontId="19" fillId="0" borderId="39" applyAlignment="1" pivotButton="0" quotePrefix="0" xfId="6">
      <alignment horizontal="center" vertical="center"/>
    </xf>
    <xf numFmtId="0" fontId="19" fillId="0" borderId="38" applyAlignment="1" pivotButton="0" quotePrefix="0" xfId="6">
      <alignment horizontal="center" vertical="center"/>
    </xf>
    <xf numFmtId="0" fontId="20" fillId="0" borderId="39" applyAlignment="1" pivotButton="0" quotePrefix="0" xfId="6">
      <alignment horizontal="center" vertical="center"/>
    </xf>
    <xf numFmtId="0" fontId="19" fillId="0" borderId="40" applyAlignment="1" pivotButton="0" quotePrefix="0" xfId="6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20" fillId="0" borderId="41" applyAlignment="1" pivotButton="0" quotePrefix="0" xfId="6">
      <alignment horizontal="center" vertical="center"/>
    </xf>
    <xf numFmtId="164" fontId="20" fillId="0" borderId="41" applyAlignment="1" pivotButton="0" quotePrefix="0" xfId="6">
      <alignment horizontal="center" vertical="center"/>
    </xf>
    <xf numFmtId="0" fontId="20" fillId="0" borderId="40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0" fontId="21" fillId="0" borderId="0" applyAlignment="1" pivotButton="0" quotePrefix="0" xfId="0">
      <alignment vertical="center"/>
    </xf>
    <xf numFmtId="164" fontId="22" fillId="0" borderId="32" applyAlignment="1" pivotButton="0" quotePrefix="0" xfId="5">
      <alignment horizontal="left" vertical="center"/>
    </xf>
    <xf numFmtId="0" fontId="19" fillId="0" borderId="33" applyAlignment="1" pivotButton="0" quotePrefix="0" xfId="6">
      <alignment vertical="center"/>
    </xf>
    <xf numFmtId="0" fontId="19" fillId="0" borderId="34" applyAlignment="1" pivotButton="0" quotePrefix="0" xfId="6">
      <alignment vertical="center"/>
    </xf>
    <xf numFmtId="9" fontId="0" fillId="0" borderId="0" applyAlignment="1" pivotButton="0" quotePrefix="0" xfId="2">
      <alignment vertical="center"/>
    </xf>
    <xf numFmtId="0" fontId="6" fillId="0" borderId="24" applyAlignment="1" pivotButton="0" quotePrefix="0" xfId="3">
      <alignment horizontal="center" vertical="center"/>
    </xf>
    <xf numFmtId="4" fontId="6" fillId="0" borderId="12" applyAlignment="1" pivotButton="0" quotePrefix="0" xfId="3">
      <alignment horizontal="center" vertical="center"/>
    </xf>
    <xf numFmtId="4" fontId="6" fillId="0" borderId="10" applyAlignment="1" pivotButton="0" quotePrefix="0" xfId="3">
      <alignment horizontal="center" vertical="center"/>
    </xf>
    <xf numFmtId="3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12" applyAlignment="1" pivotButton="0" quotePrefix="0" xfId="4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9" applyAlignment="1" pivotButton="0" quotePrefix="0" xfId="4">
      <alignment horizontal="right" vertical="center"/>
    </xf>
    <xf numFmtId="0" fontId="6" fillId="0" borderId="10" applyAlignment="1" pivotButton="0" quotePrefix="0" xfId="3">
      <alignment horizontal="center" vertical="center"/>
    </xf>
    <xf numFmtId="164" fontId="6" fillId="0" borderId="10" applyAlignment="1" pivotButton="0" quotePrefix="0" xfId="4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2" applyAlignment="1" pivotButton="0" quotePrefix="0" xfId="3">
      <alignment horizontal="right" vertical="center"/>
    </xf>
    <xf numFmtId="0" fontId="6" fillId="0" borderId="16" applyAlignment="1" pivotButton="0" quotePrefix="0" xfId="3">
      <alignment horizontal="center" vertical="center"/>
    </xf>
    <xf numFmtId="0" fontId="6" fillId="0" borderId="10" applyAlignment="1" pivotButton="0" quotePrefix="0" xfId="3">
      <alignment horizontal="center" vertical="center"/>
    </xf>
    <xf numFmtId="0" fontId="6" fillId="0" borderId="10" applyAlignment="1" pivotButton="0" quotePrefix="0" xfId="3">
      <alignment horizontal="righ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8" fillId="2" borderId="19" applyAlignment="1" pivotButton="0" quotePrefix="0" xfId="3">
      <alignment horizontal="center" vertical="center"/>
    </xf>
    <xf numFmtId="0" fontId="8" fillId="2" borderId="20" applyAlignment="1" pivotButton="0" quotePrefix="0" xfId="3">
      <alignment horizontal="center" vertical="center"/>
    </xf>
    <xf numFmtId="0" fontId="8" fillId="2" borderId="21" applyAlignment="1" pivotButton="0" quotePrefix="0" xfId="3">
      <alignment horizontal="center" vertical="center"/>
    </xf>
    <xf numFmtId="0" fontId="8" fillId="2" borderId="23" applyAlignment="1" pivotButton="0" quotePrefix="0" xfId="3">
      <alignment horizontal="center" vertical="center"/>
    </xf>
    <xf numFmtId="0" fontId="8" fillId="2" borderId="17" applyAlignment="1" pivotButton="0" quotePrefix="0" xfId="3">
      <alignment horizontal="center" vertical="center"/>
    </xf>
    <xf numFmtId="0" fontId="8" fillId="2" borderId="15" applyAlignment="1" pivotButton="0" quotePrefix="0" xfId="3">
      <alignment horizontal="center" vertical="center"/>
    </xf>
    <xf numFmtId="0" fontId="8" fillId="2" borderId="18" applyAlignment="1" pivotButton="0" quotePrefix="0" xfId="3">
      <alignment horizontal="center" vertical="center"/>
    </xf>
    <xf numFmtId="0" fontId="8" fillId="2" borderId="22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8" fillId="2" borderId="7" applyAlignment="1" pivotButton="0" quotePrefix="0" xfId="3">
      <alignment horizontal="center" vertical="center"/>
    </xf>
    <xf numFmtId="0" fontId="10" fillId="2" borderId="26" applyAlignment="1" pivotButton="0" quotePrefix="0" xfId="3">
      <alignment horizontal="center" vertical="center"/>
    </xf>
    <xf numFmtId="0" fontId="10" fillId="2" borderId="16" pivotButton="0" quotePrefix="0" xfId="3"/>
    <xf numFmtId="0" fontId="10" fillId="2" borderId="25" pivotButton="0" quotePrefix="0" xfId="3"/>
    <xf numFmtId="0" fontId="12" fillId="2" borderId="20" applyAlignment="1" pivotButton="0" quotePrefix="0" xfId="3">
      <alignment horizontal="center" vertical="center"/>
    </xf>
    <xf numFmtId="0" fontId="12" fillId="2" borderId="8" applyAlignment="1" pivotButton="0" quotePrefix="0" xfId="3">
      <alignment horizontal="center" vertical="center"/>
    </xf>
    <xf numFmtId="164" fontId="6" fillId="0" borderId="12" applyAlignment="1" pivotButton="0" quotePrefix="0" xfId="3">
      <alignment vertical="center"/>
    </xf>
    <xf numFmtId="0" fontId="8" fillId="3" borderId="13" applyAlignment="1" pivotButton="0" quotePrefix="0" xfId="3">
      <alignment horizontal="center" vertical="center"/>
    </xf>
    <xf numFmtId="0" fontId="8" fillId="3" borderId="12" applyAlignment="1" pivotButton="0" quotePrefix="0" xfId="3">
      <alignment horizontal="center" vertical="center"/>
    </xf>
    <xf numFmtId="0" fontId="8" fillId="3" borderId="9" applyAlignment="1" pivotButton="0" quotePrefix="0" xfId="3">
      <alignment horizontal="center" vertical="center"/>
    </xf>
    <xf numFmtId="0" fontId="8" fillId="3" borderId="12" applyAlignment="1" pivotButton="0" quotePrefix="0" xfId="3">
      <alignment horizontal="right" vertical="center"/>
    </xf>
    <xf numFmtId="164" fontId="8" fillId="3" borderId="9" applyAlignment="1" pivotButton="0" quotePrefix="0" xfId="4">
      <alignment horizontal="right" vertical="center"/>
    </xf>
    <xf numFmtId="0" fontId="8" fillId="3" borderId="11" applyAlignment="1" pivotButton="0" quotePrefix="0" xfId="3">
      <alignment horizontal="center" vertical="center"/>
    </xf>
    <xf numFmtId="2" fontId="6" fillId="0" borderId="29" applyAlignment="1" pivotButton="0" quotePrefix="0" xfId="3">
      <alignment vertical="center"/>
    </xf>
    <xf numFmtId="2" fontId="6" fillId="0" borderId="10" applyAlignment="1" pivotButton="0" quotePrefix="0" xfId="3">
      <alignment vertical="center"/>
    </xf>
    <xf numFmtId="164" fontId="20" fillId="0" borderId="44" applyAlignment="1" pivotButton="0" quotePrefix="1" xfId="6">
      <alignment horizontal="center" vertical="center"/>
    </xf>
    <xf numFmtId="0" fontId="20" fillId="0" borderId="42" applyAlignment="1" pivotButton="0" quotePrefix="0" xfId="6">
      <alignment horizontal="center" vertical="center"/>
    </xf>
    <xf numFmtId="164" fontId="20" fillId="0" borderId="43" applyAlignment="1" pivotButton="0" quotePrefix="0" xfId="7">
      <alignment horizontal="center" vertical="center"/>
    </xf>
    <xf numFmtId="0" fontId="0" fillId="0" borderId="0" pivotButton="0" quotePrefix="0" xfId="0"/>
    <xf numFmtId="0" fontId="23" fillId="4" borderId="0" pivotButton="0" quotePrefix="0" xfId="0"/>
    <xf numFmtId="164" fontId="7" fillId="0" borderId="2" applyAlignment="1" pivotButton="0" quotePrefix="0" xfId="1">
      <alignment vertical="center"/>
    </xf>
    <xf numFmtId="165" fontId="8" fillId="0" borderId="2" applyAlignment="1" pivotButton="0" quotePrefix="0" xfId="3">
      <alignment vertical="center"/>
    </xf>
    <xf numFmtId="166" fontId="8" fillId="0" borderId="5" applyAlignment="1" pivotButton="0" quotePrefix="0" xfId="3">
      <alignment horizontal="left" vertical="center"/>
    </xf>
    <xf numFmtId="0" fontId="0" fillId="0" borderId="62" pivotButton="0" quotePrefix="0" xfId="0"/>
    <xf numFmtId="0" fontId="0" fillId="0" borderId="65" pivotButton="0" quotePrefix="0" xfId="0"/>
    <xf numFmtId="0" fontId="0" fillId="0" borderId="20" pivotButton="0" quotePrefix="0" xfId="0"/>
    <xf numFmtId="0" fontId="0" fillId="0" borderId="64" pivotButton="0" quotePrefix="0" xfId="0"/>
    <xf numFmtId="0" fontId="0" fillId="0" borderId="30" pivotButton="0" quotePrefix="0" xfId="0"/>
    <xf numFmtId="166" fontId="6" fillId="0" borderId="14" applyAlignment="1" pivotButton="0" quotePrefix="0" xfId="3">
      <alignment vertical="center"/>
    </xf>
    <xf numFmtId="0" fontId="8" fillId="2" borderId="50" applyAlignment="1" pivotButton="0" quotePrefix="0" xfId="3">
      <alignment horizontal="center" vertical="center"/>
    </xf>
    <xf numFmtId="0" fontId="8" fillId="2" borderId="53" applyAlignment="1" pivotButton="0" quotePrefix="0" xfId="3">
      <alignment horizontal="center" vertical="center"/>
    </xf>
    <xf numFmtId="0" fontId="8" fillId="2" borderId="8" applyAlignment="1" pivotButton="0" quotePrefix="0" xfId="3">
      <alignment horizontal="center" vertical="center"/>
    </xf>
    <xf numFmtId="0" fontId="8" fillId="2" borderId="57" applyAlignment="1" pivotButton="0" quotePrefix="0" xfId="3">
      <alignment horizontal="center" vertical="center"/>
    </xf>
    <xf numFmtId="0" fontId="0" fillId="0" borderId="15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47" pivotButton="0" quotePrefix="0" xfId="0"/>
    <xf numFmtId="0" fontId="0" fillId="0" borderId="31" pivotButton="0" quotePrefix="0" xfId="0"/>
    <xf numFmtId="164" fontId="6" fillId="0" borderId="12" applyAlignment="1" pivotButton="0" quotePrefix="0" xfId="4">
      <alignment horizontal="right" vertical="center"/>
    </xf>
    <xf numFmtId="164" fontId="6" fillId="0" borderId="9" applyAlignment="1" pivotButton="0" quotePrefix="0" xfId="4">
      <alignment horizontal="right" vertical="center"/>
    </xf>
    <xf numFmtId="164" fontId="8" fillId="3" borderId="9" applyAlignment="1" pivotButton="0" quotePrefix="0" xfId="4">
      <alignment horizontal="right" vertical="center"/>
    </xf>
    <xf numFmtId="164" fontId="22" fillId="0" borderId="32" applyAlignment="1" pivotButton="0" quotePrefix="0" xfId="5">
      <alignment horizontal="left" vertical="center"/>
    </xf>
    <xf numFmtId="0" fontId="0" fillId="0" borderId="59" pivotButton="0" quotePrefix="0" xfId="0"/>
    <xf numFmtId="0" fontId="0" fillId="0" borderId="29" pivotButton="0" quotePrefix="0" xfId="0"/>
    <xf numFmtId="164" fontId="6" fillId="0" borderId="10" applyAlignment="1" pivotButton="0" quotePrefix="0" xfId="4">
      <alignment horizontal="right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164" fontId="19" fillId="0" borderId="12" applyAlignment="1" pivotButton="0" quotePrefix="0" xfId="7">
      <alignment horizontal="center" vertical="center"/>
    </xf>
    <xf numFmtId="164" fontId="6" fillId="0" borderId="12" applyAlignment="1" pivotButton="0" quotePrefix="0" xfId="4">
      <alignment vertical="center"/>
    </xf>
    <xf numFmtId="164" fontId="20" fillId="0" borderId="41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164" fontId="20" fillId="0" borderId="43" applyAlignment="1" pivotButton="0" quotePrefix="0" xfId="7">
      <alignment horizontal="center" vertical="center"/>
    </xf>
    <xf numFmtId="164" fontId="20" fillId="0" borderId="44" applyAlignment="1" pivotButton="0" quotePrefix="1" xfId="6">
      <alignment horizontal="center" vertical="center"/>
    </xf>
    <xf numFmtId="164" fontId="6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0" fontId="23" fillId="4" borderId="0" applyAlignment="1" pivotButton="0" quotePrefix="0" xfId="0">
      <alignment vertical="center"/>
    </xf>
    <xf numFmtId="0" fontId="23" fillId="0" borderId="0" pivotButton="0" quotePrefix="0" xfId="0"/>
    <xf numFmtId="0" fontId="0" fillId="0" borderId="0" applyAlignment="1" pivotButton="0" quotePrefix="0" xfId="0">
      <alignment vertical="top" wrapText="1"/>
    </xf>
  </cellXfs>
  <cellStyles count="8">
    <cellStyle name="표준" xfId="0" builtinId="0"/>
    <cellStyle name="쉼표 [0]" xfId="1" builtinId="6"/>
    <cellStyle name="백분율" xfId="2" builtinId="5"/>
    <cellStyle name="표준_110000-00시 조성계획 및 실시설계 용역(기준)(rev-1)" xfId="3"/>
    <cellStyle name="쉼표 [0] 2 2 2 2 2" xfId="4"/>
    <cellStyle name="쉼표 [0] 4 3" xfId="5"/>
    <cellStyle name="표준_설계예산서" xfId="6"/>
    <cellStyle name="쉼표 [0] 7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1" customWidth="1" style="140" min="1" max="1"/>
    <col width="61" customWidth="1" style="140" min="2" max="2"/>
  </cols>
  <sheetData>
    <row r="1">
      <c r="A1" s="141" t="inlineStr">
        <is>
          <t>항목</t>
        </is>
      </c>
      <c r="B1" s="141" t="inlineStr">
        <is>
          <t>내용</t>
        </is>
      </c>
    </row>
    <row r="2">
      <c r="A2" t="inlineStr">
        <is>
          <t>템플릿</t>
        </is>
      </c>
      <c r="B2" t="inlineStr">
        <is>
          <t>C:\Users\saman\Documents\Codex\2026-05-12\pdf\template.xlsx</t>
        </is>
      </c>
    </row>
    <row r="3">
      <c r="A3" t="inlineStr">
        <is>
          <t>대상면적(㎡)</t>
        </is>
      </c>
      <c r="B3" t="n">
        <v>1445</v>
      </c>
    </row>
    <row r="4">
      <c r="A4" t="inlineStr">
        <is>
          <t>보정계수 직접입력</t>
        </is>
      </c>
      <c r="B4" t="n">
        <v>0.316</v>
      </c>
    </row>
    <row r="5">
      <c r="A5" t="inlineStr">
        <is>
          <t>비율</t>
        </is>
      </c>
      <c r="B5" t="n">
        <v>1.2</v>
      </c>
    </row>
    <row r="6">
      <c r="A6" t="inlineStr">
        <is>
          <t>변환일시</t>
        </is>
      </c>
      <c r="B6" t="inlineStr">
        <is>
          <t>2026-05-12 10:46:53</t>
        </is>
      </c>
    </row>
    <row r="7"/>
    <row r="8">
      <c r="A8" t="inlineStr">
        <is>
          <t>PDF</t>
        </is>
      </c>
      <c r="B8" t="inlineStr">
        <is>
          <t>C:\Users\saman\Desktop\Ai 실습\_새 폴더\실시계획인가.pdf</t>
        </is>
      </c>
    </row>
    <row r="9">
      <c r="A9" t="inlineStr">
        <is>
          <t>추출 표 수</t>
        </is>
      </c>
      <c r="B9" t="n">
        <v>1</v>
      </c>
    </row>
    <row r="10">
      <c r="A10" t="inlineStr">
        <is>
          <t>반영 업무 행 수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6.5"/>
  <cols>
    <col width="1.75" customWidth="1" style="140" min="1" max="1"/>
    <col width="24.125" customWidth="1" style="140" min="2" max="2"/>
    <col width="7.25" customWidth="1" style="140" min="3" max="15"/>
  </cols>
  <sheetData>
    <row r="1" ht="26.25" customHeight="1" s="140">
      <c r="A1" s="121" t="inlineStr">
        <is>
          <t>&lt;실시계획인가 직접인력 소요작업량 산정&gt;</t>
        </is>
      </c>
    </row>
    <row r="2">
      <c r="A2" s="1" t="n"/>
      <c r="B2" s="142" t="n">
        <v>1445</v>
      </c>
      <c r="C2" s="3" t="inlineStr">
        <is>
          <t>(</t>
        </is>
      </c>
      <c r="D2" s="143">
        <f>IF(B2&lt;1000,0.1,ROUND(B2/10000,2))</f>
        <v/>
      </c>
      <c r="E2" s="5" t="inlineStr">
        <is>
          <t>만M2)</t>
        </is>
      </c>
      <c r="F2" s="5" t="inlineStr">
        <is>
          <t>적용</t>
        </is>
      </c>
      <c r="G2" s="6" t="inlineStr">
        <is>
          <t>(기준면적(거리)는 1만㎡(1.0km)를 원칙으로 한다)</t>
        </is>
      </c>
      <c r="H2" s="7" t="n"/>
      <c r="I2" s="8" t="n"/>
      <c r="J2" s="7" t="n"/>
      <c r="K2" s="7" t="n"/>
      <c r="L2" s="7" t="n"/>
      <c r="M2" s="7" t="n"/>
      <c r="N2" s="7" t="n"/>
      <c r="O2" s="9" t="n"/>
      <c r="Q2" s="0" t="inlineStr">
        <is>
          <t>면적적용은 1,2단계 합산면적산정</t>
        </is>
      </c>
    </row>
    <row r="3">
      <c r="A3" s="10" t="n"/>
      <c r="B3" s="11" t="inlineStr">
        <is>
          <t xml:space="preserve"> * 대상면적에 대한 작업량 계수 a=(A/1)^(0.6)</t>
        </is>
      </c>
      <c r="C3" s="11" t="n"/>
      <c r="D3" s="11" t="n"/>
      <c r="E3" s="11" t="n"/>
      <c r="F3" s="12" t="inlineStr">
        <is>
          <t xml:space="preserve"> a =</t>
        </is>
      </c>
      <c r="G3" s="144">
        <f>ROUND(0.316*H3,3)</f>
        <v/>
      </c>
      <c r="H3" s="72" t="n">
        <v>1.2</v>
      </c>
      <c r="I3" s="14" t="n"/>
      <c r="J3" s="15" t="n"/>
      <c r="K3" s="15" t="n"/>
      <c r="L3" s="15" t="n"/>
      <c r="M3" s="15" t="n"/>
      <c r="N3" s="15" t="n"/>
      <c r="O3" s="16" t="n"/>
    </row>
    <row r="4" ht="24" customHeight="1" s="140">
      <c r="A4" s="122" t="inlineStr">
        <is>
          <t>구분</t>
        </is>
      </c>
      <c r="B4" s="145" t="n"/>
      <c r="C4" s="126" t="inlineStr">
        <is>
          <t>보 정 전</t>
        </is>
      </c>
      <c r="D4" s="146" t="n"/>
      <c r="E4" s="146" t="n"/>
      <c r="F4" s="146" t="n"/>
      <c r="G4" s="146" t="n"/>
      <c r="H4" s="147" t="n"/>
      <c r="I4" s="127" t="inlineStr">
        <is>
          <t>보 정 후</t>
        </is>
      </c>
      <c r="J4" s="146" t="n"/>
      <c r="K4" s="146" t="n"/>
      <c r="L4" s="146" t="n"/>
      <c r="M4" s="146" t="n"/>
      <c r="N4" s="147" t="n"/>
      <c r="O4" s="57" t="inlineStr">
        <is>
          <t>비   고</t>
        </is>
      </c>
    </row>
    <row r="5" ht="24" customHeight="1" s="140">
      <c r="A5" s="148" t="n"/>
      <c r="B5" s="149" t="n"/>
      <c r="C5" s="67" t="inlineStr">
        <is>
          <t>기술사</t>
        </is>
      </c>
      <c r="D5" s="17" t="inlineStr">
        <is>
          <t>특급</t>
        </is>
      </c>
      <c r="E5" s="17" t="inlineStr">
        <is>
          <t>고급</t>
        </is>
      </c>
      <c r="F5" s="17" t="inlineStr">
        <is>
          <t>중급</t>
        </is>
      </c>
      <c r="G5" s="17" t="inlineStr">
        <is>
          <t>초급</t>
        </is>
      </c>
      <c r="H5" s="17" t="inlineStr">
        <is>
          <t>보조원</t>
        </is>
      </c>
      <c r="I5" s="17" t="inlineStr">
        <is>
          <t>기술사</t>
        </is>
      </c>
      <c r="J5" s="17" t="inlineStr">
        <is>
          <t>특급</t>
        </is>
      </c>
      <c r="K5" s="17" t="inlineStr">
        <is>
          <t>고급</t>
        </is>
      </c>
      <c r="L5" s="17" t="inlineStr">
        <is>
          <t>중급</t>
        </is>
      </c>
      <c r="M5" s="17" t="inlineStr">
        <is>
          <t>초급</t>
        </is>
      </c>
      <c r="N5" s="17" t="inlineStr">
        <is>
          <t>보조원</t>
        </is>
      </c>
      <c r="O5" s="66" t="inlineStr">
        <is>
          <t>보정계수</t>
        </is>
      </c>
    </row>
    <row r="6" ht="24" customHeight="1" s="140">
      <c r="A6" s="62" t="inlineStr">
        <is>
          <t>1. 실시계획인가(변경) 도서 작성</t>
        </is>
      </c>
      <c r="B6" s="65" t="n"/>
      <c r="C6" s="68" t="n"/>
      <c r="D6" s="63" t="n"/>
      <c r="E6" s="63" t="n"/>
      <c r="F6" s="63" t="n"/>
      <c r="G6" s="63" t="n"/>
      <c r="H6" s="63" t="n"/>
      <c r="I6" s="63" t="n"/>
      <c r="J6" s="63" t="n"/>
      <c r="K6" s="63" t="n"/>
      <c r="L6" s="63" t="n"/>
      <c r="M6" s="64" t="n"/>
      <c r="N6" s="64" t="n"/>
      <c r="O6" s="65" t="n"/>
    </row>
    <row r="7" ht="24" customHeight="1" s="140">
      <c r="A7" s="58" t="n"/>
      <c r="B7" s="70" t="inlineStr">
        <is>
          <t>1) 실시계획 승인도서 작성</t>
        </is>
      </c>
      <c r="C7" s="69" t="n">
        <v>0.7</v>
      </c>
      <c r="D7" s="19" t="n">
        <v>0.6</v>
      </c>
      <c r="E7" s="19" t="n">
        <v>1.3</v>
      </c>
      <c r="F7" s="19" t="n">
        <v>1.3</v>
      </c>
      <c r="G7" s="19" t="n">
        <v>3.5</v>
      </c>
      <c r="H7" s="19" t="n"/>
      <c r="I7" s="19">
        <f>ROUND(C7*O7,2)</f>
        <v/>
      </c>
      <c r="J7" s="19">
        <f>ROUND(D7*O7,2)</f>
        <v/>
      </c>
      <c r="K7" s="19">
        <f>ROUND(E7*O7,2)</f>
        <v/>
      </c>
      <c r="L7" s="19">
        <f>ROUND(F7*O7,2)</f>
        <v/>
      </c>
      <c r="M7" s="19">
        <f>ROUND(G7*O7,2)</f>
        <v/>
      </c>
      <c r="N7" s="19" t="n"/>
      <c r="O7" s="150">
        <f>$G$3</f>
        <v/>
      </c>
    </row>
    <row r="8" ht="24" customHeight="1" s="140">
      <c r="A8" s="58" t="n"/>
      <c r="B8" s="70" t="inlineStr">
        <is>
          <t>2) 보고서 작성 및 편집</t>
        </is>
      </c>
      <c r="C8" s="69" t="n">
        <v>0.4</v>
      </c>
      <c r="D8" s="19" t="n">
        <v>0.9</v>
      </c>
      <c r="E8" s="19" t="n">
        <v>1.8</v>
      </c>
      <c r="F8" s="19" t="n">
        <v>1.6</v>
      </c>
      <c r="G8" s="19" t="n">
        <v>2.8</v>
      </c>
      <c r="H8" s="19" t="n"/>
      <c r="I8" s="19">
        <f>ROUND(C8*O8,2)</f>
        <v/>
      </c>
      <c r="J8" s="19">
        <f>ROUND(D8*O8,2)</f>
        <v/>
      </c>
      <c r="K8" s="19">
        <f>ROUND(E8*O8,2)</f>
        <v/>
      </c>
      <c r="L8" s="19">
        <f>ROUND(F8*O8,2)</f>
        <v/>
      </c>
      <c r="M8" s="19">
        <f>ROUND(G8*O8,2)</f>
        <v/>
      </c>
      <c r="N8" s="19" t="n"/>
      <c r="O8" s="150">
        <f>$G$3</f>
        <v/>
      </c>
    </row>
    <row r="9" ht="24" customHeight="1" s="140">
      <c r="A9" s="58" t="n"/>
      <c r="B9" s="70" t="inlineStr">
        <is>
          <t>3) 관련도서 작성</t>
        </is>
      </c>
      <c r="C9" s="69" t="n">
        <v>0.6</v>
      </c>
      <c r="D9" s="19" t="n">
        <v>0.8</v>
      </c>
      <c r="E9" s="19" t="n">
        <v>1.4</v>
      </c>
      <c r="F9" s="19" t="n">
        <v>1.6</v>
      </c>
      <c r="G9" s="19" t="n">
        <v>4.2</v>
      </c>
      <c r="H9" s="19" t="n"/>
      <c r="I9" s="19">
        <f>ROUND(C9*O9,2)</f>
        <v/>
      </c>
      <c r="J9" s="19">
        <f>ROUND(D9*O9,2)</f>
        <v/>
      </c>
      <c r="K9" s="19">
        <f>ROUND(E9*O9,2)</f>
        <v/>
      </c>
      <c r="L9" s="19">
        <f>ROUND(F9*O9,2)</f>
        <v/>
      </c>
      <c r="M9" s="19">
        <f>ROUND(G9*O9,2)</f>
        <v/>
      </c>
      <c r="N9" s="19" t="n"/>
      <c r="O9" s="150">
        <f>$G$3</f>
        <v/>
      </c>
    </row>
    <row r="10" ht="24" customHeight="1" s="140">
      <c r="A10" s="58" t="n"/>
      <c r="B10" s="70" t="inlineStr">
        <is>
          <t>4) 주민공람</t>
        </is>
      </c>
      <c r="C10" s="69" t="n">
        <v>2.4</v>
      </c>
      <c r="D10" s="19" t="n">
        <v>2.5</v>
      </c>
      <c r="E10" s="19" t="n">
        <v>2.6</v>
      </c>
      <c r="F10" s="19" t="n">
        <v>4.7</v>
      </c>
      <c r="G10" s="19" t="n">
        <v>5.1</v>
      </c>
      <c r="H10" s="19" t="n"/>
      <c r="I10" s="19">
        <f>ROUND(C10*O10,2)</f>
        <v/>
      </c>
      <c r="J10" s="19">
        <f>ROUND(D10*O10,2)</f>
        <v/>
      </c>
      <c r="K10" s="19">
        <f>ROUND(E10*O10,2)</f>
        <v/>
      </c>
      <c r="L10" s="19">
        <f>ROUND(F10*O10,2)</f>
        <v/>
      </c>
      <c r="M10" s="19">
        <f>ROUND(G10*O10,2)</f>
        <v/>
      </c>
      <c r="N10" s="19" t="n"/>
      <c r="O10" s="150" t="n">
        <v>1</v>
      </c>
    </row>
    <row r="11" ht="24" customHeight="1" s="140">
      <c r="A11" s="58" t="n"/>
      <c r="B11" s="70" t="inlineStr">
        <is>
          <t>5) 관계기관 협의</t>
        </is>
      </c>
      <c r="C11" s="69" t="n">
        <v>2.4</v>
      </c>
      <c r="D11" s="19" t="n">
        <v>2.5</v>
      </c>
      <c r="E11" s="19" t="n">
        <v>2.6</v>
      </c>
      <c r="F11" s="19" t="n">
        <v>4.7</v>
      </c>
      <c r="G11" s="19" t="n">
        <v>5.1</v>
      </c>
      <c r="H11" s="19" t="n"/>
      <c r="I11" s="19">
        <f>ROUND(C11*O11,2)</f>
        <v/>
      </c>
      <c r="J11" s="19">
        <f>ROUND(D11*O11,2)</f>
        <v/>
      </c>
      <c r="K11" s="19">
        <f>ROUND(E11*O11,2)</f>
        <v/>
      </c>
      <c r="L11" s="19">
        <f>ROUND(F11*O11,2)</f>
        <v/>
      </c>
      <c r="M11" s="19">
        <f>ROUND(G11*O11,2)</f>
        <v/>
      </c>
      <c r="N11" s="19" t="n"/>
      <c r="O11" s="150" t="n">
        <v>1</v>
      </c>
    </row>
    <row r="12" ht="24" customHeight="1" s="140">
      <c r="A12" s="60" t="n"/>
      <c r="B12" s="71" t="inlineStr">
        <is>
          <t>소 계</t>
        </is>
      </c>
      <c r="C12" s="135">
        <f>SUM(C7:C11)</f>
        <v/>
      </c>
      <c r="D12" s="136">
        <f>SUM(D7:D11)</f>
        <v/>
      </c>
      <c r="E12" s="136">
        <f>SUM(E7:E11)</f>
        <v/>
      </c>
      <c r="F12" s="136">
        <f>SUM(F7:F11)</f>
        <v/>
      </c>
      <c r="G12" s="136">
        <f>SUM(G7:G11)</f>
        <v/>
      </c>
      <c r="H12" s="20" t="n"/>
      <c r="I12" s="20">
        <f>SUM(I7:I11)</f>
        <v/>
      </c>
      <c r="J12" s="20">
        <f>SUM(J7:J11)</f>
        <v/>
      </c>
      <c r="K12" s="20">
        <f>SUM(K7:K11)</f>
        <v/>
      </c>
      <c r="L12" s="20">
        <f>SUM(L7:L11)</f>
        <v/>
      </c>
      <c r="M12" s="20">
        <f>SUM(M7:M11)</f>
        <v/>
      </c>
      <c r="N12" s="20" t="n"/>
      <c r="O12" s="61" t="n"/>
    </row>
    <row r="13" ht="24" customHeight="1" s="140">
      <c r="A13" s="21" t="n"/>
      <c r="B13" s="22" t="inlineStr">
        <is>
          <t>*참조 : 국토계획 표준품셈(2026), 제12장 12-6 실시계획인가</t>
        </is>
      </c>
      <c r="C13" s="21" t="n"/>
      <c r="D13" s="21" t="n"/>
      <c r="E13" s="21" t="n"/>
      <c r="F13" s="21" t="n"/>
      <c r="G13" s="21" t="n"/>
      <c r="H13" s="21" t="n"/>
      <c r="I13" s="21" t="n"/>
      <c r="J13" s="23" t="n"/>
      <c r="K13" s="23" t="n"/>
      <c r="L13" s="24" t="n"/>
      <c r="M13" s="23" t="n"/>
      <c r="N13" s="23" t="n"/>
      <c r="O13" s="23" t="n"/>
    </row>
    <row r="14" ht="24" customHeight="1" s="140">
      <c r="A14" s="21" t="n"/>
      <c r="B14" s="22" t="inlineStr">
        <is>
          <t>*기술협의 단위‘식’이란 인허가 신청 후 승인 고시까지의 업무이며, 고시 이후에는 별도 산정한다.</t>
        </is>
      </c>
      <c r="C14" s="21" t="n"/>
      <c r="D14" s="21" t="n"/>
      <c r="E14" s="21" t="n"/>
      <c r="F14" s="21" t="n"/>
      <c r="G14" s="21" t="n"/>
      <c r="H14" s="21" t="n"/>
      <c r="I14" s="21" t="n"/>
      <c r="J14" s="23" t="n"/>
      <c r="K14" s="23" t="n"/>
      <c r="L14" s="24" t="n"/>
      <c r="M14" s="23" t="n"/>
      <c r="N14" s="23" t="n"/>
      <c r="O14" s="23" t="n"/>
    </row>
  </sheetData>
  <mergeCells count="4">
    <mergeCell ref="A1:O1"/>
    <mergeCell ref="I4:N4"/>
    <mergeCell ref="A4:B5"/>
    <mergeCell ref="C4:H4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6.5"/>
  <cols>
    <col width="12.125" customWidth="1" style="140" min="2" max="2"/>
    <col width="7" customWidth="1" style="140" min="3" max="4"/>
    <col width="9" customWidth="1" style="140" min="5" max="6"/>
    <col width="9.75" customWidth="1" style="140" min="7" max="8"/>
    <col width="10.875" customWidth="1" style="140" min="9" max="10"/>
    <col width="8.625" customWidth="1" style="140" min="11" max="12"/>
    <col width="7.125" customWidth="1" style="140" min="13" max="13"/>
    <col width="23.25" customWidth="1" style="140" min="15" max="15"/>
    <col width="11.375" customWidth="1" style="140" min="16" max="16"/>
    <col width="12.75" customWidth="1" style="140" min="17" max="17"/>
  </cols>
  <sheetData>
    <row r="1" ht="30.75" customHeight="1" s="140">
      <c r="A1" s="25" t="inlineStr">
        <is>
          <t>1. 실시계획인가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7" t="n"/>
    </row>
    <row r="2" ht="18" customHeight="1" s="140">
      <c r="A2" s="151" t="inlineStr">
        <is>
          <t>종   별</t>
        </is>
      </c>
      <c r="B2" s="152" t="inlineStr">
        <is>
          <t>규 격</t>
        </is>
      </c>
      <c r="C2" s="152" t="inlineStr">
        <is>
          <t>수  량</t>
        </is>
      </c>
      <c r="D2" s="152" t="inlineStr">
        <is>
          <t>단위</t>
        </is>
      </c>
      <c r="E2" s="153" t="inlineStr">
        <is>
          <t>총      계</t>
        </is>
      </c>
      <c r="F2" s="147" t="n"/>
      <c r="G2" s="153" t="inlineStr">
        <is>
          <t>재     료     비</t>
        </is>
      </c>
      <c r="H2" s="147" t="n"/>
      <c r="I2" s="153" t="inlineStr">
        <is>
          <t>노     무     비</t>
        </is>
      </c>
      <c r="J2" s="147" t="n"/>
      <c r="K2" s="153" t="inlineStr">
        <is>
          <t>경          비</t>
        </is>
      </c>
      <c r="L2" s="147" t="n"/>
      <c r="M2" s="154" t="inlineStr">
        <is>
          <t>비 고</t>
        </is>
      </c>
    </row>
    <row r="3" ht="18" customHeight="1" s="140">
      <c r="A3" s="155" t="n"/>
      <c r="B3" s="156" t="n"/>
      <c r="C3" s="156" t="n"/>
      <c r="D3" s="156" t="n"/>
      <c r="E3" s="28" t="inlineStr">
        <is>
          <t>단 가</t>
        </is>
      </c>
      <c r="F3" s="28" t="inlineStr">
        <is>
          <t>금 액</t>
        </is>
      </c>
      <c r="G3" s="28" t="inlineStr">
        <is>
          <t>단 가</t>
        </is>
      </c>
      <c r="H3" s="28" t="inlineStr">
        <is>
          <t>금 액</t>
        </is>
      </c>
      <c r="I3" s="28" t="inlineStr">
        <is>
          <t>단 가</t>
        </is>
      </c>
      <c r="J3" s="28" t="inlineStr">
        <is>
          <t>금 액</t>
        </is>
      </c>
      <c r="K3" s="28" t="inlineStr">
        <is>
          <t>단 가</t>
        </is>
      </c>
      <c r="L3" s="28" t="inlineStr">
        <is>
          <t>금 액</t>
        </is>
      </c>
      <c r="M3" s="157" t="n"/>
    </row>
    <row r="4" ht="18" customHeight="1" s="140">
      <c r="A4" s="111" t="inlineStr">
        <is>
          <t xml:space="preserve"> 가. 직접인건비</t>
        </is>
      </c>
      <c r="B4" s="158" t="n"/>
      <c r="C4" s="104" t="n"/>
      <c r="D4" s="104" t="n"/>
      <c r="E4" s="105" t="n"/>
      <c r="F4" s="159" t="n"/>
      <c r="G4" s="104" t="n"/>
      <c r="H4" s="104" t="n"/>
      <c r="I4" s="104" t="n"/>
      <c r="J4" s="160" t="n"/>
      <c r="K4" s="104" t="n"/>
      <c r="L4" s="104" t="n"/>
      <c r="M4" s="92" t="n"/>
    </row>
    <row r="5" ht="18" customHeight="1" s="140">
      <c r="A5" s="111" t="inlineStr">
        <is>
          <t xml:space="preserve">  1)실시계획인가도서작성</t>
        </is>
      </c>
      <c r="B5" s="158" t="n"/>
      <c r="C5" s="95" t="n">
        <v>1</v>
      </c>
      <c r="D5" s="104" t="inlineStr">
        <is>
          <t>식</t>
        </is>
      </c>
      <c r="E5" s="105" t="n"/>
      <c r="F5" s="159" t="n"/>
      <c r="G5" s="104" t="n"/>
      <c r="H5" s="104" t="n"/>
      <c r="I5" s="104" t="n"/>
      <c r="J5" s="160">
        <f>J23</f>
        <v/>
      </c>
      <c r="K5" s="104" t="n"/>
      <c r="L5" s="104" t="n"/>
      <c r="M5" s="92" t="n"/>
    </row>
    <row r="6" ht="18" customHeight="1" s="140">
      <c r="A6" s="103" t="inlineStr">
        <is>
          <t>소   계</t>
        </is>
      </c>
      <c r="B6" s="158" t="n"/>
      <c r="C6" s="104" t="n"/>
      <c r="D6" s="104" t="n"/>
      <c r="E6" s="105" t="n"/>
      <c r="F6" s="159" t="n"/>
      <c r="G6" s="105" t="n"/>
      <c r="H6" s="105" t="n"/>
      <c r="I6" s="105" t="n"/>
      <c r="J6" s="160">
        <f>SUM(J5:J5)</f>
        <v/>
      </c>
      <c r="K6" s="105" t="n"/>
      <c r="L6" s="105" t="n"/>
      <c r="M6" s="92" t="n"/>
    </row>
    <row r="7" ht="18" customHeight="1" s="140">
      <c r="A7" s="103" t="n"/>
      <c r="B7" s="158" t="n"/>
      <c r="C7" s="104" t="n"/>
      <c r="D7" s="104" t="n"/>
      <c r="E7" s="105" t="n"/>
      <c r="F7" s="159" t="n"/>
      <c r="G7" s="104" t="n"/>
      <c r="H7" s="104" t="n"/>
      <c r="I7" s="104" t="n"/>
      <c r="J7" s="160" t="n"/>
      <c r="K7" s="104" t="n"/>
      <c r="L7" s="104" t="n"/>
      <c r="M7" s="92" t="n"/>
    </row>
    <row r="8" ht="18" customHeight="1" s="140">
      <c r="A8" s="111" t="inlineStr">
        <is>
          <t xml:space="preserve"> 나. 제  경  비</t>
        </is>
      </c>
      <c r="B8" s="158" t="n"/>
      <c r="C8" s="112" t="n"/>
      <c r="D8" s="18" t="n"/>
      <c r="E8" s="105" t="inlineStr">
        <is>
          <t xml:space="preserve">(직접인건비)x </t>
        </is>
      </c>
      <c r="F8" s="159" t="n"/>
      <c r="G8" s="31">
        <f>P8</f>
        <v/>
      </c>
      <c r="H8" s="32" t="n"/>
      <c r="I8" s="18" t="n"/>
      <c r="J8" s="160">
        <f>ROUNDDOWN(J6*G8,0)</f>
        <v/>
      </c>
      <c r="K8" s="33" t="n"/>
      <c r="L8" s="34" t="n"/>
      <c r="M8" s="92" t="n"/>
      <c r="P8" s="91" t="n">
        <v>1.1</v>
      </c>
    </row>
    <row r="9" ht="18" customHeight="1" s="140">
      <c r="A9" s="111" t="inlineStr">
        <is>
          <t xml:space="preserve"> 다. 기  술  료</t>
        </is>
      </c>
      <c r="B9" s="158" t="n"/>
      <c r="C9" s="112" t="n"/>
      <c r="D9" s="18" t="n"/>
      <c r="E9" s="105" t="inlineStr">
        <is>
          <t>(직접인건비+제경비)x</t>
        </is>
      </c>
      <c r="F9" s="159" t="n"/>
      <c r="G9" s="31">
        <f>P9</f>
        <v/>
      </c>
      <c r="H9" s="32" t="n"/>
      <c r="I9" s="33" t="n"/>
      <c r="J9" s="160">
        <f>INT((J6+J8)*G9)</f>
        <v/>
      </c>
      <c r="K9" s="18" t="n"/>
      <c r="L9" s="18" t="n"/>
      <c r="M9" s="92" t="n"/>
      <c r="P9" s="91" t="n">
        <v>0.2</v>
      </c>
    </row>
    <row r="10" ht="18" customHeight="1" s="140">
      <c r="A10" s="103" t="inlineStr">
        <is>
          <t>소   계</t>
        </is>
      </c>
      <c r="B10" s="158" t="n"/>
      <c r="C10" s="104" t="n"/>
      <c r="D10" s="104" t="n"/>
      <c r="E10" s="105" t="n"/>
      <c r="F10" s="159" t="n"/>
      <c r="G10" s="104" t="n"/>
      <c r="H10" s="104" t="n"/>
      <c r="I10" s="104" t="n"/>
      <c r="J10" s="160">
        <f>SUM(J8:J9)</f>
        <v/>
      </c>
      <c r="K10" s="104" t="n"/>
      <c r="L10" s="104" t="n"/>
      <c r="M10" s="35" t="n"/>
      <c r="P10" s="91" t="n"/>
    </row>
    <row r="11" ht="18" customHeight="1" s="140">
      <c r="A11" s="103" t="n"/>
      <c r="B11" s="158" t="n"/>
      <c r="C11" s="93" t="n"/>
      <c r="D11" s="104" t="n"/>
      <c r="E11" s="105" t="n"/>
      <c r="F11" s="159" t="n"/>
      <c r="G11" s="104" t="n"/>
      <c r="H11" s="104" t="n"/>
      <c r="I11" s="104" t="n"/>
      <c r="J11" s="160" t="n"/>
      <c r="K11" s="104" t="n"/>
      <c r="L11" s="104" t="n"/>
      <c r="M11" s="35" t="n"/>
    </row>
    <row r="12" ht="18" customHeight="1" s="140" thickBot="1">
      <c r="A12" s="103" t="inlineStr">
        <is>
          <t>합   계</t>
        </is>
      </c>
      <c r="B12" s="158" t="n"/>
      <c r="C12" s="37" t="n"/>
      <c r="D12" s="37" t="n"/>
      <c r="E12" s="105" t="n"/>
      <c r="F12" s="159" t="n"/>
      <c r="G12" s="37" t="n"/>
      <c r="H12" s="37" t="n"/>
      <c r="I12" s="37" t="n"/>
      <c r="J12" s="161">
        <f>ROUNDDOWN(J6+J10,0)</f>
        <v/>
      </c>
      <c r="K12" s="37" t="n"/>
      <c r="L12" s="37" t="n"/>
      <c r="M12" s="38" t="n"/>
      <c r="N12" s="87" t="n"/>
      <c r="O12" s="87" t="n"/>
      <c r="P12" s="87" t="n"/>
      <c r="Q12" s="87" t="n"/>
      <c r="R12" s="87" t="n"/>
    </row>
    <row r="13" ht="18" customHeight="1" s="140">
      <c r="A13" s="129" t="inlineStr">
        <is>
          <t>적   용</t>
        </is>
      </c>
      <c r="B13" s="158" t="n"/>
      <c r="C13" s="131" t="n"/>
      <c r="D13" s="131" t="n"/>
      <c r="E13" s="132" t="n"/>
      <c r="F13" s="159" t="n"/>
      <c r="G13" s="131" t="n"/>
      <c r="H13" s="131" t="n"/>
      <c r="I13" s="131" t="n"/>
      <c r="J13" s="162">
        <f>ROUNDDOWN(J12,-5)</f>
        <v/>
      </c>
      <c r="K13" s="131" t="n"/>
      <c r="L13" s="131" t="n"/>
      <c r="M13" s="134" t="n"/>
      <c r="N13" s="87" t="n"/>
      <c r="O13" s="163" t="inlineStr">
        <is>
          <t>■ 엔지니어링 노임단가(2026년_건설)</t>
        </is>
      </c>
      <c r="P13" s="89" t="n"/>
      <c r="Q13" s="90" t="n"/>
      <c r="R13" s="87" t="n"/>
    </row>
    <row r="14" ht="18" customHeight="1" s="140" thickBot="1">
      <c r="A14" s="106" t="n"/>
      <c r="B14" s="164" t="n"/>
      <c r="C14" s="94" t="n"/>
      <c r="D14" s="40" t="n"/>
      <c r="E14" s="108" t="n"/>
      <c r="F14" s="165" t="n"/>
      <c r="G14" s="107" t="n"/>
      <c r="H14" s="107" t="n"/>
      <c r="I14" s="107" t="n"/>
      <c r="J14" s="166" t="n"/>
      <c r="K14" s="107" t="n"/>
      <c r="L14" s="107" t="n"/>
      <c r="M14" s="41" t="n"/>
      <c r="N14" s="87" t="n"/>
      <c r="O14" s="167" t="inlineStr">
        <is>
          <t>구   분</t>
        </is>
      </c>
      <c r="P14" s="168" t="inlineStr">
        <is>
          <t>노  무  비</t>
        </is>
      </c>
      <c r="Q14" s="75" t="inlineStr">
        <is>
          <t>비   고</t>
        </is>
      </c>
      <c r="R14" s="87" t="n"/>
    </row>
    <row r="15" ht="18" customHeight="1" s="140" thickTop="1">
      <c r="A15" s="42" t="n"/>
      <c r="B15" s="43" t="n"/>
      <c r="C15" s="44" t="n"/>
      <c r="D15" s="43" t="n"/>
      <c r="E15" s="43" t="n"/>
      <c r="F15" s="43" t="n"/>
      <c r="G15" s="43" t="n"/>
      <c r="H15" s="43" t="n"/>
      <c r="I15" s="43" t="n"/>
      <c r="J15" s="45" t="n"/>
      <c r="K15" s="43" t="n"/>
      <c r="L15" s="43" t="n"/>
      <c r="M15" s="46" t="n"/>
      <c r="N15" s="87" t="n"/>
      <c r="O15" s="169" t="inlineStr">
        <is>
          <t>기술사</t>
        </is>
      </c>
      <c r="P15" s="170" t="n">
        <v>467217</v>
      </c>
      <c r="Q15" s="78" t="n"/>
      <c r="R15" s="87" t="n"/>
    </row>
    <row r="16" ht="18" customHeight="1" s="140">
      <c r="A16" s="47" t="inlineStr">
        <is>
          <t xml:space="preserve"> 제 1 호표 실시계획인가(변경) 도서 작성</t>
        </is>
      </c>
      <c r="B16" s="18" t="n"/>
      <c r="C16" s="48" t="n"/>
      <c r="D16" s="18" t="n"/>
      <c r="E16" s="18" t="n"/>
      <c r="F16" s="18" t="n"/>
      <c r="G16" s="18" t="n"/>
      <c r="H16" s="18" t="n"/>
      <c r="I16" s="18" t="n"/>
      <c r="J16" s="95" t="n"/>
      <c r="K16" s="18" t="n"/>
      <c r="L16" s="18" t="n"/>
      <c r="M16" s="36" t="n"/>
      <c r="N16" s="87" t="n"/>
      <c r="O16" s="79" t="inlineStr">
        <is>
          <t>특급기술자</t>
        </is>
      </c>
      <c r="P16" s="170" t="n">
        <v>373353</v>
      </c>
      <c r="Q16" s="80" t="n"/>
      <c r="R16" s="87" t="n"/>
    </row>
    <row r="17" ht="18" customHeight="1" s="140">
      <c r="A17" s="103" t="inlineStr">
        <is>
          <t>기  술  사</t>
        </is>
      </c>
      <c r="B17" s="18" t="n"/>
      <c r="C17" s="48">
        <f>'실시계획인가_작업량'!I12</f>
        <v/>
      </c>
      <c r="D17" s="104" t="inlineStr">
        <is>
          <t>인</t>
        </is>
      </c>
      <c r="E17" s="18" t="n"/>
      <c r="F17" s="18" t="n"/>
      <c r="G17" s="18" t="n"/>
      <c r="H17" s="18" t="n"/>
      <c r="I17" s="95">
        <f>P15</f>
        <v/>
      </c>
      <c r="J17" s="95">
        <f>ROUNDDOWN(I17*C17,0)</f>
        <v/>
      </c>
      <c r="K17" s="18" t="n"/>
      <c r="L17" s="18" t="n"/>
      <c r="M17" s="36" t="n"/>
      <c r="N17" s="87" t="n"/>
      <c r="O17" s="81" t="inlineStr">
        <is>
          <t>고급기술자</t>
        </is>
      </c>
      <c r="P17" s="171" t="n">
        <v>310884</v>
      </c>
      <c r="Q17" s="83" t="n"/>
      <c r="R17" s="87" t="n"/>
    </row>
    <row r="18" ht="18" customHeight="1" s="140">
      <c r="A18" s="103" t="inlineStr">
        <is>
          <t>특급기술자</t>
        </is>
      </c>
      <c r="B18" s="18" t="n"/>
      <c r="C18" s="48">
        <f>'실시계획인가_작업량'!J12</f>
        <v/>
      </c>
      <c r="D18" s="104" t="inlineStr">
        <is>
          <t>인</t>
        </is>
      </c>
      <c r="E18" s="172" t="n"/>
      <c r="F18" s="172" t="n"/>
      <c r="G18" s="18" t="n"/>
      <c r="H18" s="18" t="n"/>
      <c r="I18" s="95">
        <f>P16</f>
        <v/>
      </c>
      <c r="J18" s="95">
        <f>ROUNDDOWN(I18*C18,0)</f>
        <v/>
      </c>
      <c r="K18" s="18" t="n"/>
      <c r="L18" s="18" t="n"/>
      <c r="M18" s="36" t="n"/>
      <c r="N18" s="87" t="n"/>
      <c r="O18" s="81" t="inlineStr">
        <is>
          <t>중급기술자</t>
        </is>
      </c>
      <c r="P18" s="171" t="n">
        <v>295138</v>
      </c>
      <c r="Q18" s="173" t="n"/>
      <c r="R18" s="87" t="n"/>
    </row>
    <row r="19" ht="18" customHeight="1" s="140">
      <c r="A19" s="103" t="inlineStr">
        <is>
          <t>고급기술자</t>
        </is>
      </c>
      <c r="B19" s="18" t="n"/>
      <c r="C19" s="48">
        <f>'실시계획인가_작업량'!K12</f>
        <v/>
      </c>
      <c r="D19" s="104" t="inlineStr">
        <is>
          <t>인</t>
        </is>
      </c>
      <c r="E19" s="172" t="n"/>
      <c r="F19" s="172" t="n"/>
      <c r="G19" s="18" t="n"/>
      <c r="H19" s="18" t="n"/>
      <c r="I19" s="95">
        <f>P17</f>
        <v/>
      </c>
      <c r="J19" s="95">
        <f>ROUNDDOWN(I19*C19,0)</f>
        <v/>
      </c>
      <c r="K19" s="18" t="n"/>
      <c r="L19" s="18" t="n"/>
      <c r="M19" s="36" t="n"/>
      <c r="N19" s="87" t="n"/>
      <c r="O19" s="81" t="inlineStr">
        <is>
          <t>초급기술자</t>
        </is>
      </c>
      <c r="P19" s="171" t="n">
        <v>235459</v>
      </c>
      <c r="Q19" s="173" t="n"/>
      <c r="R19" s="87" t="n"/>
    </row>
    <row r="20" ht="18" customHeight="1" s="140">
      <c r="A20" s="103" t="inlineStr">
        <is>
          <t>중급기술자</t>
        </is>
      </c>
      <c r="B20" s="18" t="n"/>
      <c r="C20" s="48">
        <f>'실시계획인가_작업량'!L12</f>
        <v/>
      </c>
      <c r="D20" s="104" t="inlineStr">
        <is>
          <t>인</t>
        </is>
      </c>
      <c r="E20" s="172" t="n"/>
      <c r="F20" s="172" t="n"/>
      <c r="G20" s="18" t="n"/>
      <c r="H20" s="18" t="n"/>
      <c r="I20" s="95">
        <f>P18</f>
        <v/>
      </c>
      <c r="J20" s="95">
        <f>ROUNDDOWN(I20*C20,0)</f>
        <v/>
      </c>
      <c r="K20" s="18" t="n"/>
      <c r="L20" s="18" t="n"/>
      <c r="M20" s="36" t="n"/>
      <c r="N20" s="87" t="n"/>
      <c r="O20" s="85" t="inlineStr">
        <is>
          <t>고급숙련기술자</t>
        </is>
      </c>
      <c r="P20" s="174" t="n">
        <v>281075</v>
      </c>
      <c r="Q20" s="173" t="n"/>
      <c r="R20" s="87" t="n"/>
    </row>
    <row r="21" ht="18" customHeight="1" s="140">
      <c r="A21" s="103" t="inlineStr">
        <is>
          <t>초급기술자</t>
        </is>
      </c>
      <c r="B21" s="18" t="n"/>
      <c r="C21" s="48">
        <f>'실시계획인가_작업량'!M12</f>
        <v/>
      </c>
      <c r="D21" s="104" t="inlineStr">
        <is>
          <t>인</t>
        </is>
      </c>
      <c r="E21" s="172" t="n"/>
      <c r="F21" s="172" t="n"/>
      <c r="G21" s="18" t="n"/>
      <c r="H21" s="18" t="n"/>
      <c r="I21" s="95">
        <f>P19</f>
        <v/>
      </c>
      <c r="J21" s="95">
        <f>ROUNDDOWN(I21*C21,0)</f>
        <v/>
      </c>
      <c r="K21" s="18" t="n"/>
      <c r="L21" s="18" t="n"/>
      <c r="M21" s="36" t="n"/>
      <c r="N21" s="87" t="n"/>
      <c r="O21" s="85" t="inlineStr">
        <is>
          <t>중급숙련기술자</t>
        </is>
      </c>
      <c r="P21" s="174" t="n">
        <v>250087</v>
      </c>
      <c r="Q21" s="173" t="n"/>
      <c r="R21" s="87" t="n"/>
    </row>
    <row r="22" ht="18" customHeight="1" s="140" thickBot="1">
      <c r="A22" s="103" t="n"/>
      <c r="B22" s="18" t="n"/>
      <c r="C22" s="48" t="n"/>
      <c r="D22" s="104" t="n"/>
      <c r="E22" s="172" t="n"/>
      <c r="F22" s="172" t="n"/>
      <c r="G22" s="18" t="n"/>
      <c r="H22" s="18" t="n"/>
      <c r="I22" s="95" t="n"/>
      <c r="J22" s="95" t="n"/>
      <c r="K22" s="18" t="n"/>
      <c r="L22" s="18" t="n"/>
      <c r="M22" s="36" t="n"/>
      <c r="N22" s="87" t="n"/>
      <c r="O22" s="138" t="inlineStr">
        <is>
          <t>초급숙련기술자</t>
        </is>
      </c>
      <c r="P22" s="175" t="n">
        <v>218142</v>
      </c>
      <c r="Q22" s="176" t="n"/>
      <c r="R22" s="87" t="n"/>
    </row>
    <row r="23" ht="18" customHeight="1" s="140">
      <c r="A23" s="103" t="inlineStr">
        <is>
          <t>계</t>
        </is>
      </c>
      <c r="B23" s="18" t="n"/>
      <c r="C23" s="48" t="n"/>
      <c r="D23" s="18" t="n"/>
      <c r="E23" s="18" t="n"/>
      <c r="F23" s="177" t="n"/>
      <c r="G23" s="18" t="n"/>
      <c r="H23" s="18" t="n"/>
      <c r="I23" s="18" t="n"/>
      <c r="J23" s="95">
        <f>SUM(J17:J22)</f>
        <v/>
      </c>
      <c r="K23" s="18" t="n"/>
      <c r="L23" s="18" t="n"/>
      <c r="M23" s="36" t="n"/>
      <c r="N23" s="87" t="n"/>
      <c r="O23" s="87" t="n"/>
      <c r="P23" s="87" t="n"/>
      <c r="Q23" s="87" t="n"/>
      <c r="R23" s="87" t="n"/>
    </row>
    <row r="24" ht="18" customHeight="1" s="140">
      <c r="A24" s="53" t="n"/>
      <c r="B24" s="30" t="n"/>
      <c r="C24" s="54" t="n"/>
      <c r="D24" s="30" t="n"/>
      <c r="E24" s="30" t="n"/>
      <c r="F24" s="178" t="n"/>
      <c r="G24" s="30" t="n"/>
      <c r="H24" s="30" t="n"/>
      <c r="I24" s="30" t="n"/>
      <c r="J24" s="56" t="n"/>
      <c r="K24" s="18" t="n"/>
      <c r="L24" s="18" t="n"/>
      <c r="M24" s="36" t="n"/>
      <c r="N24" s="87" t="n"/>
      <c r="O24" s="87" t="n"/>
      <c r="P24" s="87" t="n"/>
      <c r="Q24" s="87" t="n"/>
      <c r="R24" s="87" t="n"/>
    </row>
    <row r="25" ht="18" customHeight="1" s="140">
      <c r="A25" s="53" t="n"/>
      <c r="B25" s="30" t="n"/>
      <c r="C25" s="54" t="n"/>
      <c r="D25" s="30" t="n"/>
      <c r="E25" s="30" t="n"/>
      <c r="F25" s="178" t="n"/>
      <c r="G25" s="30" t="n"/>
      <c r="H25" s="30" t="n"/>
      <c r="I25" s="30" t="n"/>
      <c r="J25" s="56" t="n"/>
      <c r="K25" s="18" t="n"/>
      <c r="L25" s="18" t="n"/>
      <c r="M25" s="36" t="n"/>
      <c r="N25" s="87" t="n"/>
      <c r="O25" s="87" t="n"/>
      <c r="P25" s="87" t="n"/>
      <c r="Q25" s="87" t="n"/>
      <c r="R25" s="87" t="n"/>
    </row>
    <row r="26" ht="18" customHeight="1" s="140">
      <c r="A26" s="53" t="n"/>
      <c r="B26" s="30" t="n"/>
      <c r="C26" s="54" t="n"/>
      <c r="D26" s="30" t="n"/>
      <c r="E26" s="30" t="n"/>
      <c r="F26" s="178" t="n"/>
      <c r="G26" s="30" t="n"/>
      <c r="H26" s="30" t="n"/>
      <c r="I26" s="30" t="n"/>
      <c r="J26" s="56" t="n"/>
      <c r="K26" s="18" t="n"/>
      <c r="L26" s="18" t="n"/>
      <c r="M26" s="36" t="n"/>
    </row>
  </sheetData>
  <mergeCells count="31">
    <mergeCell ref="E12:F12"/>
    <mergeCell ref="G2:H2"/>
    <mergeCell ref="A11:B11"/>
    <mergeCell ref="I2:J2"/>
    <mergeCell ref="E5:F5"/>
    <mergeCell ref="M2:M3"/>
    <mergeCell ref="B2:B3"/>
    <mergeCell ref="E14:F14"/>
    <mergeCell ref="D2:D3"/>
    <mergeCell ref="A6:B6"/>
    <mergeCell ref="E8:F8"/>
    <mergeCell ref="E4:F4"/>
    <mergeCell ref="A7:B7"/>
    <mergeCell ref="E10:F10"/>
    <mergeCell ref="E13:F13"/>
    <mergeCell ref="A2:A3"/>
    <mergeCell ref="C2:C3"/>
    <mergeCell ref="E9:F9"/>
    <mergeCell ref="A12:B12"/>
    <mergeCell ref="E6:F6"/>
    <mergeCell ref="E2:F2"/>
    <mergeCell ref="K2:L2"/>
    <mergeCell ref="E11:F11"/>
    <mergeCell ref="A5:B5"/>
    <mergeCell ref="A14:B14"/>
    <mergeCell ref="A8:B8"/>
    <mergeCell ref="A4:B4"/>
    <mergeCell ref="E7:F7"/>
    <mergeCell ref="A10:B10"/>
    <mergeCell ref="A13:B13"/>
    <mergeCell ref="A9:B9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7" customWidth="1" style="140" min="1" max="1"/>
    <col width="45" customWidth="1" style="140" min="2" max="2"/>
    <col width="15" customWidth="1" style="140" min="3" max="3"/>
    <col width="10" customWidth="1" style="140" min="4" max="4"/>
    <col width="10" customWidth="1" style="140" min="5" max="5"/>
    <col width="10" customWidth="1" style="140" min="6" max="6"/>
    <col width="10" customWidth="1" style="140" min="7" max="7"/>
    <col width="10" customWidth="1" style="140" min="8" max="8"/>
  </cols>
  <sheetData>
    <row r="1">
      <c r="A1" s="179" t="inlineStr">
        <is>
          <t>출처 PDF</t>
        </is>
      </c>
      <c r="B1" s="0" t="inlineStr">
        <is>
          <t>C:\Users\saman\Desktop\Ai 실습\_새 폴더\실시계획인가.pdf</t>
        </is>
      </c>
    </row>
    <row r="2">
      <c r="A2" s="179" t="inlineStr">
        <is>
          <t>쪽수</t>
        </is>
      </c>
      <c r="B2" s="0" t="n">
        <v>1</v>
      </c>
    </row>
    <row r="3">
      <c r="A3" s="179" t="inlineStr">
        <is>
          <t>추출일시</t>
        </is>
      </c>
      <c r="B3" s="0" t="inlineStr">
        <is>
          <t>2026-05-12 10:46:53</t>
        </is>
      </c>
    </row>
    <row r="4"/>
    <row r="5">
      <c r="A5" s="180" t="inlineStr">
        <is>
          <t>표 1</t>
        </is>
      </c>
    </row>
    <row r="6">
      <c r="A6" s="181" t="inlineStr">
        <is>
          <t>기본업무</t>
        </is>
      </c>
      <c r="B6" s="181" t="inlineStr">
        <is>
          <t>단 위</t>
        </is>
      </c>
      <c r="C6" s="181" t="inlineStr">
        <is>
          <t>기준인원수(인ㆍ일/단위)</t>
        </is>
      </c>
      <c r="D6" s="181" t="inlineStr"/>
      <c r="E6" s="181" t="inlineStr"/>
      <c r="F6" s="181" t="inlineStr"/>
      <c r="G6" s="181" t="inlineStr"/>
      <c r="H6" s="181" t="inlineStr">
        <is>
          <t>환산
계수</t>
        </is>
      </c>
    </row>
    <row r="7">
      <c r="A7" s="181" t="inlineStr"/>
      <c r="B7" s="181" t="inlineStr"/>
      <c r="C7" s="181" t="inlineStr">
        <is>
          <t>기술사</t>
        </is>
      </c>
      <c r="D7" s="181" t="inlineStr">
        <is>
          <t>특 급
기술자</t>
        </is>
      </c>
      <c r="E7" s="181" t="inlineStr">
        <is>
          <t>고 급
기술자</t>
        </is>
      </c>
      <c r="F7" s="181" t="inlineStr">
        <is>
          <t>중 급
기술자</t>
        </is>
      </c>
      <c r="G7" s="181" t="inlineStr">
        <is>
          <t>초 급
기술자</t>
        </is>
      </c>
      <c r="H7" s="181" t="inlineStr"/>
    </row>
    <row r="8">
      <c r="A8" s="181" t="inlineStr">
        <is>
          <t>1. 실시계획 승인도서 작성</t>
        </is>
      </c>
      <c r="B8" s="181" t="inlineStr">
        <is>
          <t>1만㎡</t>
        </is>
      </c>
      <c r="C8" s="181" t="inlineStr">
        <is>
          <t>0.7</t>
        </is>
      </c>
      <c r="D8" s="181" t="inlineStr">
        <is>
          <t>0.6</t>
        </is>
      </c>
      <c r="E8" s="181" t="inlineStr">
        <is>
          <t>1.3</t>
        </is>
      </c>
      <c r="F8" s="181" t="inlineStr">
        <is>
          <t>1.3</t>
        </is>
      </c>
      <c r="G8" s="181" t="inlineStr">
        <is>
          <t>3.5</t>
        </is>
      </c>
      <c r="H8" s="181" t="inlineStr">
        <is>
          <t>①</t>
        </is>
      </c>
    </row>
    <row r="9">
      <c r="A9" s="181" t="inlineStr">
        <is>
          <t>2. 보고서 작성 및 편집</t>
        </is>
      </c>
      <c r="B9" s="181" t="inlineStr">
        <is>
          <t>1만㎡</t>
        </is>
      </c>
      <c r="C9" s="181" t="inlineStr">
        <is>
          <t>0.4</t>
        </is>
      </c>
      <c r="D9" s="181" t="inlineStr">
        <is>
          <t>0.9</t>
        </is>
      </c>
      <c r="E9" s="181" t="inlineStr">
        <is>
          <t>1.8</t>
        </is>
      </c>
      <c r="F9" s="181" t="inlineStr">
        <is>
          <t>1.6</t>
        </is>
      </c>
      <c r="G9" s="181" t="inlineStr">
        <is>
          <t>2.8</t>
        </is>
      </c>
      <c r="H9" s="181" t="inlineStr">
        <is>
          <t>①</t>
        </is>
      </c>
    </row>
    <row r="10">
      <c r="A10" s="181" t="inlineStr">
        <is>
          <t>3. 관련도서 작성</t>
        </is>
      </c>
      <c r="B10" s="181" t="inlineStr">
        <is>
          <t>1만㎡</t>
        </is>
      </c>
      <c r="C10" s="181" t="inlineStr">
        <is>
          <t>0.6</t>
        </is>
      </c>
      <c r="D10" s="181" t="inlineStr">
        <is>
          <t>0.8</t>
        </is>
      </c>
      <c r="E10" s="181" t="inlineStr">
        <is>
          <t>1.4</t>
        </is>
      </c>
      <c r="F10" s="181" t="inlineStr">
        <is>
          <t>1.6</t>
        </is>
      </c>
      <c r="G10" s="181" t="inlineStr">
        <is>
          <t>4.2</t>
        </is>
      </c>
      <c r="H10" s="181" t="inlineStr">
        <is>
          <t>①</t>
        </is>
      </c>
    </row>
    <row r="11">
      <c r="A11" s="181" t="inlineStr">
        <is>
          <t>4. 주민공람</t>
        </is>
      </c>
      <c r="B11" s="181" t="inlineStr">
        <is>
          <t>식</t>
        </is>
      </c>
      <c r="C11" s="181" t="inlineStr">
        <is>
          <t>2.4</t>
        </is>
      </c>
      <c r="D11" s="181" t="inlineStr">
        <is>
          <t>2.5</t>
        </is>
      </c>
      <c r="E11" s="181" t="inlineStr">
        <is>
          <t>2.6</t>
        </is>
      </c>
      <c r="F11" s="181" t="inlineStr">
        <is>
          <t>4.7</t>
        </is>
      </c>
      <c r="G11" s="181" t="inlineStr">
        <is>
          <t>5.1</t>
        </is>
      </c>
      <c r="H11" s="181" t="inlineStr">
        <is>
          <t>②</t>
        </is>
      </c>
    </row>
    <row r="12">
      <c r="A12" s="181" t="inlineStr">
        <is>
          <t>5. 관계기관 협의</t>
        </is>
      </c>
      <c r="B12" s="181" t="inlineStr">
        <is>
          <t>식</t>
        </is>
      </c>
      <c r="C12" s="181" t="inlineStr">
        <is>
          <t>2.4</t>
        </is>
      </c>
      <c r="D12" s="181" t="inlineStr">
        <is>
          <t>2.5</t>
        </is>
      </c>
      <c r="E12" s="181" t="inlineStr">
        <is>
          <t>2.6</t>
        </is>
      </c>
      <c r="F12" s="181" t="inlineStr">
        <is>
          <t>4.7</t>
        </is>
      </c>
      <c r="G12" s="181" t="inlineStr">
        <is>
          <t>5.1</t>
        </is>
      </c>
      <c r="H12" s="181" t="inlineStr">
        <is>
          <t>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saman</dc:creator>
  <dcterms:created xsi:type="dcterms:W3CDTF">2026-01-27T02:53:41Z</dcterms:created>
  <dcterms:modified xsi:type="dcterms:W3CDTF">2026-05-12T01:46:53Z</dcterms:modified>
  <cp:lastModifiedBy>saman</cp:lastModifiedBy>
</cp:coreProperties>
</file>